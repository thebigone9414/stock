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요약" sheetId="1" state="visible" r:id="rId3"/>
    <sheet name="복리운영" sheetId="2" state="visible" r:id="rId4"/>
    <sheet name="전체" sheetId="3" state="visible" r:id="rId5"/>
    <sheet name="#1" sheetId="4" state="visible" r:id="rId6"/>
    <sheet name="#2" sheetId="5" state="visible" r:id="rId7"/>
    <sheet name="#3" sheetId="6" state="visible" r:id="rId8"/>
    <sheet name="#4" sheetId="7" state="visible" r:id="rId9"/>
    <sheet name="#5" sheetId="8" state="visible" r:id="rId10"/>
    <sheet name="#6" sheetId="9" state="visible" r:id="rId11"/>
    <sheet name="#7" sheetId="10" state="visible" r:id="rId12"/>
    <sheet name="#8" sheetId="11" state="visible" r:id="rId13"/>
    <sheet name="#9" sheetId="12" state="visible" r:id="rId14"/>
    <sheet name="#10" sheetId="13" state="visible" r:id="rId15"/>
    <sheet name="#11" sheetId="14" state="visible" r:id="rId16"/>
  </sheets>
  <definedNames>
    <definedName function="false" hidden="true" localSheetId="3" name="_xlnm._FilterDatabase" vbProcedure="false">'#1'!$A$4:$O$150</definedName>
    <definedName function="false" hidden="true" localSheetId="12" name="_xlnm._FilterDatabase" vbProcedure="false">'#10'!$A$4:$O$36</definedName>
    <definedName function="false" hidden="true" localSheetId="13" name="_xlnm._FilterDatabase" vbProcedure="false">'#11'!$A$4:$O$32</definedName>
    <definedName function="false" hidden="true" localSheetId="4" name="_xlnm._FilterDatabase" vbProcedure="false">'#2'!$A$4:$O$64</definedName>
    <definedName function="false" hidden="true" localSheetId="5" name="_xlnm._FilterDatabase" vbProcedure="false">'#3'!$A$4:$O$98</definedName>
    <definedName function="false" hidden="true" localSheetId="6" name="_xlnm._FilterDatabase" vbProcedure="false">'#4'!$A$4:$O$104</definedName>
    <definedName function="false" hidden="true" localSheetId="7" name="_xlnm._FilterDatabase" vbProcedure="false">'#5'!$A$4:$O$110</definedName>
    <definedName function="false" hidden="true" localSheetId="8" name="_xlnm._FilterDatabase" vbProcedure="false">'#6'!$A$4:$O$154</definedName>
    <definedName function="false" hidden="true" localSheetId="9" name="_xlnm._FilterDatabase" vbProcedure="false">'#7'!$A$4:$O$52</definedName>
    <definedName function="false" hidden="true" localSheetId="10" name="_xlnm._FilterDatabase" vbProcedure="false">'#8'!$A$4:$O$22</definedName>
    <definedName function="false" hidden="true" localSheetId="11" name="_xlnm._FilterDatabase" vbProcedure="false">'#9'!$A$4:$O$25</definedName>
    <definedName function="false" hidden="true" localSheetId="2" name="_xlnm._FilterDatabase" vbProcedure="false">전체!$A$4:$O$807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<sst xmlns="http://schemas.openxmlformats.org/spreadsheetml/2006/main" count="5094" uniqueCount="89">
  <si>
    <r>
      <rPr>
        <b val="true"/>
        <sz val="12"/>
        <rFont val="Arial"/>
        <family val="0"/>
        <charset val="1"/>
      </rPr>
      <t xml:space="preserve">11</t>
    </r>
    <r>
      <rPr>
        <b val="true"/>
        <sz val="12"/>
        <rFont val="Noto Sans CJK SC"/>
        <family val="2"/>
      </rPr>
      <t xml:space="preserve">패턴 매매 시점 전체 목록 </t>
    </r>
    <r>
      <rPr>
        <b val="true"/>
        <sz val="12"/>
        <rFont val="Arial"/>
        <family val="0"/>
        <charset val="1"/>
      </rPr>
      <t xml:space="preserve">- </t>
    </r>
    <r>
      <rPr>
        <b val="true"/>
        <sz val="12"/>
        <rFont val="Noto Sans CJK SC"/>
        <family val="2"/>
      </rPr>
      <t xml:space="preserve">요약</t>
    </r>
  </si>
  <si>
    <r>
      <rPr>
        <i val="true"/>
        <sz val="9"/>
        <color rgb="FF555555"/>
        <rFont val="Noto Sans CJK SC"/>
        <family val="2"/>
      </rPr>
      <t xml:space="preserve">코스피</t>
    </r>
    <r>
      <rPr>
        <i val="true"/>
        <sz val="9"/>
        <color rgb="FF555555"/>
        <rFont val="Arial"/>
        <family val="0"/>
        <charset val="1"/>
      </rPr>
      <t xml:space="preserve">200 </t>
    </r>
    <r>
      <rPr>
        <i val="true"/>
        <sz val="9"/>
        <color rgb="FF555555"/>
        <rFont val="Noto Sans CJK SC"/>
        <family val="2"/>
      </rPr>
      <t xml:space="preserve">지수</t>
    </r>
    <r>
      <rPr>
        <i val="true"/>
        <sz val="9"/>
        <color rgb="FF555555"/>
        <rFont val="Arial"/>
        <family val="0"/>
        <charset val="1"/>
      </rPr>
      <t xml:space="preserve">, 2002~2026-09-23, </t>
    </r>
    <r>
      <rPr>
        <i val="true"/>
        <sz val="9"/>
        <color rgb="FF555555"/>
        <rFont val="Noto Sans CJK SC"/>
        <family val="2"/>
      </rPr>
      <t xml:space="preserve">패턴 단독 시뮬</t>
    </r>
    <r>
      <rPr>
        <i val="true"/>
        <sz val="9"/>
        <color rgb="FF555555"/>
        <rFont val="Arial"/>
        <family val="0"/>
        <charset val="1"/>
      </rPr>
      <t xml:space="preserve">, </t>
    </r>
    <r>
      <rPr>
        <i val="true"/>
        <sz val="9"/>
        <color rgb="FF555555"/>
        <rFont val="Noto Sans CJK SC"/>
        <family val="2"/>
      </rPr>
      <t xml:space="preserve">장기선 </t>
    </r>
    <r>
      <rPr>
        <i val="true"/>
        <sz val="9"/>
        <color rgb="FF555555"/>
        <rFont val="Arial"/>
        <family val="0"/>
        <charset val="1"/>
      </rPr>
      <t xml:space="preserve">248</t>
    </r>
    <r>
      <rPr>
        <i val="true"/>
        <sz val="9"/>
        <color rgb="FF555555"/>
        <rFont val="Noto Sans CJK SC"/>
        <family val="2"/>
      </rPr>
      <t xml:space="preserve">일</t>
    </r>
    <r>
      <rPr>
        <i val="true"/>
        <sz val="9"/>
        <color rgb="FF555555"/>
        <rFont val="Arial"/>
        <family val="0"/>
        <charset val="1"/>
      </rPr>
      <t xml:space="preserve">. </t>
    </r>
    <r>
      <rPr>
        <i val="true"/>
        <sz val="9"/>
        <color rgb="FF555555"/>
        <rFont val="Noto Sans CJK SC"/>
        <family val="2"/>
      </rPr>
      <t xml:space="preserve">수치는 </t>
    </r>
    <r>
      <rPr>
        <i val="true"/>
        <sz val="9"/>
        <color rgb="FF555555"/>
        <rFont val="Arial"/>
        <family val="0"/>
        <charset val="1"/>
      </rPr>
      <t xml:space="preserve">"</t>
    </r>
    <r>
      <rPr>
        <i val="true"/>
        <sz val="9"/>
        <color rgb="FF555555"/>
        <rFont val="Noto Sans CJK SC"/>
        <family val="2"/>
      </rPr>
      <t xml:space="preserve">전체</t>
    </r>
    <r>
      <rPr>
        <i val="true"/>
        <sz val="9"/>
        <color rgb="FF555555"/>
        <rFont val="Arial"/>
        <family val="0"/>
        <charset val="1"/>
      </rPr>
      <t xml:space="preserve">" </t>
    </r>
    <r>
      <rPr>
        <i val="true"/>
        <sz val="9"/>
        <color rgb="FF555555"/>
        <rFont val="Noto Sans CJK SC"/>
        <family val="2"/>
      </rPr>
      <t xml:space="preserve">시트에서 수식으로 집계</t>
    </r>
    <r>
      <rPr>
        <i val="true"/>
        <sz val="9"/>
        <color rgb="FF555555"/>
        <rFont val="Arial"/>
        <family val="0"/>
        <charset val="1"/>
      </rPr>
      <t xml:space="preserve">. </t>
    </r>
    <r>
      <rPr>
        <i val="true"/>
        <sz val="9"/>
        <color rgb="FF555555"/>
        <rFont val="Noto Sans CJK SC"/>
        <family val="2"/>
      </rPr>
      <t xml:space="preserve">합산 수익률은 지수 </t>
    </r>
    <r>
      <rPr>
        <i val="true"/>
        <sz val="9"/>
        <color rgb="FF555555"/>
        <rFont val="Arial"/>
        <family val="0"/>
        <charset val="1"/>
      </rPr>
      <t xml:space="preserve">1</t>
    </r>
    <r>
      <rPr>
        <i val="true"/>
        <sz val="9"/>
        <color rgb="FF555555"/>
        <rFont val="Noto Sans CJK SC"/>
        <family val="2"/>
      </rPr>
      <t xml:space="preserve">배 건별 수익률의 단순 합</t>
    </r>
    <r>
      <rPr>
        <i val="true"/>
        <sz val="9"/>
        <color rgb="FF555555"/>
        <rFont val="Arial"/>
        <family val="0"/>
        <charset val="1"/>
      </rPr>
      <t xml:space="preserve">(</t>
    </r>
    <r>
      <rPr>
        <i val="true"/>
        <sz val="9"/>
        <color rgb="FF555555"/>
        <rFont val="Noto Sans CJK SC"/>
        <family val="2"/>
      </rPr>
      <t xml:space="preserve">패턴끼리 비교용</t>
    </r>
    <r>
      <rPr>
        <i val="true"/>
        <sz val="9"/>
        <color rgb="FF555555"/>
        <rFont val="Arial"/>
        <family val="0"/>
        <charset val="1"/>
      </rPr>
      <t xml:space="preserve">)</t>
    </r>
    <r>
      <rPr>
        <i val="true"/>
        <sz val="9"/>
        <color rgb="FF555555"/>
        <rFont val="Noto Sans CJK SC"/>
        <family val="2"/>
      </rPr>
      <t xml:space="preserve">이고</t>
    </r>
    <r>
      <rPr>
        <i val="true"/>
        <sz val="9"/>
        <color rgb="FF555555"/>
        <rFont val="Arial"/>
        <family val="0"/>
        <charset val="1"/>
      </rPr>
      <t xml:space="preserve">, </t>
    </r>
    <r>
      <rPr>
        <i val="true"/>
        <sz val="9"/>
        <color rgb="FF555555"/>
        <rFont val="Noto Sans CJK SC"/>
        <family val="2"/>
      </rPr>
      <t xml:space="preserve">실제 운영</t>
    </r>
    <r>
      <rPr>
        <i val="true"/>
        <sz val="9"/>
        <color rgb="FF555555"/>
        <rFont val="Arial"/>
        <family val="0"/>
        <charset val="1"/>
      </rPr>
      <t xml:space="preserve">(</t>
    </r>
    <r>
      <rPr>
        <i val="true"/>
        <sz val="9"/>
        <color rgb="FF555555"/>
        <rFont val="Noto Sans CJK SC"/>
        <family val="2"/>
      </rPr>
      <t xml:space="preserve">복리</t>
    </r>
    <r>
      <rPr>
        <i val="true"/>
        <sz val="9"/>
        <color rgb="FF555555"/>
        <rFont val="Arial"/>
        <family val="0"/>
        <charset val="1"/>
      </rPr>
      <t xml:space="preserve">, 20% </t>
    </r>
    <r>
      <rPr>
        <i val="true"/>
        <sz val="9"/>
        <color rgb="FF555555"/>
        <rFont val="Noto Sans CJK SC"/>
        <family val="2"/>
      </rPr>
      <t xml:space="preserve">비중</t>
    </r>
    <r>
      <rPr>
        <i val="true"/>
        <sz val="9"/>
        <color rgb="FF555555"/>
        <rFont val="Arial"/>
        <family val="0"/>
        <charset val="1"/>
      </rPr>
      <t xml:space="preserve">, 2</t>
    </r>
    <r>
      <rPr>
        <i val="true"/>
        <sz val="9"/>
        <color rgb="FF555555"/>
        <rFont val="Noto Sans CJK SC"/>
        <family val="2"/>
      </rPr>
      <t xml:space="preserve">배 </t>
    </r>
    <r>
      <rPr>
        <i val="true"/>
        <sz val="9"/>
        <color rgb="FF555555"/>
        <rFont val="Arial"/>
        <family val="0"/>
        <charset val="1"/>
      </rPr>
      <t xml:space="preserve">ETF)</t>
    </r>
    <r>
      <rPr>
        <i val="true"/>
        <sz val="9"/>
        <color rgb="FF555555"/>
        <rFont val="Noto Sans CJK SC"/>
        <family val="2"/>
      </rPr>
      <t xml:space="preserve">은 </t>
    </r>
    <r>
      <rPr>
        <i val="true"/>
        <sz val="9"/>
        <color rgb="FF555555"/>
        <rFont val="Arial"/>
        <family val="0"/>
        <charset val="1"/>
      </rPr>
      <t xml:space="preserve">"</t>
    </r>
    <r>
      <rPr>
        <i val="true"/>
        <sz val="9"/>
        <color rgb="FF555555"/>
        <rFont val="Noto Sans CJK SC"/>
        <family val="2"/>
      </rPr>
      <t xml:space="preserve">복리운영</t>
    </r>
    <r>
      <rPr>
        <i val="true"/>
        <sz val="9"/>
        <color rgb="FF555555"/>
        <rFont val="Arial"/>
        <family val="0"/>
        <charset val="1"/>
      </rPr>
      <t xml:space="preserve">" </t>
    </r>
    <r>
      <rPr>
        <i val="true"/>
        <sz val="9"/>
        <color rgb="FF555555"/>
        <rFont val="Noto Sans CJK SC"/>
        <family val="2"/>
      </rPr>
      <t xml:space="preserve">시트</t>
    </r>
    <r>
      <rPr>
        <i val="true"/>
        <sz val="9"/>
        <color rgb="FF555555"/>
        <rFont val="Arial"/>
        <family val="0"/>
        <charset val="1"/>
      </rPr>
      <t xml:space="preserve">.</t>
    </r>
  </si>
  <si>
    <t xml:space="preserve">패턴</t>
  </si>
  <si>
    <t xml:space="preserve">이름</t>
  </si>
  <si>
    <t xml:space="preserve">청산 조건</t>
  </si>
  <si>
    <t xml:space="preserve">거래</t>
  </si>
  <si>
    <t xml:space="preserve">승률</t>
  </si>
  <si>
    <t xml:space="preserve">합산 수익률</t>
  </si>
  <si>
    <t xml:space="preserve">평균 수익률</t>
  </si>
  <si>
    <r>
      <rPr>
        <b val="true"/>
        <sz val="11"/>
        <rFont val="Noto Sans CJK SC"/>
        <family val="2"/>
      </rPr>
      <t xml:space="preserve">최고 </t>
    </r>
    <r>
      <rPr>
        <b val="true"/>
        <sz val="11"/>
        <rFont val="Arial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건</t>
    </r>
  </si>
  <si>
    <r>
      <rPr>
        <b val="true"/>
        <sz val="11"/>
        <rFont val="Noto Sans CJK SC"/>
        <family val="2"/>
      </rPr>
      <t xml:space="preserve">최악 </t>
    </r>
    <r>
      <rPr>
        <b val="true"/>
        <sz val="11"/>
        <rFont val="Arial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건</t>
    </r>
  </si>
  <si>
    <t xml:space="preserve">손절 건수</t>
  </si>
  <si>
    <r>
      <rPr>
        <sz val="11"/>
        <rFont val="Arial"/>
        <family val="0"/>
        <charset val="1"/>
      </rPr>
      <t xml:space="preserve">MACD </t>
    </r>
    <r>
      <rPr>
        <sz val="11"/>
        <rFont val="Noto Sans CJK SC"/>
        <family val="2"/>
      </rPr>
      <t xml:space="preserve">골든크로스 </t>
    </r>
    <r>
      <rPr>
        <sz val="11"/>
        <rFont val="Arial"/>
        <family val="0"/>
        <charset val="1"/>
      </rPr>
      <t xml:space="preserve">+ 62</t>
    </r>
    <r>
      <rPr>
        <sz val="11"/>
        <rFont val="Noto Sans CJK SC"/>
        <family val="2"/>
      </rPr>
      <t xml:space="preserve">일선 상승</t>
    </r>
  </si>
  <si>
    <r>
      <rPr>
        <sz val="11"/>
        <rFont val="Arial"/>
        <family val="0"/>
        <charset val="1"/>
      </rPr>
      <t xml:space="preserve">MACD </t>
    </r>
    <r>
      <rPr>
        <sz val="11"/>
        <rFont val="Noto Sans CJK SC"/>
        <family val="2"/>
      </rPr>
      <t xml:space="preserve">데드크로스</t>
    </r>
  </si>
  <si>
    <r>
      <rPr>
        <sz val="11"/>
        <rFont val="Arial"/>
        <family val="0"/>
        <charset val="1"/>
      </rPr>
      <t xml:space="preserve">20</t>
    </r>
    <r>
      <rPr>
        <sz val="11"/>
        <rFont val="Noto Sans CJK SC"/>
        <family val="2"/>
      </rPr>
      <t xml:space="preserve">일 신저가 이탈 </t>
    </r>
    <r>
      <rPr>
        <sz val="11"/>
        <rFont val="Arial"/>
        <family val="0"/>
        <charset val="1"/>
      </rPr>
      <t xml:space="preserve">+ 62·248</t>
    </r>
    <r>
      <rPr>
        <sz val="11"/>
        <rFont val="Noto Sans CJK SC"/>
        <family val="2"/>
      </rPr>
      <t xml:space="preserve">일선 상승</t>
    </r>
  </si>
  <si>
    <r>
      <rPr>
        <sz val="11"/>
        <rFont val="Noto Sans CJK SC"/>
        <family val="2"/>
      </rPr>
      <t xml:space="preserve">종가 </t>
    </r>
    <r>
      <rPr>
        <sz val="11"/>
        <rFont val="Arial"/>
        <family val="0"/>
        <charset val="1"/>
      </rPr>
      <t xml:space="preserve">&gt; </t>
    </r>
    <r>
      <rPr>
        <sz val="11"/>
        <rFont val="Noto Sans CJK SC"/>
        <family val="2"/>
      </rPr>
      <t xml:space="preserve">전일까지 </t>
    </r>
    <r>
      <rPr>
        <sz val="11"/>
        <rFont val="Arial"/>
        <family val="0"/>
        <charset val="1"/>
      </rPr>
      <t xml:space="preserve">10</t>
    </r>
    <r>
      <rPr>
        <sz val="11"/>
        <rFont val="Noto Sans CJK SC"/>
        <family val="2"/>
      </rPr>
      <t xml:space="preserve">일 최고가</t>
    </r>
  </si>
  <si>
    <r>
      <rPr>
        <sz val="11"/>
        <rFont val="Arial"/>
        <family val="0"/>
        <charset val="1"/>
      </rPr>
      <t xml:space="preserve">RSI 50 </t>
    </r>
    <r>
      <rPr>
        <sz val="11"/>
        <rFont val="Noto Sans CJK SC"/>
        <family val="2"/>
      </rPr>
      <t xml:space="preserve">돌파 </t>
    </r>
    <r>
      <rPr>
        <sz val="11"/>
        <rFont val="Arial"/>
        <family val="0"/>
        <charset val="1"/>
      </rPr>
      <t xml:space="preserve">+ 62</t>
    </r>
    <r>
      <rPr>
        <sz val="11"/>
        <rFont val="Noto Sans CJK SC"/>
        <family val="2"/>
      </rPr>
      <t xml:space="preserve">일선 상승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히스토 음수</t>
    </r>
  </si>
  <si>
    <r>
      <rPr>
        <sz val="11"/>
        <rFont val="Arial"/>
        <family val="0"/>
        <charset val="1"/>
      </rPr>
      <t xml:space="preserve">RSI &lt; 45 </t>
    </r>
    <r>
      <rPr>
        <sz val="11"/>
        <rFont val="Noto Sans CJK SC"/>
        <family val="2"/>
      </rPr>
      <t xml:space="preserve">또는 </t>
    </r>
    <r>
      <rPr>
        <sz val="11"/>
        <rFont val="Arial"/>
        <family val="0"/>
        <charset val="1"/>
      </rPr>
      <t xml:space="preserve">&gt; 75</t>
    </r>
  </si>
  <si>
    <r>
      <rPr>
        <sz val="11"/>
        <rFont val="Arial"/>
        <family val="0"/>
        <charset val="1"/>
      </rPr>
      <t xml:space="preserve">5/21 </t>
    </r>
    <r>
      <rPr>
        <sz val="11"/>
        <rFont val="Noto Sans CJK SC"/>
        <family val="2"/>
      </rPr>
      <t xml:space="preserve">골든크로스 </t>
    </r>
    <r>
      <rPr>
        <sz val="11"/>
        <rFont val="Arial"/>
        <family val="0"/>
        <charset val="1"/>
      </rPr>
      <t xml:space="preserve">+ 62</t>
    </r>
    <r>
      <rPr>
        <sz val="11"/>
        <rFont val="Noto Sans CJK SC"/>
        <family val="2"/>
      </rPr>
      <t xml:space="preserve">일선 상승 </t>
    </r>
    <r>
      <rPr>
        <sz val="11"/>
        <rFont val="Arial"/>
        <family val="0"/>
        <charset val="1"/>
      </rPr>
      <t xml:space="preserve">+ 5</t>
    </r>
    <r>
      <rPr>
        <sz val="11"/>
        <rFont val="Noto Sans CJK SC"/>
        <family val="2"/>
      </rPr>
      <t xml:space="preserve">일 수익 양수</t>
    </r>
  </si>
  <si>
    <r>
      <rPr>
        <sz val="11"/>
        <rFont val="Arial"/>
        <family val="0"/>
        <charset val="1"/>
      </rPr>
      <t xml:space="preserve">5</t>
    </r>
    <r>
      <rPr>
        <sz val="11"/>
        <rFont val="Noto Sans CJK SC"/>
        <family val="2"/>
      </rPr>
      <t xml:space="preserve">일선 </t>
    </r>
    <r>
      <rPr>
        <sz val="11"/>
        <rFont val="Arial"/>
        <family val="0"/>
        <charset val="1"/>
      </rPr>
      <t xml:space="preserve">&lt; 21</t>
    </r>
    <r>
      <rPr>
        <sz val="11"/>
        <rFont val="Noto Sans CJK SC"/>
        <family val="2"/>
      </rPr>
      <t xml:space="preserve">일선</t>
    </r>
  </si>
  <si>
    <r>
      <rPr>
        <sz val="11"/>
        <rFont val="Arial"/>
        <family val="0"/>
        <charset val="1"/>
      </rPr>
      <t xml:space="preserve">62</t>
    </r>
    <r>
      <rPr>
        <sz val="11"/>
        <rFont val="Noto Sans CJK SC"/>
        <family val="2"/>
      </rPr>
      <t xml:space="preserve">일선 돌파 </t>
    </r>
    <r>
      <rPr>
        <sz val="11"/>
        <rFont val="Arial"/>
        <family val="0"/>
        <charset val="1"/>
      </rPr>
      <t xml:space="preserve">+ 62</t>
    </r>
    <r>
      <rPr>
        <sz val="11"/>
        <rFont val="Noto Sans CJK SC"/>
        <family val="2"/>
      </rPr>
      <t xml:space="preserve">일선 상승 </t>
    </r>
    <r>
      <rPr>
        <sz val="11"/>
        <rFont val="Arial"/>
        <family val="0"/>
        <charset val="1"/>
      </rPr>
      <t xml:space="preserve">+ RSI 40~60</t>
    </r>
  </si>
  <si>
    <r>
      <rPr>
        <sz val="11"/>
        <rFont val="Noto Sans CJK SC"/>
        <family val="2"/>
      </rPr>
      <t xml:space="preserve">종가 </t>
    </r>
    <r>
      <rPr>
        <sz val="11"/>
        <rFont val="Arial"/>
        <family val="0"/>
        <charset val="1"/>
      </rPr>
      <t xml:space="preserve">&lt; 62</t>
    </r>
    <r>
      <rPr>
        <sz val="11"/>
        <rFont val="Noto Sans CJK SC"/>
        <family val="2"/>
      </rPr>
      <t xml:space="preserve">일선</t>
    </r>
  </si>
  <si>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일 연속 상승 </t>
    </r>
    <r>
      <rPr>
        <sz val="11"/>
        <rFont val="Arial"/>
        <family val="0"/>
        <charset val="1"/>
      </rPr>
      <t xml:space="preserve">+ 62</t>
    </r>
    <r>
      <rPr>
        <sz val="11"/>
        <rFont val="Noto Sans CJK SC"/>
        <family val="2"/>
      </rPr>
      <t xml:space="preserve">일선 상승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히스토 양수</t>
    </r>
  </si>
  <si>
    <r>
      <rPr>
        <sz val="11"/>
        <rFont val="Noto Sans CJK SC"/>
        <family val="2"/>
      </rPr>
      <t xml:space="preserve">종가 </t>
    </r>
    <r>
      <rPr>
        <sz val="11"/>
        <rFont val="Arial"/>
        <family val="0"/>
        <charset val="1"/>
      </rPr>
      <t xml:space="preserve">&lt; 5</t>
    </r>
    <r>
      <rPr>
        <sz val="11"/>
        <rFont val="Noto Sans CJK SC"/>
        <family val="2"/>
      </rPr>
      <t xml:space="preserve">일선</t>
    </r>
  </si>
  <si>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일 연속 하락 </t>
    </r>
    <r>
      <rPr>
        <sz val="11"/>
        <rFont val="Arial"/>
        <family val="0"/>
        <charset val="1"/>
      </rPr>
      <t xml:space="preserve">+ 248</t>
    </r>
    <r>
      <rPr>
        <sz val="11"/>
        <rFont val="Noto Sans CJK SC"/>
        <family val="2"/>
      </rPr>
      <t xml:space="preserve">일선 위 </t>
    </r>
    <r>
      <rPr>
        <sz val="11"/>
        <rFont val="Arial"/>
        <family val="0"/>
        <charset val="1"/>
      </rPr>
      <t xml:space="preserve">+ 60</t>
    </r>
    <r>
      <rPr>
        <sz val="11"/>
        <rFont val="Noto Sans CJK SC"/>
        <family val="2"/>
      </rPr>
      <t xml:space="preserve">일 수익 음수</t>
    </r>
  </si>
  <si>
    <r>
      <rPr>
        <sz val="11"/>
        <rFont val="Noto Sans CJK SC"/>
        <family val="2"/>
      </rPr>
      <t xml:space="preserve">종가 </t>
    </r>
    <r>
      <rPr>
        <sz val="11"/>
        <rFont val="Arial"/>
        <family val="0"/>
        <charset val="1"/>
      </rPr>
      <t xml:space="preserve">&gt; </t>
    </r>
    <r>
      <rPr>
        <sz val="11"/>
        <rFont val="Noto Sans CJK SC"/>
        <family val="2"/>
      </rPr>
      <t xml:space="preserve">전일까지 </t>
    </r>
    <r>
      <rPr>
        <sz val="11"/>
        <rFont val="Arial"/>
        <family val="0"/>
        <charset val="1"/>
      </rPr>
      <t xml:space="preserve">10</t>
    </r>
    <r>
      <rPr>
        <sz val="11"/>
        <rFont val="Noto Sans CJK SC"/>
        <family val="2"/>
      </rPr>
      <t xml:space="preserve">일 최고가 또는 </t>
    </r>
    <r>
      <rPr>
        <sz val="11"/>
        <rFont val="Arial"/>
        <family val="0"/>
        <charset val="1"/>
      </rPr>
      <t xml:space="preserve">&lt; </t>
    </r>
    <r>
      <rPr>
        <sz val="11"/>
        <rFont val="Noto Sans CJK SC"/>
        <family val="2"/>
      </rPr>
      <t xml:space="preserve">진입일 </t>
    </r>
    <r>
      <rPr>
        <sz val="11"/>
        <rFont val="Arial"/>
        <family val="0"/>
        <charset val="1"/>
      </rPr>
      <t xml:space="preserve">20</t>
    </r>
    <r>
      <rPr>
        <sz val="11"/>
        <rFont val="Noto Sans CJK SC"/>
        <family val="2"/>
      </rPr>
      <t xml:space="preserve">일 최저가</t>
    </r>
  </si>
  <si>
    <r>
      <rPr>
        <sz val="11"/>
        <rFont val="Arial"/>
        <family val="0"/>
        <charset val="1"/>
      </rPr>
      <t xml:space="preserve">F0.764 </t>
    </r>
    <r>
      <rPr>
        <sz val="11"/>
        <rFont val="Noto Sans CJK SC"/>
        <family val="2"/>
      </rPr>
      <t xml:space="preserve">하향이탈 </t>
    </r>
    <r>
      <rPr>
        <sz val="11"/>
        <rFont val="Arial"/>
        <family val="0"/>
        <charset val="1"/>
      </rPr>
      <t xml:space="preserve">+ 21</t>
    </r>
    <r>
      <rPr>
        <sz val="11"/>
        <rFont val="Noto Sans CJK SC"/>
        <family val="2"/>
      </rPr>
      <t xml:space="preserve">일선 아래 </t>
    </r>
    <r>
      <rPr>
        <sz val="11"/>
        <rFont val="Arial"/>
        <family val="0"/>
        <charset val="1"/>
      </rPr>
      <t xml:space="preserve">2%</t>
    </r>
  </si>
  <si>
    <r>
      <rPr>
        <sz val="11"/>
        <rFont val="Noto Sans CJK SC"/>
        <family val="2"/>
      </rPr>
      <t xml:space="preserve">종가 </t>
    </r>
    <r>
      <rPr>
        <sz val="11"/>
        <rFont val="Arial"/>
        <family val="0"/>
        <charset val="1"/>
      </rPr>
      <t xml:space="preserve">&gt; 0.764 </t>
    </r>
    <r>
      <rPr>
        <sz val="11"/>
        <rFont val="Noto Sans CJK SC"/>
        <family val="2"/>
      </rPr>
      <t xml:space="preserve">레벨</t>
    </r>
  </si>
  <si>
    <r>
      <rPr>
        <sz val="11"/>
        <rFont val="Arial"/>
        <family val="0"/>
        <charset val="1"/>
      </rPr>
      <t xml:space="preserve">F0.309 </t>
    </r>
    <r>
      <rPr>
        <sz val="11"/>
        <rFont val="Noto Sans CJK SC"/>
        <family val="2"/>
      </rPr>
      <t xml:space="preserve">하향이탈 </t>
    </r>
    <r>
      <rPr>
        <sz val="11"/>
        <rFont val="Arial"/>
        <family val="0"/>
        <charset val="1"/>
      </rPr>
      <t xml:space="preserve">+ 62</t>
    </r>
    <r>
      <rPr>
        <sz val="11"/>
        <rFont val="Noto Sans CJK SC"/>
        <family val="2"/>
      </rPr>
      <t xml:space="preserve">일선 하락</t>
    </r>
  </si>
  <si>
    <r>
      <rPr>
        <sz val="11"/>
        <rFont val="Noto Sans CJK SC"/>
        <family val="2"/>
      </rPr>
      <t xml:space="preserve">종가 </t>
    </r>
    <r>
      <rPr>
        <sz val="11"/>
        <rFont val="Arial"/>
        <family val="0"/>
        <charset val="1"/>
      </rPr>
      <t xml:space="preserve">&gt; 0.309 </t>
    </r>
    <r>
      <rPr>
        <sz val="11"/>
        <rFont val="Noto Sans CJK SC"/>
        <family val="2"/>
      </rPr>
      <t xml:space="preserve">레벨</t>
    </r>
  </si>
  <si>
    <r>
      <rPr>
        <sz val="11"/>
        <rFont val="Arial"/>
        <family val="0"/>
        <charset val="1"/>
      </rPr>
      <t xml:space="preserve">21</t>
    </r>
    <r>
      <rPr>
        <sz val="11"/>
        <rFont val="Noto Sans CJK SC"/>
        <family val="2"/>
      </rPr>
      <t xml:space="preserve">일선 돌파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변동성 중간 </t>
    </r>
    <r>
      <rPr>
        <sz val="11"/>
        <rFont val="Arial"/>
        <family val="0"/>
        <charset val="1"/>
      </rPr>
      <t xml:space="preserve">+ 5</t>
    </r>
    <r>
      <rPr>
        <sz val="11"/>
        <rFont val="Noto Sans CJK SC"/>
        <family val="2"/>
      </rPr>
      <t xml:space="preserve">일 수익 음수</t>
    </r>
  </si>
  <si>
    <r>
      <rPr>
        <sz val="11"/>
        <rFont val="Noto Sans CJK SC"/>
        <family val="2"/>
      </rPr>
      <t xml:space="preserve">종가 </t>
    </r>
    <r>
      <rPr>
        <sz val="11"/>
        <rFont val="Arial"/>
        <family val="0"/>
        <charset val="1"/>
      </rPr>
      <t xml:space="preserve">&lt; 21</t>
    </r>
    <r>
      <rPr>
        <sz val="11"/>
        <rFont val="Noto Sans CJK SC"/>
        <family val="2"/>
      </rPr>
      <t xml:space="preserve">일선</t>
    </r>
  </si>
  <si>
    <r>
      <rPr>
        <sz val="11"/>
        <rFont val="Arial"/>
        <family val="0"/>
        <charset val="1"/>
      </rPr>
      <t xml:space="preserve">[</t>
    </r>
    <r>
      <rPr>
        <sz val="11"/>
        <rFont val="Noto Sans CJK SC"/>
        <family val="2"/>
      </rPr>
      <t xml:space="preserve">숏</t>
    </r>
    <r>
      <rPr>
        <sz val="11"/>
        <rFont val="Arial"/>
        <family val="0"/>
        <charset val="1"/>
      </rPr>
      <t xml:space="preserve">] 21</t>
    </r>
    <r>
      <rPr>
        <sz val="11"/>
        <rFont val="Noto Sans CJK SC"/>
        <family val="2"/>
      </rPr>
      <t xml:space="preserve">일선 이탈 </t>
    </r>
    <r>
      <rPr>
        <sz val="11"/>
        <rFont val="Arial"/>
        <family val="0"/>
        <charset val="1"/>
      </rPr>
      <t xml:space="preserve">+ 5</t>
    </r>
    <r>
      <rPr>
        <sz val="11"/>
        <rFont val="Noto Sans CJK SC"/>
        <family val="2"/>
      </rPr>
      <t xml:space="preserve">일</t>
    </r>
    <r>
      <rPr>
        <sz val="11"/>
        <rFont val="Arial"/>
        <family val="0"/>
        <charset val="1"/>
      </rPr>
      <t xml:space="preserve">·20</t>
    </r>
    <r>
      <rPr>
        <sz val="11"/>
        <rFont val="Noto Sans CJK SC"/>
        <family val="2"/>
      </rPr>
      <t xml:space="preserve">일 수익 양수</t>
    </r>
  </si>
  <si>
    <r>
      <rPr>
        <sz val="11"/>
        <rFont val="Noto Sans CJK SC"/>
        <family val="2"/>
      </rPr>
      <t xml:space="preserve">종가 </t>
    </r>
    <r>
      <rPr>
        <sz val="11"/>
        <rFont val="Arial"/>
        <family val="0"/>
        <charset val="1"/>
      </rPr>
      <t xml:space="preserve">&gt; 21</t>
    </r>
    <r>
      <rPr>
        <sz val="11"/>
        <rFont val="Noto Sans CJK SC"/>
        <family val="2"/>
      </rPr>
      <t xml:space="preserve">일선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환매</t>
    </r>
    <r>
      <rPr>
        <sz val="11"/>
        <rFont val="Arial"/>
        <family val="0"/>
        <charset val="1"/>
      </rPr>
      <t xml:space="preserve">)</t>
    </r>
  </si>
  <si>
    <t xml:space="preserve">합계</t>
  </si>
  <si>
    <r>
      <rPr>
        <sz val="9"/>
        <color rgb="FF555555"/>
        <rFont val="Noto Sans CJK SC"/>
        <family val="2"/>
      </rPr>
      <t xml:space="preserve">시트 안내</t>
    </r>
    <r>
      <rPr>
        <sz val="9"/>
        <color rgb="FF555555"/>
        <rFont val="Arial"/>
        <family val="0"/>
        <charset val="1"/>
      </rPr>
      <t xml:space="preserve">: "</t>
    </r>
    <r>
      <rPr>
        <sz val="9"/>
        <color rgb="FF555555"/>
        <rFont val="Noto Sans CJK SC"/>
        <family val="2"/>
      </rPr>
      <t xml:space="preserve">전체</t>
    </r>
    <r>
      <rPr>
        <sz val="9"/>
        <color rgb="FF555555"/>
        <rFont val="Arial"/>
        <family val="0"/>
        <charset val="1"/>
      </rPr>
      <t xml:space="preserve">" = 803</t>
    </r>
    <r>
      <rPr>
        <sz val="9"/>
        <color rgb="FF555555"/>
        <rFont val="Noto Sans CJK SC"/>
        <family val="2"/>
      </rPr>
      <t xml:space="preserve">건 날짜순 </t>
    </r>
    <r>
      <rPr>
        <sz val="9"/>
        <color rgb="FF555555"/>
        <rFont val="Arial"/>
        <family val="0"/>
        <charset val="1"/>
      </rPr>
      <t xml:space="preserve">(</t>
    </r>
    <r>
      <rPr>
        <sz val="9"/>
        <color rgb="FF555555"/>
        <rFont val="Noto Sans CJK SC"/>
        <family val="2"/>
      </rPr>
      <t xml:space="preserve">자동필터로 패턴 골라 보기</t>
    </r>
    <r>
      <rPr>
        <sz val="9"/>
        <color rgb="FF555555"/>
        <rFont val="Arial"/>
        <family val="0"/>
        <charset val="1"/>
      </rPr>
      <t xml:space="preserve">). "#1"~"#11" = </t>
    </r>
    <r>
      <rPr>
        <sz val="9"/>
        <color rgb="FF555555"/>
        <rFont val="Noto Sans CJK SC"/>
        <family val="2"/>
      </rPr>
      <t xml:space="preserve">패턴별 목록</t>
    </r>
    <r>
      <rPr>
        <sz val="9"/>
        <color rgb="FF555555"/>
        <rFont val="Arial"/>
        <family val="0"/>
        <charset val="1"/>
      </rPr>
      <t xml:space="preserve">. </t>
    </r>
    <r>
      <rPr>
        <sz val="9"/>
        <color rgb="FF555555"/>
        <rFont val="Noto Sans CJK SC"/>
        <family val="2"/>
      </rPr>
      <t xml:space="preserve">매수 신호일은 종가에 신호가 확정된 날이고</t>
    </r>
    <r>
      <rPr>
        <sz val="9"/>
        <color rgb="FF555555"/>
        <rFont val="Arial"/>
        <family val="0"/>
        <charset val="1"/>
      </rPr>
      <t xml:space="preserve">, </t>
    </r>
    <r>
      <rPr>
        <sz val="9"/>
        <color rgb="FF555555"/>
        <rFont val="Noto Sans CJK SC"/>
        <family val="2"/>
      </rPr>
      <t xml:space="preserve">실제 </t>
    </r>
    <r>
      <rPr>
        <sz val="9"/>
        <color rgb="FF555555"/>
        <rFont val="Arial"/>
        <family val="0"/>
        <charset val="1"/>
      </rPr>
      <t xml:space="preserve">ETF </t>
    </r>
    <r>
      <rPr>
        <sz val="9"/>
        <color rgb="FF555555"/>
        <rFont val="Noto Sans CJK SC"/>
        <family val="2"/>
      </rPr>
      <t xml:space="preserve">매수는 그 다음 거래일 시가</t>
    </r>
    <r>
      <rPr>
        <sz val="9"/>
        <color rgb="FF555555"/>
        <rFont val="Arial"/>
        <family val="0"/>
        <charset val="1"/>
      </rPr>
      <t xml:space="preserve">(F</t>
    </r>
    <r>
      <rPr>
        <sz val="9"/>
        <color rgb="FF555555"/>
        <rFont val="Noto Sans CJK SC"/>
        <family val="2"/>
      </rPr>
      <t xml:space="preserve">열</t>
    </r>
    <r>
      <rPr>
        <sz val="9"/>
        <color rgb="FF555555"/>
        <rFont val="Arial"/>
        <family val="0"/>
        <charset val="1"/>
      </rPr>
      <t xml:space="preserve">)</t>
    </r>
    <r>
      <rPr>
        <sz val="9"/>
        <color rgb="FF555555"/>
        <rFont val="Noto Sans CJK SC"/>
        <family val="2"/>
      </rPr>
      <t xml:space="preserve">입니다</t>
    </r>
    <r>
      <rPr>
        <sz val="9"/>
        <color rgb="FF555555"/>
        <rFont val="Arial"/>
        <family val="0"/>
        <charset val="1"/>
      </rPr>
      <t xml:space="preserve">.</t>
    </r>
  </si>
  <si>
    <r>
      <rPr>
        <b val="true"/>
        <sz val="12"/>
        <rFont val="Noto Sans CJK SC"/>
        <family val="2"/>
      </rPr>
      <t xml:space="preserve">복리 운영 결과 </t>
    </r>
    <r>
      <rPr>
        <b val="true"/>
        <sz val="12"/>
        <rFont val="Arial"/>
        <family val="0"/>
        <charset val="1"/>
      </rPr>
      <t xml:space="preserve">- 11</t>
    </r>
    <r>
      <rPr>
        <b val="true"/>
        <sz val="12"/>
        <rFont val="Noto Sans CJK SC"/>
        <family val="2"/>
      </rPr>
      <t xml:space="preserve">패턴</t>
    </r>
    <r>
      <rPr>
        <b val="true"/>
        <sz val="12"/>
        <rFont val="Arial"/>
        <family val="0"/>
        <charset val="1"/>
      </rPr>
      <t xml:space="preserve">, </t>
    </r>
    <r>
      <rPr>
        <b val="true"/>
        <sz val="12"/>
        <rFont val="Noto Sans CJK SC"/>
        <family val="2"/>
      </rPr>
      <t xml:space="preserve">예수금 </t>
    </r>
    <r>
      <rPr>
        <b val="true"/>
        <sz val="12"/>
        <rFont val="Arial"/>
        <family val="0"/>
        <charset val="1"/>
      </rPr>
      <t xml:space="preserve">20% x </t>
    </r>
    <r>
      <rPr>
        <b val="true"/>
        <sz val="12"/>
        <rFont val="Noto Sans CJK SC"/>
        <family val="2"/>
      </rPr>
      <t xml:space="preserve">최대 </t>
    </r>
    <r>
      <rPr>
        <b val="true"/>
        <sz val="12"/>
        <rFont val="Arial"/>
        <family val="0"/>
        <charset val="1"/>
      </rPr>
      <t xml:space="preserve">5</t>
    </r>
    <r>
      <rPr>
        <b val="true"/>
        <sz val="12"/>
        <rFont val="Noto Sans CJK SC"/>
        <family val="2"/>
      </rPr>
      <t xml:space="preserve">건</t>
    </r>
    <r>
      <rPr>
        <b val="true"/>
        <sz val="12"/>
        <rFont val="Arial"/>
        <family val="0"/>
        <charset val="1"/>
      </rPr>
      <t xml:space="preserve">, KODEX </t>
    </r>
    <r>
      <rPr>
        <b val="true"/>
        <sz val="12"/>
        <rFont val="Noto Sans CJK SC"/>
        <family val="2"/>
      </rPr>
      <t xml:space="preserve">레버리지</t>
    </r>
    <r>
      <rPr>
        <b val="true"/>
        <sz val="12"/>
        <rFont val="Arial"/>
        <family val="0"/>
        <charset val="1"/>
      </rPr>
      <t xml:space="preserve">, </t>
    </r>
    <r>
      <rPr>
        <b val="true"/>
        <sz val="12"/>
        <rFont val="Noto Sans CJK SC"/>
        <family val="2"/>
      </rPr>
      <t xml:space="preserve">매수 다음날 종가</t>
    </r>
    <r>
      <rPr>
        <b val="true"/>
        <sz val="12"/>
        <rFont val="Arial"/>
        <family val="0"/>
        <charset val="1"/>
      </rPr>
      <t xml:space="preserve">·</t>
    </r>
    <r>
      <rPr>
        <b val="true"/>
        <sz val="12"/>
        <rFont val="Noto Sans CJK SC"/>
        <family val="2"/>
      </rPr>
      <t xml:space="preserve">매도 다음날 시가</t>
    </r>
    <r>
      <rPr>
        <b val="true"/>
        <sz val="12"/>
        <rFont val="Arial"/>
        <family val="0"/>
        <charset val="1"/>
      </rPr>
      <t xml:space="preserve">, </t>
    </r>
    <r>
      <rPr>
        <b val="true"/>
        <sz val="12"/>
        <rFont val="Noto Sans CJK SC"/>
        <family val="2"/>
      </rPr>
      <t xml:space="preserve">일간 평가</t>
    </r>
  </si>
  <si>
    <r>
      <rPr>
        <i val="true"/>
        <sz val="9"/>
        <color rgb="FF555555"/>
        <rFont val="Noto Sans CJK SC"/>
        <family val="2"/>
      </rPr>
      <t xml:space="preserve">매 건을 그 시점 자산의 </t>
    </r>
    <r>
      <rPr>
        <i val="true"/>
        <sz val="9"/>
        <color rgb="FF555555"/>
        <rFont val="Arial"/>
        <family val="0"/>
        <charset val="1"/>
      </rPr>
      <t xml:space="preserve">20%</t>
    </r>
    <r>
      <rPr>
        <i val="true"/>
        <sz val="9"/>
        <color rgb="FF555555"/>
        <rFont val="Noto Sans CJK SC"/>
        <family val="2"/>
      </rPr>
      <t xml:space="preserve">로 사고</t>
    </r>
    <r>
      <rPr>
        <i val="true"/>
        <sz val="9"/>
        <color rgb="FF555555"/>
        <rFont val="Arial"/>
        <family val="0"/>
        <charset val="1"/>
      </rPr>
      <t xml:space="preserve">(</t>
    </r>
    <r>
      <rPr>
        <i val="true"/>
        <sz val="9"/>
        <color rgb="FF555555"/>
        <rFont val="Noto Sans CJK SC"/>
        <family val="2"/>
      </rPr>
      <t xml:space="preserve">재투자</t>
    </r>
    <r>
      <rPr>
        <i val="true"/>
        <sz val="9"/>
        <color rgb="FF555555"/>
        <rFont val="Arial"/>
        <family val="0"/>
        <charset val="1"/>
      </rPr>
      <t xml:space="preserve">), 2</t>
    </r>
    <r>
      <rPr>
        <i val="true"/>
        <sz val="9"/>
        <color rgb="FF555555"/>
        <rFont val="Noto Sans CJK SC"/>
        <family val="2"/>
      </rPr>
      <t xml:space="preserve">배 </t>
    </r>
    <r>
      <rPr>
        <i val="true"/>
        <sz val="9"/>
        <color rgb="FF555555"/>
        <rFont val="Arial"/>
        <family val="0"/>
        <charset val="1"/>
      </rPr>
      <t xml:space="preserve">ETF</t>
    </r>
    <r>
      <rPr>
        <i val="true"/>
        <sz val="9"/>
        <color rgb="FF555555"/>
        <rFont val="Noto Sans CJK SC"/>
        <family val="2"/>
      </rPr>
      <t xml:space="preserve">는 일간 복리</t>
    </r>
    <r>
      <rPr>
        <i val="true"/>
        <sz val="9"/>
        <color rgb="FF555555"/>
        <rFont val="Arial"/>
        <family val="0"/>
        <charset val="1"/>
      </rPr>
      <t xml:space="preserve">, </t>
    </r>
    <r>
      <rPr>
        <i val="true"/>
        <sz val="9"/>
        <color rgb="FF555555"/>
        <rFont val="Noto Sans CJK SC"/>
        <family val="2"/>
      </rPr>
      <t xml:space="preserve">매일 종가로 자산 평가</t>
    </r>
    <r>
      <rPr>
        <i val="true"/>
        <sz val="9"/>
        <color rgb="FF555555"/>
        <rFont val="Arial"/>
        <family val="0"/>
        <charset val="1"/>
      </rPr>
      <t xml:space="preserve">. "</t>
    </r>
    <r>
      <rPr>
        <i val="true"/>
        <sz val="9"/>
        <color rgb="FF555555"/>
        <rFont val="Noto Sans CJK SC"/>
        <family val="2"/>
      </rPr>
      <t xml:space="preserve">요약</t>
    </r>
    <r>
      <rPr>
        <i val="true"/>
        <sz val="9"/>
        <color rgb="FF555555"/>
        <rFont val="Arial"/>
        <family val="0"/>
        <charset val="1"/>
      </rPr>
      <t xml:space="preserve">"·"#n" </t>
    </r>
    <r>
      <rPr>
        <i val="true"/>
        <sz val="9"/>
        <color rgb="FF555555"/>
        <rFont val="Noto Sans CJK SC"/>
        <family val="2"/>
      </rPr>
      <t xml:space="preserve">시트의 합산 수익률은 지수 </t>
    </r>
    <r>
      <rPr>
        <i val="true"/>
        <sz val="9"/>
        <color rgb="FF555555"/>
        <rFont val="Arial"/>
        <family val="0"/>
        <charset val="1"/>
      </rPr>
      <t xml:space="preserve">1</t>
    </r>
    <r>
      <rPr>
        <i val="true"/>
        <sz val="9"/>
        <color rgb="FF555555"/>
        <rFont val="Noto Sans CJK SC"/>
        <family val="2"/>
      </rPr>
      <t xml:space="preserve">배 건별 수익률의 단순 합</t>
    </r>
    <r>
      <rPr>
        <i val="true"/>
        <sz val="9"/>
        <color rgb="FF555555"/>
        <rFont val="Arial"/>
        <family val="0"/>
        <charset val="1"/>
      </rPr>
      <t xml:space="preserve">(</t>
    </r>
    <r>
      <rPr>
        <i val="true"/>
        <sz val="9"/>
        <color rgb="FF555555"/>
        <rFont val="Noto Sans CJK SC"/>
        <family val="2"/>
      </rPr>
      <t xml:space="preserve">패턴 비교용</t>
    </r>
    <r>
      <rPr>
        <i val="true"/>
        <sz val="9"/>
        <color rgb="FF555555"/>
        <rFont val="Arial"/>
        <family val="0"/>
        <charset val="1"/>
      </rPr>
      <t xml:space="preserve">)</t>
    </r>
    <r>
      <rPr>
        <i val="true"/>
        <sz val="9"/>
        <color rgb="FF555555"/>
        <rFont val="Noto Sans CJK SC"/>
        <family val="2"/>
      </rPr>
      <t xml:space="preserve">이고 여기가 실제 운영 기준입니다</t>
    </r>
    <r>
      <rPr>
        <i val="true"/>
        <sz val="9"/>
        <color rgb="FF555555"/>
        <rFont val="Arial"/>
        <family val="0"/>
        <charset val="1"/>
      </rPr>
      <t xml:space="preserve">.</t>
    </r>
  </si>
  <si>
    <t xml:space="preserve">연도</t>
  </si>
  <si>
    <r>
      <rPr>
        <b val="true"/>
        <sz val="11"/>
        <rFont val="Noto Sans CJK SC"/>
        <family val="2"/>
      </rPr>
      <t xml:space="preserve">연초 자산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원</t>
    </r>
    <r>
      <rPr>
        <b val="true"/>
        <sz val="11"/>
        <rFont val="Arial"/>
        <family val="0"/>
        <charset val="1"/>
      </rPr>
      <t xml:space="preserve">)</t>
    </r>
  </si>
  <si>
    <r>
      <rPr>
        <b val="true"/>
        <sz val="11"/>
        <rFont val="Noto Sans CJK SC"/>
        <family val="2"/>
      </rPr>
      <t xml:space="preserve">연말 자산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원</t>
    </r>
    <r>
      <rPr>
        <b val="true"/>
        <sz val="11"/>
        <rFont val="Arial"/>
        <family val="0"/>
        <charset val="1"/>
      </rPr>
      <t xml:space="preserve">)</t>
    </r>
  </si>
  <si>
    <t xml:space="preserve">연간 수익률</t>
  </si>
  <si>
    <r>
      <rPr>
        <b val="true"/>
        <sz val="11"/>
        <rFont val="Noto Sans CJK SC"/>
        <family val="2"/>
      </rPr>
      <t xml:space="preserve">연간 손익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원</t>
    </r>
    <r>
      <rPr>
        <b val="true"/>
        <sz val="11"/>
        <rFont val="Arial"/>
        <family val="0"/>
        <charset val="1"/>
      </rPr>
      <t xml:space="preserve">)</t>
    </r>
  </si>
  <si>
    <t xml:space="preserve">전체</t>
  </si>
  <si>
    <t xml:space="preserve">최종 배수</t>
  </si>
  <si>
    <t xml:space="preserve">CAGR</t>
  </si>
  <si>
    <r>
      <rPr>
        <sz val="9"/>
        <color rgb="FF555555"/>
        <rFont val="Noto Sans CJK SC"/>
        <family val="2"/>
      </rPr>
      <t xml:space="preserve">기간 </t>
    </r>
    <r>
      <rPr>
        <sz val="9"/>
        <color rgb="FF555555"/>
        <rFont val="Arial"/>
        <family val="0"/>
        <charset val="1"/>
      </rPr>
      <t xml:space="preserve">24.3</t>
    </r>
    <r>
      <rPr>
        <sz val="9"/>
        <color rgb="FF555555"/>
        <rFont val="Noto Sans CJK SC"/>
        <family val="2"/>
      </rPr>
      <t xml:space="preserve">년 </t>
    </r>
    <r>
      <rPr>
        <sz val="9"/>
        <color rgb="FF555555"/>
        <rFont val="Arial"/>
        <family val="0"/>
        <charset val="1"/>
      </rPr>
      <t xml:space="preserve">(2002-05-30 ~ 2026-09-23)</t>
    </r>
  </si>
  <si>
    <t xml:space="preserve">최대 낙폭</t>
  </si>
  <si>
    <t xml:space="preserve">일간 평가 기준 고점 대비</t>
  </si>
  <si>
    <t xml:space="preserve">거래 건수</t>
  </si>
  <si>
    <t xml:space="preserve">단순 합산이라면</t>
  </si>
  <si>
    <r>
      <rPr>
        <sz val="9"/>
        <color rgb="FF555555"/>
        <rFont val="Noto Sans CJK SC"/>
        <family val="2"/>
      </rPr>
      <t xml:space="preserve">재투자 없이 항상 처음 예수금의 </t>
    </r>
    <r>
      <rPr>
        <sz val="9"/>
        <color rgb="FF555555"/>
        <rFont val="Arial"/>
        <family val="0"/>
        <charset val="1"/>
      </rPr>
      <t xml:space="preserve">20%</t>
    </r>
    <r>
      <rPr>
        <sz val="9"/>
        <color rgb="FF555555"/>
        <rFont val="Noto Sans CJK SC"/>
        <family val="2"/>
      </rPr>
      <t xml:space="preserve">씩만 샀을 때 </t>
    </r>
    <r>
      <rPr>
        <sz val="9"/>
        <color rgb="FF555555"/>
        <rFont val="Arial"/>
        <family val="0"/>
        <charset val="1"/>
      </rPr>
      <t xml:space="preserve">(</t>
    </r>
    <r>
      <rPr>
        <sz val="9"/>
        <color rgb="FF555555"/>
        <rFont val="Noto Sans CJK SC"/>
        <family val="2"/>
      </rPr>
      <t xml:space="preserve">건별 손익 단순 합</t>
    </r>
    <r>
      <rPr>
        <sz val="9"/>
        <color rgb="FF555555"/>
        <rFont val="Arial"/>
        <family val="0"/>
        <charset val="1"/>
      </rPr>
      <t xml:space="preserve">)</t>
    </r>
  </si>
  <si>
    <r>
      <rPr>
        <b val="true"/>
        <sz val="11"/>
        <rFont val="Noto Sans CJK SC"/>
        <family val="2"/>
      </rPr>
      <t xml:space="preserve">패턴 하나만 같은 규칙으로 굴렸을 때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건마다 그때 자산의 </t>
    </r>
    <r>
      <rPr>
        <b val="true"/>
        <sz val="11"/>
        <rFont val="Arial"/>
        <family val="0"/>
        <charset val="1"/>
      </rPr>
      <t xml:space="preserve">20%, </t>
    </r>
    <r>
      <rPr>
        <b val="true"/>
        <sz val="11"/>
        <rFont val="Noto Sans CJK SC"/>
        <family val="2"/>
      </rPr>
      <t xml:space="preserve">복리</t>
    </r>
    <r>
      <rPr>
        <b val="true"/>
        <sz val="11"/>
        <rFont val="Arial"/>
        <family val="0"/>
        <charset val="1"/>
      </rPr>
      <t xml:space="preserve">)</t>
    </r>
  </si>
  <si>
    <r>
      <rPr>
        <b val="true"/>
        <sz val="11"/>
        <rFont val="Noto Sans CJK SC"/>
        <family val="2"/>
      </rPr>
      <t xml:space="preserve">건별 합산 </t>
    </r>
    <r>
      <rPr>
        <b val="true"/>
        <sz val="11"/>
        <rFont val="Arial"/>
        <family val="0"/>
        <charset val="1"/>
      </rPr>
      <t xml:space="preserve">(2</t>
    </r>
    <r>
      <rPr>
        <b val="true"/>
        <sz val="11"/>
        <rFont val="Noto Sans CJK SC"/>
        <family val="2"/>
      </rPr>
      <t xml:space="preserve">배 </t>
    </r>
    <r>
      <rPr>
        <b val="true"/>
        <sz val="11"/>
        <rFont val="Arial"/>
        <family val="0"/>
        <charset val="1"/>
      </rPr>
      <t xml:space="preserve">ETF </t>
    </r>
    <r>
      <rPr>
        <b val="true"/>
        <sz val="11"/>
        <rFont val="Noto Sans CJK SC"/>
        <family val="2"/>
      </rPr>
      <t xml:space="preserve">포지션 기준</t>
    </r>
    <r>
      <rPr>
        <b val="true"/>
        <sz val="11"/>
        <rFont val="Arial"/>
        <family val="0"/>
        <charset val="1"/>
      </rPr>
      <t xml:space="preserve">)</t>
    </r>
  </si>
  <si>
    <t xml:space="preserve">복리 최종 배수</t>
  </si>
  <si>
    <r>
      <rPr>
        <b val="true"/>
        <sz val="11"/>
        <rFont val="Noto Sans CJK SC"/>
        <family val="2"/>
      </rPr>
      <t xml:space="preserve">복리 </t>
    </r>
    <r>
      <rPr>
        <b val="true"/>
        <sz val="11"/>
        <rFont val="Arial"/>
        <family val="0"/>
        <charset val="1"/>
      </rPr>
      <t xml:space="preserve">CAGR</t>
    </r>
  </si>
  <si>
    <r>
      <rPr>
        <b val="true"/>
        <sz val="11"/>
        <rFont val="Noto Sans CJK SC"/>
        <family val="2"/>
      </rPr>
      <t xml:space="preserve">최종 자산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원</t>
    </r>
    <r>
      <rPr>
        <b val="true"/>
        <sz val="11"/>
        <rFont val="Arial"/>
        <family val="0"/>
        <charset val="1"/>
      </rPr>
      <t xml:space="preserve">)</t>
    </r>
  </si>
  <si>
    <r>
      <rPr>
        <b val="true"/>
        <sz val="12"/>
        <rFont val="Noto Sans CJK SC"/>
        <family val="2"/>
      </rPr>
      <t xml:space="preserve">전체 매매 목록 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날짜순</t>
    </r>
    <r>
      <rPr>
        <b val="true"/>
        <sz val="12"/>
        <rFont val="Arial"/>
        <family val="0"/>
        <charset val="1"/>
      </rPr>
      <t xml:space="preserve">)</t>
    </r>
  </si>
  <si>
    <r>
      <rPr>
        <i val="true"/>
        <sz val="9"/>
        <color rgb="FF555555"/>
        <rFont val="Noto Sans CJK SC"/>
        <family val="2"/>
      </rPr>
      <t xml:space="preserve">패턴 단독 시뮬 </t>
    </r>
    <r>
      <rPr>
        <i val="true"/>
        <sz val="9"/>
        <color rgb="FF555555"/>
        <rFont val="Arial"/>
        <family val="0"/>
        <charset val="1"/>
      </rPr>
      <t xml:space="preserve">· </t>
    </r>
    <r>
      <rPr>
        <i val="true"/>
        <sz val="9"/>
        <color rgb="FF555555"/>
        <rFont val="Noto Sans CJK SC"/>
        <family val="2"/>
      </rPr>
      <t xml:space="preserve">신호일 종가 진입</t>
    </r>
    <r>
      <rPr>
        <i val="true"/>
        <sz val="9"/>
        <color rgb="FF555555"/>
        <rFont val="Arial"/>
        <family val="0"/>
        <charset val="1"/>
      </rPr>
      <t xml:space="preserve">, </t>
    </r>
    <r>
      <rPr>
        <i val="true"/>
        <sz val="9"/>
        <color rgb="FF555555"/>
        <rFont val="Noto Sans CJK SC"/>
        <family val="2"/>
      </rPr>
      <t xml:space="preserve">청산 신호일 종가 청산</t>
    </r>
    <r>
      <rPr>
        <i val="true"/>
        <sz val="9"/>
        <color rgb="FF555555"/>
        <rFont val="Arial"/>
        <family val="0"/>
        <charset val="1"/>
      </rPr>
      <t xml:space="preserve">(</t>
    </r>
    <r>
      <rPr>
        <i val="true"/>
        <sz val="9"/>
        <color rgb="FF555555"/>
        <rFont val="Noto Sans CJK SC"/>
        <family val="2"/>
      </rPr>
      <t xml:space="preserve">손절은 장중</t>
    </r>
    <r>
      <rPr>
        <i val="true"/>
        <sz val="9"/>
        <color rgb="FF555555"/>
        <rFont val="Arial"/>
        <family val="0"/>
        <charset val="1"/>
      </rPr>
      <t xml:space="preserve">, </t>
    </r>
    <r>
      <rPr>
        <i val="true"/>
        <sz val="9"/>
        <color rgb="FF555555"/>
        <rFont val="Noto Sans CJK SC"/>
        <family val="2"/>
      </rPr>
      <t xml:space="preserve">갭이면 시가</t>
    </r>
    <r>
      <rPr>
        <i val="true"/>
        <sz val="9"/>
        <color rgb="FF555555"/>
        <rFont val="Arial"/>
        <family val="0"/>
        <charset val="1"/>
      </rPr>
      <t xml:space="preserve">) · </t>
    </r>
    <r>
      <rPr>
        <i val="true"/>
        <sz val="9"/>
        <color rgb="FF555555"/>
        <rFont val="Noto Sans CJK SC"/>
        <family val="2"/>
      </rPr>
      <t xml:space="preserve">손절선 </t>
    </r>
    <r>
      <rPr>
        <i val="true"/>
        <sz val="9"/>
        <color rgb="FF555555"/>
        <rFont val="Arial"/>
        <family val="0"/>
        <charset val="1"/>
      </rPr>
      <t xml:space="preserve">= </t>
    </r>
    <r>
      <rPr>
        <i val="true"/>
        <sz val="9"/>
        <color rgb="FF555555"/>
        <rFont val="Noto Sans CJK SC"/>
        <family val="2"/>
      </rPr>
      <t xml:space="preserve">신호일 종가 </t>
    </r>
    <r>
      <rPr>
        <i val="true"/>
        <sz val="9"/>
        <color rgb="FF555555"/>
        <rFont val="Arial"/>
        <family val="0"/>
        <charset val="1"/>
      </rPr>
      <t xml:space="preserve">- min(5 ATR20, 10%) · </t>
    </r>
    <r>
      <rPr>
        <i val="true"/>
        <sz val="9"/>
        <color rgb="FF555555"/>
        <rFont val="Noto Sans CJK SC"/>
        <family val="2"/>
      </rPr>
      <t xml:space="preserve">장기선 </t>
    </r>
    <r>
      <rPr>
        <i val="true"/>
        <sz val="9"/>
        <color rgb="FF555555"/>
        <rFont val="Arial"/>
        <family val="0"/>
        <charset val="1"/>
      </rPr>
      <t xml:space="preserve">248</t>
    </r>
    <r>
      <rPr>
        <i val="true"/>
        <sz val="9"/>
        <color rgb="FF555555"/>
        <rFont val="Noto Sans CJK SC"/>
        <family val="2"/>
      </rPr>
      <t xml:space="preserve">일 </t>
    </r>
    <r>
      <rPr>
        <i val="true"/>
        <sz val="9"/>
        <color rgb="FF555555"/>
        <rFont val="Arial"/>
        <family val="0"/>
        <charset val="1"/>
      </rPr>
      <t xml:space="preserve">· </t>
    </r>
    <r>
      <rPr>
        <i val="true"/>
        <sz val="9"/>
        <color rgb="FF555555"/>
        <rFont val="Noto Sans CJK SC"/>
        <family val="2"/>
      </rPr>
      <t xml:space="preserve">실제 </t>
    </r>
    <r>
      <rPr>
        <i val="true"/>
        <sz val="9"/>
        <color rgb="FF555555"/>
        <rFont val="Arial"/>
        <family val="0"/>
        <charset val="1"/>
      </rPr>
      <t xml:space="preserve">ETF </t>
    </r>
    <r>
      <rPr>
        <i val="true"/>
        <sz val="9"/>
        <color rgb="FF555555"/>
        <rFont val="Noto Sans CJK SC"/>
        <family val="2"/>
      </rPr>
      <t xml:space="preserve">매매는 다음 거래일 시가 </t>
    </r>
    <r>
      <rPr>
        <i val="true"/>
        <sz val="9"/>
        <color rgb="FF555555"/>
        <rFont val="Arial"/>
        <family val="0"/>
        <charset val="1"/>
      </rPr>
      <t xml:space="preserve">(F</t>
    </r>
    <r>
      <rPr>
        <i val="true"/>
        <sz val="9"/>
        <color rgb="FF555555"/>
        <rFont val="Noto Sans CJK SC"/>
        <family val="2"/>
      </rPr>
      <t xml:space="preserve">열</t>
    </r>
    <r>
      <rPr>
        <i val="true"/>
        <sz val="9"/>
        <color rgb="FF555555"/>
        <rFont val="Arial"/>
        <family val="0"/>
        <charset val="1"/>
      </rPr>
      <t xml:space="preserve">, K</t>
    </r>
    <r>
      <rPr>
        <i val="true"/>
        <sz val="9"/>
        <color rgb="FF555555"/>
        <rFont val="Noto Sans CJK SC"/>
        <family val="2"/>
      </rPr>
      <t xml:space="preserve">열</t>
    </r>
    <r>
      <rPr>
        <i val="true"/>
        <sz val="9"/>
        <color rgb="FF555555"/>
        <rFont val="Arial"/>
        <family val="0"/>
        <charset val="1"/>
      </rPr>
      <t xml:space="preserve">)</t>
    </r>
  </si>
  <si>
    <t xml:space="preserve">방향</t>
  </si>
  <si>
    <r>
      <rPr>
        <b val="true"/>
        <sz val="11"/>
        <rFont val="Noto Sans CJK SC"/>
        <family val="2"/>
      </rPr>
      <t xml:space="preserve">매수 신호일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종가</t>
    </r>
    <r>
      <rPr>
        <b val="true"/>
        <sz val="11"/>
        <rFont val="Arial"/>
        <family val="0"/>
        <charset val="1"/>
      </rPr>
      <t xml:space="preserve">)</t>
    </r>
  </si>
  <si>
    <t xml:space="preserve">신호일 지수 종가</t>
  </si>
  <si>
    <r>
      <rPr>
        <b val="true"/>
        <sz val="11"/>
        <rFont val="Arial"/>
        <family val="0"/>
        <charset val="1"/>
      </rPr>
      <t xml:space="preserve">ETF </t>
    </r>
    <r>
      <rPr>
        <b val="true"/>
        <sz val="11"/>
        <rFont val="Noto Sans CJK SC"/>
        <family val="2"/>
      </rPr>
      <t xml:space="preserve">매수일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다음 거래일 시가</t>
    </r>
    <r>
      <rPr>
        <b val="true"/>
        <sz val="11"/>
        <rFont val="Arial"/>
        <family val="0"/>
        <charset val="1"/>
      </rPr>
      <t xml:space="preserve">)</t>
    </r>
  </si>
  <si>
    <t xml:space="preserve">매수일 지수 시가</t>
  </si>
  <si>
    <t xml:space="preserve">지수 손절선</t>
  </si>
  <si>
    <t xml:space="preserve">청산 신호일</t>
  </si>
  <si>
    <r>
      <rPr>
        <b val="true"/>
        <sz val="11"/>
        <rFont val="Noto Sans CJK SC"/>
        <family val="2"/>
      </rPr>
      <t xml:space="preserve">청산 지수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체결 기준</t>
    </r>
    <r>
      <rPr>
        <b val="true"/>
        <sz val="11"/>
        <rFont val="Arial"/>
        <family val="0"/>
        <charset val="1"/>
      </rPr>
      <t xml:space="preserve">)</t>
    </r>
  </si>
  <si>
    <r>
      <rPr>
        <b val="true"/>
        <sz val="11"/>
        <rFont val="Arial"/>
        <family val="0"/>
        <charset val="1"/>
      </rPr>
      <t xml:space="preserve">ETF </t>
    </r>
    <r>
      <rPr>
        <b val="true"/>
        <sz val="11"/>
        <rFont val="Noto Sans CJK SC"/>
        <family val="2"/>
      </rPr>
      <t xml:space="preserve">매도일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다음 거래일 시가</t>
    </r>
    <r>
      <rPr>
        <b val="true"/>
        <sz val="11"/>
        <rFont val="Arial"/>
        <family val="0"/>
        <charset val="1"/>
      </rPr>
      <t xml:space="preserve">)</t>
    </r>
  </si>
  <si>
    <t xml:space="preserve">매도일 지수 시가</t>
  </si>
  <si>
    <t xml:space="preserve">사유</t>
  </si>
  <si>
    <t xml:space="preserve">보유일</t>
  </si>
  <si>
    <r>
      <rPr>
        <b val="true"/>
        <sz val="11"/>
        <rFont val="Noto Sans CJK SC"/>
        <family val="2"/>
      </rPr>
      <t xml:space="preserve">수익률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지수</t>
    </r>
    <r>
      <rPr>
        <b val="true"/>
        <sz val="11"/>
        <rFont val="Arial"/>
        <family val="0"/>
        <charset val="1"/>
      </rPr>
      <t xml:space="preserve">, </t>
    </r>
    <r>
      <rPr>
        <b val="true"/>
        <sz val="11"/>
        <rFont val="Noto Sans CJK SC"/>
        <family val="2"/>
      </rPr>
      <t xml:space="preserve">신호일 종가 → 청산가</t>
    </r>
    <r>
      <rPr>
        <b val="true"/>
        <sz val="11"/>
        <rFont val="Arial"/>
        <family val="0"/>
        <charset val="1"/>
      </rPr>
      <t xml:space="preserve">)</t>
    </r>
  </si>
  <si>
    <t xml:space="preserve">롱</t>
  </si>
  <si>
    <t xml:space="preserve">패턴 청산</t>
  </si>
  <si>
    <t xml:space="preserve">숏</t>
  </si>
  <si>
    <t xml:space="preserve">손절</t>
  </si>
  <si>
    <r>
      <rPr>
        <sz val="11"/>
        <rFont val="Noto Sans CJK SC"/>
        <family val="2"/>
      </rPr>
      <t xml:space="preserve">손절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갭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</si>
  <si>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보유중 </t>
    </r>
    <r>
      <rPr>
        <sz val="11"/>
        <rFont val="Arial"/>
        <family val="0"/>
        <charset val="1"/>
      </rPr>
      <t xml:space="preserve">(9/23 </t>
    </r>
    <r>
      <rPr>
        <sz val="11"/>
        <rFont val="Noto Sans CJK SC"/>
        <family val="2"/>
      </rPr>
      <t xml:space="preserve">평가</t>
    </r>
    <r>
      <rPr>
        <sz val="11"/>
        <rFont val="Arial"/>
        <family val="0"/>
        <charset val="1"/>
      </rPr>
      <t xml:space="preserve">)</t>
    </r>
  </si>
  <si>
    <r>
      <rPr>
        <b val="true"/>
        <sz val="12"/>
        <rFont val="Arial"/>
        <family val="0"/>
        <charset val="1"/>
      </rPr>
      <t xml:space="preserve">#1 MACD </t>
    </r>
    <r>
      <rPr>
        <b val="true"/>
        <sz val="12"/>
        <rFont val="Noto Sans CJK SC"/>
        <family val="2"/>
      </rPr>
      <t xml:space="preserve">골든크로스 </t>
    </r>
    <r>
      <rPr>
        <b val="true"/>
        <sz val="12"/>
        <rFont val="Arial"/>
        <family val="0"/>
        <charset val="1"/>
      </rPr>
      <t xml:space="preserve">+ 62</t>
    </r>
    <r>
      <rPr>
        <b val="true"/>
        <sz val="12"/>
        <rFont val="Noto Sans CJK SC"/>
        <family val="2"/>
      </rPr>
      <t xml:space="preserve">일선 상승   </t>
    </r>
    <r>
      <rPr>
        <b val="true"/>
        <sz val="12"/>
        <rFont val="Arial"/>
        <family val="0"/>
        <charset val="1"/>
      </rPr>
      <t xml:space="preserve">|   </t>
    </r>
    <r>
      <rPr>
        <b val="true"/>
        <sz val="12"/>
        <rFont val="Noto Sans CJK SC"/>
        <family val="2"/>
      </rPr>
      <t xml:space="preserve">청산</t>
    </r>
    <r>
      <rPr>
        <b val="true"/>
        <sz val="12"/>
        <rFont val="Arial"/>
        <family val="0"/>
        <charset val="1"/>
      </rPr>
      <t xml:space="preserve">: MACD </t>
    </r>
    <r>
      <rPr>
        <b val="true"/>
        <sz val="12"/>
        <rFont val="Noto Sans CJK SC"/>
        <family val="2"/>
      </rPr>
      <t xml:space="preserve">데드크로스</t>
    </r>
  </si>
  <si>
    <r>
      <rPr>
        <b val="true"/>
        <sz val="12"/>
        <rFont val="Arial"/>
        <family val="0"/>
        <charset val="1"/>
      </rPr>
      <t xml:space="preserve">#2 20</t>
    </r>
    <r>
      <rPr>
        <b val="true"/>
        <sz val="12"/>
        <rFont val="Noto Sans CJK SC"/>
        <family val="2"/>
      </rPr>
      <t xml:space="preserve">일 신저가 이탈 </t>
    </r>
    <r>
      <rPr>
        <b val="true"/>
        <sz val="12"/>
        <rFont val="Arial"/>
        <family val="0"/>
        <charset val="1"/>
      </rPr>
      <t xml:space="preserve">+ 62·248</t>
    </r>
    <r>
      <rPr>
        <b val="true"/>
        <sz val="12"/>
        <rFont val="Noto Sans CJK SC"/>
        <family val="2"/>
      </rPr>
      <t xml:space="preserve">일선 상승   </t>
    </r>
    <r>
      <rPr>
        <b val="true"/>
        <sz val="12"/>
        <rFont val="Arial"/>
        <family val="0"/>
        <charset val="1"/>
      </rPr>
      <t xml:space="preserve">|   </t>
    </r>
    <r>
      <rPr>
        <b val="true"/>
        <sz val="12"/>
        <rFont val="Noto Sans CJK SC"/>
        <family val="2"/>
      </rPr>
      <t xml:space="preserve">청산</t>
    </r>
    <r>
      <rPr>
        <b val="true"/>
        <sz val="12"/>
        <rFont val="Arial"/>
        <family val="0"/>
        <charset val="1"/>
      </rPr>
      <t xml:space="preserve">: </t>
    </r>
    <r>
      <rPr>
        <b val="true"/>
        <sz val="12"/>
        <rFont val="Noto Sans CJK SC"/>
        <family val="2"/>
      </rPr>
      <t xml:space="preserve">종가 </t>
    </r>
    <r>
      <rPr>
        <b val="true"/>
        <sz val="12"/>
        <rFont val="Arial"/>
        <family val="0"/>
        <charset val="1"/>
      </rPr>
      <t xml:space="preserve">&gt; </t>
    </r>
    <r>
      <rPr>
        <b val="true"/>
        <sz val="12"/>
        <rFont val="Noto Sans CJK SC"/>
        <family val="2"/>
      </rPr>
      <t xml:space="preserve">전일까지 </t>
    </r>
    <r>
      <rPr>
        <b val="true"/>
        <sz val="12"/>
        <rFont val="Arial"/>
        <family val="0"/>
        <charset val="1"/>
      </rPr>
      <t xml:space="preserve">10</t>
    </r>
    <r>
      <rPr>
        <b val="true"/>
        <sz val="12"/>
        <rFont val="Noto Sans CJK SC"/>
        <family val="2"/>
      </rPr>
      <t xml:space="preserve">일 최고가</t>
    </r>
  </si>
  <si>
    <r>
      <rPr>
        <b val="true"/>
        <sz val="12"/>
        <rFont val="Arial"/>
        <family val="0"/>
        <charset val="1"/>
      </rPr>
      <t xml:space="preserve">#3 RSI 50 </t>
    </r>
    <r>
      <rPr>
        <b val="true"/>
        <sz val="12"/>
        <rFont val="Noto Sans CJK SC"/>
        <family val="2"/>
      </rPr>
      <t xml:space="preserve">돌파 </t>
    </r>
    <r>
      <rPr>
        <b val="true"/>
        <sz val="12"/>
        <rFont val="Arial"/>
        <family val="0"/>
        <charset val="1"/>
      </rPr>
      <t xml:space="preserve">+ 62</t>
    </r>
    <r>
      <rPr>
        <b val="true"/>
        <sz val="12"/>
        <rFont val="Noto Sans CJK SC"/>
        <family val="2"/>
      </rPr>
      <t xml:space="preserve">일선 상승 </t>
    </r>
    <r>
      <rPr>
        <b val="true"/>
        <sz val="12"/>
        <rFont val="Arial"/>
        <family val="0"/>
        <charset val="1"/>
      </rPr>
      <t xml:space="preserve">+ </t>
    </r>
    <r>
      <rPr>
        <b val="true"/>
        <sz val="12"/>
        <rFont val="Noto Sans CJK SC"/>
        <family val="2"/>
      </rPr>
      <t xml:space="preserve">히스토 음수   </t>
    </r>
    <r>
      <rPr>
        <b val="true"/>
        <sz val="12"/>
        <rFont val="Arial"/>
        <family val="0"/>
        <charset val="1"/>
      </rPr>
      <t xml:space="preserve">|   </t>
    </r>
    <r>
      <rPr>
        <b val="true"/>
        <sz val="12"/>
        <rFont val="Noto Sans CJK SC"/>
        <family val="2"/>
      </rPr>
      <t xml:space="preserve">청산</t>
    </r>
    <r>
      <rPr>
        <b val="true"/>
        <sz val="12"/>
        <rFont val="Arial"/>
        <family val="0"/>
        <charset val="1"/>
      </rPr>
      <t xml:space="preserve">: RSI &lt; 45 </t>
    </r>
    <r>
      <rPr>
        <b val="true"/>
        <sz val="12"/>
        <rFont val="Noto Sans CJK SC"/>
        <family val="2"/>
      </rPr>
      <t xml:space="preserve">또는 </t>
    </r>
    <r>
      <rPr>
        <b val="true"/>
        <sz val="12"/>
        <rFont val="Arial"/>
        <family val="0"/>
        <charset val="1"/>
      </rPr>
      <t xml:space="preserve">&gt; 75</t>
    </r>
  </si>
  <si>
    <r>
      <rPr>
        <b val="true"/>
        <sz val="12"/>
        <rFont val="Arial"/>
        <family val="0"/>
        <charset val="1"/>
      </rPr>
      <t xml:space="preserve">#4 5/21 </t>
    </r>
    <r>
      <rPr>
        <b val="true"/>
        <sz val="12"/>
        <rFont val="Noto Sans CJK SC"/>
        <family val="2"/>
      </rPr>
      <t xml:space="preserve">골든크로스 </t>
    </r>
    <r>
      <rPr>
        <b val="true"/>
        <sz val="12"/>
        <rFont val="Arial"/>
        <family val="0"/>
        <charset val="1"/>
      </rPr>
      <t xml:space="preserve">+ 62</t>
    </r>
    <r>
      <rPr>
        <b val="true"/>
        <sz val="12"/>
        <rFont val="Noto Sans CJK SC"/>
        <family val="2"/>
      </rPr>
      <t xml:space="preserve">일선 상승 </t>
    </r>
    <r>
      <rPr>
        <b val="true"/>
        <sz val="12"/>
        <rFont val="Arial"/>
        <family val="0"/>
        <charset val="1"/>
      </rPr>
      <t xml:space="preserve">+ 5</t>
    </r>
    <r>
      <rPr>
        <b val="true"/>
        <sz val="12"/>
        <rFont val="Noto Sans CJK SC"/>
        <family val="2"/>
      </rPr>
      <t xml:space="preserve">일 수익 양수   </t>
    </r>
    <r>
      <rPr>
        <b val="true"/>
        <sz val="12"/>
        <rFont val="Arial"/>
        <family val="0"/>
        <charset val="1"/>
      </rPr>
      <t xml:space="preserve">|   </t>
    </r>
    <r>
      <rPr>
        <b val="true"/>
        <sz val="12"/>
        <rFont val="Noto Sans CJK SC"/>
        <family val="2"/>
      </rPr>
      <t xml:space="preserve">청산</t>
    </r>
    <r>
      <rPr>
        <b val="true"/>
        <sz val="12"/>
        <rFont val="Arial"/>
        <family val="0"/>
        <charset val="1"/>
      </rPr>
      <t xml:space="preserve">: 5</t>
    </r>
    <r>
      <rPr>
        <b val="true"/>
        <sz val="12"/>
        <rFont val="Noto Sans CJK SC"/>
        <family val="2"/>
      </rPr>
      <t xml:space="preserve">일선 </t>
    </r>
    <r>
      <rPr>
        <b val="true"/>
        <sz val="12"/>
        <rFont val="Arial"/>
        <family val="0"/>
        <charset val="1"/>
      </rPr>
      <t xml:space="preserve">&lt; 21</t>
    </r>
    <r>
      <rPr>
        <b val="true"/>
        <sz val="12"/>
        <rFont val="Noto Sans CJK SC"/>
        <family val="2"/>
      </rPr>
      <t xml:space="preserve">일선</t>
    </r>
  </si>
  <si>
    <r>
      <rPr>
        <b val="true"/>
        <sz val="12"/>
        <rFont val="Arial"/>
        <family val="0"/>
        <charset val="1"/>
      </rPr>
      <t xml:space="preserve">#5 62</t>
    </r>
    <r>
      <rPr>
        <b val="true"/>
        <sz val="12"/>
        <rFont val="Noto Sans CJK SC"/>
        <family val="2"/>
      </rPr>
      <t xml:space="preserve">일선 돌파 </t>
    </r>
    <r>
      <rPr>
        <b val="true"/>
        <sz val="12"/>
        <rFont val="Arial"/>
        <family val="0"/>
        <charset val="1"/>
      </rPr>
      <t xml:space="preserve">+ 62</t>
    </r>
    <r>
      <rPr>
        <b val="true"/>
        <sz val="12"/>
        <rFont val="Noto Sans CJK SC"/>
        <family val="2"/>
      </rPr>
      <t xml:space="preserve">일선 상승 </t>
    </r>
    <r>
      <rPr>
        <b val="true"/>
        <sz val="12"/>
        <rFont val="Arial"/>
        <family val="0"/>
        <charset val="1"/>
      </rPr>
      <t xml:space="preserve">+ RSI 40~60   |   </t>
    </r>
    <r>
      <rPr>
        <b val="true"/>
        <sz val="12"/>
        <rFont val="Noto Sans CJK SC"/>
        <family val="2"/>
      </rPr>
      <t xml:space="preserve">청산</t>
    </r>
    <r>
      <rPr>
        <b val="true"/>
        <sz val="12"/>
        <rFont val="Arial"/>
        <family val="0"/>
        <charset val="1"/>
      </rPr>
      <t xml:space="preserve">: </t>
    </r>
    <r>
      <rPr>
        <b val="true"/>
        <sz val="12"/>
        <rFont val="Noto Sans CJK SC"/>
        <family val="2"/>
      </rPr>
      <t xml:space="preserve">종가 </t>
    </r>
    <r>
      <rPr>
        <b val="true"/>
        <sz val="12"/>
        <rFont val="Arial"/>
        <family val="0"/>
        <charset val="1"/>
      </rPr>
      <t xml:space="preserve">&lt; 62</t>
    </r>
    <r>
      <rPr>
        <b val="true"/>
        <sz val="12"/>
        <rFont val="Noto Sans CJK SC"/>
        <family val="2"/>
      </rPr>
      <t xml:space="preserve">일선</t>
    </r>
  </si>
  <si>
    <r>
      <rPr>
        <b val="true"/>
        <sz val="12"/>
        <rFont val="Arial"/>
        <family val="0"/>
        <charset val="1"/>
      </rPr>
      <t xml:space="preserve">#6 3</t>
    </r>
    <r>
      <rPr>
        <b val="true"/>
        <sz val="12"/>
        <rFont val="Noto Sans CJK SC"/>
        <family val="2"/>
      </rPr>
      <t xml:space="preserve">일 연속 상승 </t>
    </r>
    <r>
      <rPr>
        <b val="true"/>
        <sz val="12"/>
        <rFont val="Arial"/>
        <family val="0"/>
        <charset val="1"/>
      </rPr>
      <t xml:space="preserve">+ 62</t>
    </r>
    <r>
      <rPr>
        <b val="true"/>
        <sz val="12"/>
        <rFont val="Noto Sans CJK SC"/>
        <family val="2"/>
      </rPr>
      <t xml:space="preserve">일선 상승 </t>
    </r>
    <r>
      <rPr>
        <b val="true"/>
        <sz val="12"/>
        <rFont val="Arial"/>
        <family val="0"/>
        <charset val="1"/>
      </rPr>
      <t xml:space="preserve">+ </t>
    </r>
    <r>
      <rPr>
        <b val="true"/>
        <sz val="12"/>
        <rFont val="Noto Sans CJK SC"/>
        <family val="2"/>
      </rPr>
      <t xml:space="preserve">히스토 양수   </t>
    </r>
    <r>
      <rPr>
        <b val="true"/>
        <sz val="12"/>
        <rFont val="Arial"/>
        <family val="0"/>
        <charset val="1"/>
      </rPr>
      <t xml:space="preserve">|   </t>
    </r>
    <r>
      <rPr>
        <b val="true"/>
        <sz val="12"/>
        <rFont val="Noto Sans CJK SC"/>
        <family val="2"/>
      </rPr>
      <t xml:space="preserve">청산</t>
    </r>
    <r>
      <rPr>
        <b val="true"/>
        <sz val="12"/>
        <rFont val="Arial"/>
        <family val="0"/>
        <charset val="1"/>
      </rPr>
      <t xml:space="preserve">: </t>
    </r>
    <r>
      <rPr>
        <b val="true"/>
        <sz val="12"/>
        <rFont val="Noto Sans CJK SC"/>
        <family val="2"/>
      </rPr>
      <t xml:space="preserve">종가 </t>
    </r>
    <r>
      <rPr>
        <b val="true"/>
        <sz val="12"/>
        <rFont val="Arial"/>
        <family val="0"/>
        <charset val="1"/>
      </rPr>
      <t xml:space="preserve">&lt; 5</t>
    </r>
    <r>
      <rPr>
        <b val="true"/>
        <sz val="12"/>
        <rFont val="Noto Sans CJK SC"/>
        <family val="2"/>
      </rPr>
      <t xml:space="preserve">일선</t>
    </r>
  </si>
  <si>
    <r>
      <rPr>
        <b val="true"/>
        <sz val="12"/>
        <rFont val="Arial"/>
        <family val="0"/>
        <charset val="1"/>
      </rPr>
      <t xml:space="preserve">#7 3</t>
    </r>
    <r>
      <rPr>
        <b val="true"/>
        <sz val="12"/>
        <rFont val="Noto Sans CJK SC"/>
        <family val="2"/>
      </rPr>
      <t xml:space="preserve">일 연속 하락 </t>
    </r>
    <r>
      <rPr>
        <b val="true"/>
        <sz val="12"/>
        <rFont val="Arial"/>
        <family val="0"/>
        <charset val="1"/>
      </rPr>
      <t xml:space="preserve">+ 248</t>
    </r>
    <r>
      <rPr>
        <b val="true"/>
        <sz val="12"/>
        <rFont val="Noto Sans CJK SC"/>
        <family val="2"/>
      </rPr>
      <t xml:space="preserve">일선 위 </t>
    </r>
    <r>
      <rPr>
        <b val="true"/>
        <sz val="12"/>
        <rFont val="Arial"/>
        <family val="0"/>
        <charset val="1"/>
      </rPr>
      <t xml:space="preserve">+ 60</t>
    </r>
    <r>
      <rPr>
        <b val="true"/>
        <sz val="12"/>
        <rFont val="Noto Sans CJK SC"/>
        <family val="2"/>
      </rPr>
      <t xml:space="preserve">일 수익 음수   </t>
    </r>
    <r>
      <rPr>
        <b val="true"/>
        <sz val="12"/>
        <rFont val="Arial"/>
        <family val="0"/>
        <charset val="1"/>
      </rPr>
      <t xml:space="preserve">|   </t>
    </r>
    <r>
      <rPr>
        <b val="true"/>
        <sz val="12"/>
        <rFont val="Noto Sans CJK SC"/>
        <family val="2"/>
      </rPr>
      <t xml:space="preserve">청산</t>
    </r>
    <r>
      <rPr>
        <b val="true"/>
        <sz val="12"/>
        <rFont val="Arial"/>
        <family val="0"/>
        <charset val="1"/>
      </rPr>
      <t xml:space="preserve">: </t>
    </r>
    <r>
      <rPr>
        <b val="true"/>
        <sz val="12"/>
        <rFont val="Noto Sans CJK SC"/>
        <family val="2"/>
      </rPr>
      <t xml:space="preserve">종가 </t>
    </r>
    <r>
      <rPr>
        <b val="true"/>
        <sz val="12"/>
        <rFont val="Arial"/>
        <family val="0"/>
        <charset val="1"/>
      </rPr>
      <t xml:space="preserve">&gt; </t>
    </r>
    <r>
      <rPr>
        <b val="true"/>
        <sz val="12"/>
        <rFont val="Noto Sans CJK SC"/>
        <family val="2"/>
      </rPr>
      <t xml:space="preserve">전일까지 </t>
    </r>
    <r>
      <rPr>
        <b val="true"/>
        <sz val="12"/>
        <rFont val="Arial"/>
        <family val="0"/>
        <charset val="1"/>
      </rPr>
      <t xml:space="preserve">10</t>
    </r>
    <r>
      <rPr>
        <b val="true"/>
        <sz val="12"/>
        <rFont val="Noto Sans CJK SC"/>
        <family val="2"/>
      </rPr>
      <t xml:space="preserve">일 최고가 또는 </t>
    </r>
    <r>
      <rPr>
        <b val="true"/>
        <sz val="12"/>
        <rFont val="Arial"/>
        <family val="0"/>
        <charset val="1"/>
      </rPr>
      <t xml:space="preserve">&lt; </t>
    </r>
    <r>
      <rPr>
        <b val="true"/>
        <sz val="12"/>
        <rFont val="Noto Sans CJK SC"/>
        <family val="2"/>
      </rPr>
      <t xml:space="preserve">진입일 </t>
    </r>
    <r>
      <rPr>
        <b val="true"/>
        <sz val="12"/>
        <rFont val="Arial"/>
        <family val="0"/>
        <charset val="1"/>
      </rPr>
      <t xml:space="preserve">20</t>
    </r>
    <r>
      <rPr>
        <b val="true"/>
        <sz val="12"/>
        <rFont val="Noto Sans CJK SC"/>
        <family val="2"/>
      </rPr>
      <t xml:space="preserve">일 최저가</t>
    </r>
  </si>
  <si>
    <r>
      <rPr>
        <b val="true"/>
        <sz val="12"/>
        <rFont val="Arial"/>
        <family val="0"/>
        <charset val="1"/>
      </rPr>
      <t xml:space="preserve">#8 F0.764 </t>
    </r>
    <r>
      <rPr>
        <b val="true"/>
        <sz val="12"/>
        <rFont val="Noto Sans CJK SC"/>
        <family val="2"/>
      </rPr>
      <t xml:space="preserve">하향이탈 </t>
    </r>
    <r>
      <rPr>
        <b val="true"/>
        <sz val="12"/>
        <rFont val="Arial"/>
        <family val="0"/>
        <charset val="1"/>
      </rPr>
      <t xml:space="preserve">+ 21</t>
    </r>
    <r>
      <rPr>
        <b val="true"/>
        <sz val="12"/>
        <rFont val="Noto Sans CJK SC"/>
        <family val="2"/>
      </rPr>
      <t xml:space="preserve">일선 아래 </t>
    </r>
    <r>
      <rPr>
        <b val="true"/>
        <sz val="12"/>
        <rFont val="Arial"/>
        <family val="0"/>
        <charset val="1"/>
      </rPr>
      <t xml:space="preserve">2%   |   </t>
    </r>
    <r>
      <rPr>
        <b val="true"/>
        <sz val="12"/>
        <rFont val="Noto Sans CJK SC"/>
        <family val="2"/>
      </rPr>
      <t xml:space="preserve">청산</t>
    </r>
    <r>
      <rPr>
        <b val="true"/>
        <sz val="12"/>
        <rFont val="Arial"/>
        <family val="0"/>
        <charset val="1"/>
      </rPr>
      <t xml:space="preserve">: </t>
    </r>
    <r>
      <rPr>
        <b val="true"/>
        <sz val="12"/>
        <rFont val="Noto Sans CJK SC"/>
        <family val="2"/>
      </rPr>
      <t xml:space="preserve">종가 </t>
    </r>
    <r>
      <rPr>
        <b val="true"/>
        <sz val="12"/>
        <rFont val="Arial"/>
        <family val="0"/>
        <charset val="1"/>
      </rPr>
      <t xml:space="preserve">&gt; 0.764 </t>
    </r>
    <r>
      <rPr>
        <b val="true"/>
        <sz val="12"/>
        <rFont val="Noto Sans CJK SC"/>
        <family val="2"/>
      </rPr>
      <t xml:space="preserve">레벨</t>
    </r>
  </si>
  <si>
    <r>
      <rPr>
        <b val="true"/>
        <sz val="12"/>
        <rFont val="Arial"/>
        <family val="0"/>
        <charset val="1"/>
      </rPr>
      <t xml:space="preserve">#9 F0.309 </t>
    </r>
    <r>
      <rPr>
        <b val="true"/>
        <sz val="12"/>
        <rFont val="Noto Sans CJK SC"/>
        <family val="2"/>
      </rPr>
      <t xml:space="preserve">하향이탈 </t>
    </r>
    <r>
      <rPr>
        <b val="true"/>
        <sz val="12"/>
        <rFont val="Arial"/>
        <family val="0"/>
        <charset val="1"/>
      </rPr>
      <t xml:space="preserve">+ 62</t>
    </r>
    <r>
      <rPr>
        <b val="true"/>
        <sz val="12"/>
        <rFont val="Noto Sans CJK SC"/>
        <family val="2"/>
      </rPr>
      <t xml:space="preserve">일선 하락   </t>
    </r>
    <r>
      <rPr>
        <b val="true"/>
        <sz val="12"/>
        <rFont val="Arial"/>
        <family val="0"/>
        <charset val="1"/>
      </rPr>
      <t xml:space="preserve">|   </t>
    </r>
    <r>
      <rPr>
        <b val="true"/>
        <sz val="12"/>
        <rFont val="Noto Sans CJK SC"/>
        <family val="2"/>
      </rPr>
      <t xml:space="preserve">청산</t>
    </r>
    <r>
      <rPr>
        <b val="true"/>
        <sz val="12"/>
        <rFont val="Arial"/>
        <family val="0"/>
        <charset val="1"/>
      </rPr>
      <t xml:space="preserve">: </t>
    </r>
    <r>
      <rPr>
        <b val="true"/>
        <sz val="12"/>
        <rFont val="Noto Sans CJK SC"/>
        <family val="2"/>
      </rPr>
      <t xml:space="preserve">종가 </t>
    </r>
    <r>
      <rPr>
        <b val="true"/>
        <sz val="12"/>
        <rFont val="Arial"/>
        <family val="0"/>
        <charset val="1"/>
      </rPr>
      <t xml:space="preserve">&gt; 0.309 </t>
    </r>
    <r>
      <rPr>
        <b val="true"/>
        <sz val="12"/>
        <rFont val="Noto Sans CJK SC"/>
        <family val="2"/>
      </rPr>
      <t xml:space="preserve">레벨</t>
    </r>
  </si>
  <si>
    <r>
      <rPr>
        <b val="true"/>
        <sz val="12"/>
        <rFont val="Arial"/>
        <family val="0"/>
        <charset val="1"/>
      </rPr>
      <t xml:space="preserve">#10 21</t>
    </r>
    <r>
      <rPr>
        <b val="true"/>
        <sz val="12"/>
        <rFont val="Noto Sans CJK SC"/>
        <family val="2"/>
      </rPr>
      <t xml:space="preserve">일선 돌파 </t>
    </r>
    <r>
      <rPr>
        <b val="true"/>
        <sz val="12"/>
        <rFont val="Arial"/>
        <family val="0"/>
        <charset val="1"/>
      </rPr>
      <t xml:space="preserve">+ </t>
    </r>
    <r>
      <rPr>
        <b val="true"/>
        <sz val="12"/>
        <rFont val="Noto Sans CJK SC"/>
        <family val="2"/>
      </rPr>
      <t xml:space="preserve">변동성 중간 </t>
    </r>
    <r>
      <rPr>
        <b val="true"/>
        <sz val="12"/>
        <rFont val="Arial"/>
        <family val="0"/>
        <charset val="1"/>
      </rPr>
      <t xml:space="preserve">+ 5</t>
    </r>
    <r>
      <rPr>
        <b val="true"/>
        <sz val="12"/>
        <rFont val="Noto Sans CJK SC"/>
        <family val="2"/>
      </rPr>
      <t xml:space="preserve">일 수익 음수   </t>
    </r>
    <r>
      <rPr>
        <b val="true"/>
        <sz val="12"/>
        <rFont val="Arial"/>
        <family val="0"/>
        <charset val="1"/>
      </rPr>
      <t xml:space="preserve">|   </t>
    </r>
    <r>
      <rPr>
        <b val="true"/>
        <sz val="12"/>
        <rFont val="Noto Sans CJK SC"/>
        <family val="2"/>
      </rPr>
      <t xml:space="preserve">청산</t>
    </r>
    <r>
      <rPr>
        <b val="true"/>
        <sz val="12"/>
        <rFont val="Arial"/>
        <family val="0"/>
        <charset val="1"/>
      </rPr>
      <t xml:space="preserve">: </t>
    </r>
    <r>
      <rPr>
        <b val="true"/>
        <sz val="12"/>
        <rFont val="Noto Sans CJK SC"/>
        <family val="2"/>
      </rPr>
      <t xml:space="preserve">종가 </t>
    </r>
    <r>
      <rPr>
        <b val="true"/>
        <sz val="12"/>
        <rFont val="Arial"/>
        <family val="0"/>
        <charset val="1"/>
      </rPr>
      <t xml:space="preserve">&lt; 21</t>
    </r>
    <r>
      <rPr>
        <b val="true"/>
        <sz val="12"/>
        <rFont val="Noto Sans CJK SC"/>
        <family val="2"/>
      </rPr>
      <t xml:space="preserve">일선</t>
    </r>
  </si>
  <si>
    <r>
      <rPr>
        <b val="true"/>
        <sz val="12"/>
        <rFont val="Arial"/>
        <family val="0"/>
        <charset val="1"/>
      </rPr>
      <t xml:space="preserve">#11 [</t>
    </r>
    <r>
      <rPr>
        <b val="true"/>
        <sz val="12"/>
        <rFont val="Noto Sans CJK SC"/>
        <family val="2"/>
      </rPr>
      <t xml:space="preserve">숏</t>
    </r>
    <r>
      <rPr>
        <b val="true"/>
        <sz val="12"/>
        <rFont val="Arial"/>
        <family val="0"/>
        <charset val="1"/>
      </rPr>
      <t xml:space="preserve">] 21</t>
    </r>
    <r>
      <rPr>
        <b val="true"/>
        <sz val="12"/>
        <rFont val="Noto Sans CJK SC"/>
        <family val="2"/>
      </rPr>
      <t xml:space="preserve">일선 이탈 </t>
    </r>
    <r>
      <rPr>
        <b val="true"/>
        <sz val="12"/>
        <rFont val="Arial"/>
        <family val="0"/>
        <charset val="1"/>
      </rPr>
      <t xml:space="preserve">+ 5</t>
    </r>
    <r>
      <rPr>
        <b val="true"/>
        <sz val="12"/>
        <rFont val="Noto Sans CJK SC"/>
        <family val="2"/>
      </rPr>
      <t xml:space="preserve">일</t>
    </r>
    <r>
      <rPr>
        <b val="true"/>
        <sz val="12"/>
        <rFont val="Arial"/>
        <family val="0"/>
        <charset val="1"/>
      </rPr>
      <t xml:space="preserve">·20</t>
    </r>
    <r>
      <rPr>
        <b val="true"/>
        <sz val="12"/>
        <rFont val="Noto Sans CJK SC"/>
        <family val="2"/>
      </rPr>
      <t xml:space="preserve">일 수익 양수   </t>
    </r>
    <r>
      <rPr>
        <b val="true"/>
        <sz val="12"/>
        <rFont val="Arial"/>
        <family val="0"/>
        <charset val="1"/>
      </rPr>
      <t xml:space="preserve">|   </t>
    </r>
    <r>
      <rPr>
        <b val="true"/>
        <sz val="12"/>
        <rFont val="Noto Sans CJK SC"/>
        <family val="2"/>
      </rPr>
      <t xml:space="preserve">청산</t>
    </r>
    <r>
      <rPr>
        <b val="true"/>
        <sz val="12"/>
        <rFont val="Arial"/>
        <family val="0"/>
        <charset val="1"/>
      </rPr>
      <t xml:space="preserve">: </t>
    </r>
    <r>
      <rPr>
        <b val="true"/>
        <sz val="12"/>
        <rFont val="Noto Sans CJK SC"/>
        <family val="2"/>
      </rPr>
      <t xml:space="preserve">종가 </t>
    </r>
    <r>
      <rPr>
        <b val="true"/>
        <sz val="12"/>
        <rFont val="Arial"/>
        <family val="0"/>
        <charset val="1"/>
      </rPr>
      <t xml:space="preserve">&gt; 21</t>
    </r>
    <r>
      <rPr>
        <b val="true"/>
        <sz val="12"/>
        <rFont val="Noto Sans CJK SC"/>
        <family val="2"/>
      </rPr>
      <t xml:space="preserve">일선 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환매</t>
    </r>
    <r>
      <rPr>
        <b val="true"/>
        <sz val="12"/>
        <rFont val="Arial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</si>
</sst>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%"/>
    <numFmt numFmtId="166" formatCode="0.0%"/>
    <numFmt numFmtId="167" formatCode="0.00%"/>
    <numFmt numFmtId="168" formatCode="#,##0"/>
    <numFmt numFmtId="169" formatCode="0.0\배"/>
    <numFmt numFmtId="170" formatCode="0.00\배"/>
    <numFmt numFmtId="171" formatCode="yyyy\-mm\-dd"/>
    <numFmt numFmtId="172" formatCode="#,##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2"/>
      <name val="Noto Sans CJK SC"/>
      <family val="2"/>
    </font>
    <font>
      <i val="true"/>
      <sz val="9"/>
      <color rgb="FF555555"/>
      <name val="Noto Sans CJK SC"/>
      <family val="2"/>
    </font>
    <font>
      <i val="true"/>
      <sz val="9"/>
      <color rgb="FF555555"/>
      <name val="Arial"/>
      <family val="0"/>
      <charset val="1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name val="Noto Sans CJK SC"/>
      <family val="2"/>
    </font>
    <font>
      <sz val="9"/>
      <color rgb="FF555555"/>
      <name val="Noto Sans CJK SC"/>
      <family val="2"/>
    </font>
    <font>
      <sz val="9"/>
      <color rgb="FF555555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6F0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DDE6F0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DDE6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4"/>
    <col collapsed="false" customWidth="true" hidden="false" outlineLevel="0" max="3" min="3" style="0" width="40"/>
    <col collapsed="false" customWidth="true" hidden="false" outlineLevel="0" max="4" min="4" style="0" width="7"/>
    <col collapsed="false" customWidth="true" hidden="false" outlineLevel="0" max="5" min="5" style="0" width="8"/>
    <col collapsed="false" customWidth="true" hidden="false" outlineLevel="0" max="7" min="6" style="0" width="12"/>
    <col collapsed="false" customWidth="true" hidden="false" outlineLevel="0" max="9" min="8" style="0" width="10"/>
    <col collapsed="false" customWidth="true" hidden="false" outlineLevel="0" max="10" min="10" style="0" width="9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7.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7.15" hidden="false" customHeight="false" outlineLevel="0" collapsed="false">
      <c r="A5" s="4" t="n">
        <v>1</v>
      </c>
      <c r="B5" s="4" t="s">
        <v>12</v>
      </c>
      <c r="C5" s="4" t="s">
        <v>13</v>
      </c>
      <c r="D5" s="4" t="n">
        <f aca="false">COUNTIF(전체!$A$5:$A$807,A5)</f>
        <v>146</v>
      </c>
      <c r="E5" s="5" t="n">
        <f aca="false">IFERROR(COUNTIFS(전체!$A$5:$A$807,A5,전체!$O$5:$O$807,"&gt;0")/D5,0)</f>
        <v>0.465753424657534</v>
      </c>
      <c r="F5" s="6" t="n">
        <f aca="false">SUMIF(전체!$A$5:$A$807,A5,전체!$O$5:$O$807)</f>
        <v>2.0427257069717</v>
      </c>
      <c r="G5" s="7" t="n">
        <f aca="false">IFERROR(F5/D5,0)</f>
        <v>0.0139912719655596</v>
      </c>
      <c r="H5" s="6" t="n">
        <f aca="false">_xlfn.MAXIFS(전체!$O$5:$O$807,전체!$A$5:$A$807,A5)</f>
        <v>0.274917592686988</v>
      </c>
      <c r="I5" s="6" t="n">
        <f aca="false">_xlfn.MINIFS(전체!$O$5:$O$807,전체!$A$5:$A$807,A5)</f>
        <v>-0.0942483364514161</v>
      </c>
      <c r="J5" s="4" t="n">
        <f aca="false">COUNTIFS(전체!$A$5:$A$807,A5,전체!$M$5:$M$807,"손절*")</f>
        <v>0</v>
      </c>
    </row>
    <row r="6" customFormat="false" ht="17.15" hidden="false" customHeight="false" outlineLevel="0" collapsed="false">
      <c r="A6" s="4" t="n">
        <v>2</v>
      </c>
      <c r="B6" s="4" t="s">
        <v>14</v>
      </c>
      <c r="C6" s="8" t="s">
        <v>15</v>
      </c>
      <c r="D6" s="4" t="n">
        <f aca="false">COUNTIF(전체!$A$5:$A$807,A6)</f>
        <v>60</v>
      </c>
      <c r="E6" s="5" t="n">
        <f aca="false">IFERROR(COUNTIFS(전체!$A$5:$A$807,A6,전체!$O$5:$O$807,"&gt;0")/D6,0)</f>
        <v>0.75</v>
      </c>
      <c r="F6" s="6" t="n">
        <f aca="false">SUMIF(전체!$A$5:$A$807,A6,전체!$O$5:$O$807)</f>
        <v>0.734156087311627</v>
      </c>
      <c r="G6" s="7" t="n">
        <f aca="false">IFERROR(F6/D6,0)</f>
        <v>0.0122359347885271</v>
      </c>
      <c r="H6" s="6" t="n">
        <f aca="false">_xlfn.MAXIFS(전체!$O$5:$O$807,전체!$A$5:$A$807,A6)</f>
        <v>0.185664208872235</v>
      </c>
      <c r="I6" s="6" t="n">
        <f aca="false">_xlfn.MINIFS(전체!$O$5:$O$807,전체!$A$5:$A$807,A6)</f>
        <v>-0.100768008474576</v>
      </c>
      <c r="J6" s="4" t="n">
        <f aca="false">COUNTIFS(전체!$A$5:$A$807,A6,전체!$M$5:$M$807,"손절*")</f>
        <v>13</v>
      </c>
    </row>
    <row r="7" customFormat="false" ht="17.15" hidden="false" customHeight="false" outlineLevel="0" collapsed="false">
      <c r="A7" s="4" t="n">
        <v>3</v>
      </c>
      <c r="B7" s="4" t="s">
        <v>16</v>
      </c>
      <c r="C7" s="4" t="s">
        <v>17</v>
      </c>
      <c r="D7" s="4" t="n">
        <f aca="false">COUNTIF(전체!$A$5:$A$807,A7)</f>
        <v>94</v>
      </c>
      <c r="E7" s="5" t="n">
        <f aca="false">IFERROR(COUNTIFS(전체!$A$5:$A$807,A7,전체!$O$5:$O$807,"&gt;0")/D7,0)</f>
        <v>0.372340425531915</v>
      </c>
      <c r="F7" s="6" t="n">
        <f aca="false">SUMIF(전체!$A$5:$A$807,A7,전체!$O$5:$O$807)</f>
        <v>1.31134272996641</v>
      </c>
      <c r="G7" s="7" t="n">
        <f aca="false">IFERROR(F7/D7,0)</f>
        <v>0.0139504545741108</v>
      </c>
      <c r="H7" s="6" t="n">
        <f aca="false">_xlfn.MAXIFS(전체!$O$5:$O$807,전체!$A$5:$A$807,A7)</f>
        <v>0.388024673154428</v>
      </c>
      <c r="I7" s="6" t="n">
        <f aca="false">_xlfn.MINIFS(전체!$O$5:$O$807,전체!$A$5:$A$807,A7)</f>
        <v>-0.061235292702293</v>
      </c>
      <c r="J7" s="4" t="n">
        <f aca="false">COUNTIFS(전체!$A$5:$A$807,A7,전체!$M$5:$M$807,"손절*")</f>
        <v>0</v>
      </c>
    </row>
    <row r="8" customFormat="false" ht="17.15" hidden="false" customHeight="false" outlineLevel="0" collapsed="false">
      <c r="A8" s="4" t="n">
        <v>4</v>
      </c>
      <c r="B8" s="4" t="s">
        <v>18</v>
      </c>
      <c r="C8" s="4" t="s">
        <v>19</v>
      </c>
      <c r="D8" s="4" t="n">
        <f aca="false">COUNTIF(전체!$A$5:$A$807,A8)</f>
        <v>100</v>
      </c>
      <c r="E8" s="5" t="n">
        <f aca="false">IFERROR(COUNTIFS(전체!$A$5:$A$807,A8,전체!$O$5:$O$807,"&gt;0")/D8,0)</f>
        <v>0.4</v>
      </c>
      <c r="F8" s="6" t="n">
        <f aca="false">SUMIF(전체!$A$5:$A$807,A8,전체!$O$5:$O$807)</f>
        <v>2.00655530714595</v>
      </c>
      <c r="G8" s="7" t="n">
        <f aca="false">IFERROR(F8/D8,0)</f>
        <v>0.0200655530714595</v>
      </c>
      <c r="H8" s="6" t="n">
        <f aca="false">_xlfn.MAXIFS(전체!$O$5:$O$807,전체!$A$5:$A$807,A8)</f>
        <v>0.422512272596015</v>
      </c>
      <c r="I8" s="6" t="n">
        <f aca="false">_xlfn.MINIFS(전체!$O$5:$O$807,전체!$A$5:$A$807,A8)</f>
        <v>-0.100002940614294</v>
      </c>
      <c r="J8" s="4" t="n">
        <f aca="false">COUNTIFS(전체!$A$5:$A$807,A8,전체!$M$5:$M$807,"손절*")</f>
        <v>1</v>
      </c>
    </row>
    <row r="9" customFormat="false" ht="17.15" hidden="false" customHeight="false" outlineLevel="0" collapsed="false">
      <c r="A9" s="4" t="n">
        <v>5</v>
      </c>
      <c r="B9" s="4" t="s">
        <v>20</v>
      </c>
      <c r="C9" s="8" t="s">
        <v>21</v>
      </c>
      <c r="D9" s="4" t="n">
        <f aca="false">COUNTIF(전체!$A$5:$A$807,A9)</f>
        <v>106</v>
      </c>
      <c r="E9" s="5" t="n">
        <f aca="false">IFERROR(COUNTIFS(전체!$A$5:$A$807,A9,전체!$O$5:$O$807,"&gt;0")/D9,0)</f>
        <v>0.320754716981132</v>
      </c>
      <c r="F9" s="6" t="n">
        <f aca="false">SUMIF(전체!$A$5:$A$807,A9,전체!$O$5:$O$807)</f>
        <v>1.17562962033762</v>
      </c>
      <c r="G9" s="7" t="n">
        <f aca="false">IFERROR(F9/D9,0)</f>
        <v>0.0110908454748833</v>
      </c>
      <c r="H9" s="6" t="n">
        <f aca="false">_xlfn.MAXIFS(전체!$O$5:$O$807,전체!$A$5:$A$807,A9)</f>
        <v>0.451009620202425</v>
      </c>
      <c r="I9" s="6" t="n">
        <f aca="false">_xlfn.MINIFS(전체!$O$5:$O$807,전체!$A$5:$A$807,A9)</f>
        <v>-0.0481790032438809</v>
      </c>
      <c r="J9" s="4" t="n">
        <f aca="false">COUNTIFS(전체!$A$5:$A$807,A9,전체!$M$5:$M$807,"손절*")</f>
        <v>0</v>
      </c>
    </row>
    <row r="10" customFormat="false" ht="17.15" hidden="false" customHeight="false" outlineLevel="0" collapsed="false">
      <c r="A10" s="4" t="n">
        <v>6</v>
      </c>
      <c r="B10" s="4" t="s">
        <v>22</v>
      </c>
      <c r="C10" s="8" t="s">
        <v>23</v>
      </c>
      <c r="D10" s="4" t="n">
        <f aca="false">COUNTIF(전체!$A$5:$A$807,A10)</f>
        <v>150</v>
      </c>
      <c r="E10" s="5" t="n">
        <f aca="false">IFERROR(COUNTIFS(전체!$A$5:$A$807,A10,전체!$O$5:$O$807,"&gt;0")/D10,0)</f>
        <v>0.466666666666667</v>
      </c>
      <c r="F10" s="6" t="n">
        <f aca="false">SUMIF(전체!$A$5:$A$807,A10,전체!$O$5:$O$807)</f>
        <v>1.29735888381415</v>
      </c>
      <c r="G10" s="7" t="n">
        <f aca="false">IFERROR(F10/D10,0)</f>
        <v>0.00864905922542763</v>
      </c>
      <c r="H10" s="6" t="n">
        <f aca="false">_xlfn.MAXIFS(전체!$O$5:$O$807,전체!$A$5:$A$807,A10)</f>
        <v>0.197168223373709</v>
      </c>
      <c r="I10" s="6" t="n">
        <f aca="false">_xlfn.MINIFS(전체!$O$5:$O$807,전체!$A$5:$A$807,A10)</f>
        <v>-0.0942483364514161</v>
      </c>
      <c r="J10" s="4" t="n">
        <f aca="false">COUNTIFS(전체!$A$5:$A$807,A10,전체!$M$5:$M$807,"손절*")</f>
        <v>0</v>
      </c>
    </row>
    <row r="11" customFormat="false" ht="17.15" hidden="false" customHeight="false" outlineLevel="0" collapsed="false">
      <c r="A11" s="4" t="n">
        <v>7</v>
      </c>
      <c r="B11" s="4" t="s">
        <v>24</v>
      </c>
      <c r="C11" s="8" t="s">
        <v>25</v>
      </c>
      <c r="D11" s="4" t="n">
        <f aca="false">COUNTIF(전체!$A$5:$A$807,A11)</f>
        <v>48</v>
      </c>
      <c r="E11" s="5" t="n">
        <f aca="false">IFERROR(COUNTIFS(전체!$A$5:$A$807,A11,전체!$O$5:$O$807,"&gt;0")/D11,0)</f>
        <v>0.583333333333333</v>
      </c>
      <c r="F11" s="6" t="n">
        <f aca="false">SUMIF(전체!$A$5:$A$807,A11,전체!$O$5:$O$807)</f>
        <v>0.98687489550785</v>
      </c>
      <c r="G11" s="7" t="n">
        <f aca="false">IFERROR(F11/D11,0)</f>
        <v>0.0205598936564135</v>
      </c>
      <c r="H11" s="6" t="n">
        <f aca="false">_xlfn.MAXIFS(전체!$O$5:$O$807,전체!$A$5:$A$807,A11)</f>
        <v>0.227796307120999</v>
      </c>
      <c r="I11" s="6" t="n">
        <f aca="false">_xlfn.MINIFS(전체!$O$5:$O$807,전체!$A$5:$A$807,A11)</f>
        <v>-0.09150901891773</v>
      </c>
      <c r="J11" s="4" t="n">
        <f aca="false">COUNTIFS(전체!$A$5:$A$807,A11,전체!$M$5:$M$807,"손절*")</f>
        <v>0</v>
      </c>
    </row>
    <row r="12" customFormat="false" ht="17.15" hidden="false" customHeight="false" outlineLevel="0" collapsed="false">
      <c r="A12" s="4" t="n">
        <v>8</v>
      </c>
      <c r="B12" s="4" t="s">
        <v>26</v>
      </c>
      <c r="C12" s="8" t="s">
        <v>27</v>
      </c>
      <c r="D12" s="4" t="n">
        <f aca="false">COUNTIF(전체!$A$5:$A$807,A12)</f>
        <v>18</v>
      </c>
      <c r="E12" s="5" t="n">
        <f aca="false">IFERROR(COUNTIFS(전체!$A$5:$A$807,A12,전체!$O$5:$O$807,"&gt;0")/D12,0)</f>
        <v>0.833333333333333</v>
      </c>
      <c r="F12" s="6" t="n">
        <f aca="false">SUMIF(전체!$A$5:$A$807,A12,전체!$O$5:$O$807)</f>
        <v>0.241991897420395</v>
      </c>
      <c r="G12" s="7" t="n">
        <f aca="false">IFERROR(F12/D12,0)</f>
        <v>0.0134439943011331</v>
      </c>
      <c r="H12" s="6" t="n">
        <f aca="false">_xlfn.MAXIFS(전체!$O$5:$O$807,전체!$A$5:$A$807,A12)</f>
        <v>0.0960349043486599</v>
      </c>
      <c r="I12" s="6" t="n">
        <f aca="false">_xlfn.MINIFS(전체!$O$5:$O$807,전체!$A$5:$A$807,A12)</f>
        <v>-0.1</v>
      </c>
      <c r="J12" s="4" t="n">
        <f aca="false">COUNTIFS(전체!$A$5:$A$807,A12,전체!$M$5:$M$807,"손절*")</f>
        <v>3</v>
      </c>
    </row>
    <row r="13" customFormat="false" ht="17.15" hidden="false" customHeight="false" outlineLevel="0" collapsed="false">
      <c r="A13" s="4" t="n">
        <v>9</v>
      </c>
      <c r="B13" s="4" t="s">
        <v>28</v>
      </c>
      <c r="C13" s="8" t="s">
        <v>29</v>
      </c>
      <c r="D13" s="4" t="n">
        <f aca="false">COUNTIF(전체!$A$5:$A$807,A13)</f>
        <v>21</v>
      </c>
      <c r="E13" s="5" t="n">
        <f aca="false">IFERROR(COUNTIFS(전체!$A$5:$A$807,A13,전체!$O$5:$O$807,"&gt;0")/D13,0)</f>
        <v>0.857142857142857</v>
      </c>
      <c r="F13" s="6" t="n">
        <f aca="false">SUMIF(전체!$A$5:$A$807,A13,전체!$O$5:$O$807)</f>
        <v>0.281345307031092</v>
      </c>
      <c r="G13" s="7" t="n">
        <f aca="false">IFERROR(F13/D13,0)</f>
        <v>0.0133973955729091</v>
      </c>
      <c r="H13" s="6" t="n">
        <f aca="false">_xlfn.MAXIFS(전체!$O$5:$O$807,전체!$A$5:$A$807,A13)</f>
        <v>0.0672909062053643</v>
      </c>
      <c r="I13" s="6" t="n">
        <f aca="false">_xlfn.MINIFS(전체!$O$5:$O$807,전체!$A$5:$A$807,A13)</f>
        <v>-0.100020315568497</v>
      </c>
      <c r="J13" s="4" t="n">
        <f aca="false">COUNTIFS(전체!$A$5:$A$807,A13,전체!$M$5:$M$807,"손절*")</f>
        <v>3</v>
      </c>
    </row>
    <row r="14" customFormat="false" ht="17.15" hidden="false" customHeight="false" outlineLevel="0" collapsed="false">
      <c r="A14" s="4" t="n">
        <v>10</v>
      </c>
      <c r="B14" s="4" t="s">
        <v>30</v>
      </c>
      <c r="C14" s="8" t="s">
        <v>31</v>
      </c>
      <c r="D14" s="4" t="n">
        <f aca="false">COUNTIF(전체!$A$5:$A$807,A14)</f>
        <v>32</v>
      </c>
      <c r="E14" s="5" t="n">
        <f aca="false">IFERROR(COUNTIFS(전체!$A$5:$A$807,A14,전체!$O$5:$O$807,"&gt;0")/D14,0)</f>
        <v>0.28125</v>
      </c>
      <c r="F14" s="6" t="n">
        <f aca="false">SUMIF(전체!$A$5:$A$807,A14,전체!$O$5:$O$807)</f>
        <v>0.371411558147801</v>
      </c>
      <c r="G14" s="7" t="n">
        <f aca="false">IFERROR(F14/D14,0)</f>
        <v>0.0116066111921188</v>
      </c>
      <c r="H14" s="6" t="n">
        <f aca="false">_xlfn.MAXIFS(전체!$O$5:$O$807,전체!$A$5:$A$807,A14)</f>
        <v>0.182706242284365</v>
      </c>
      <c r="I14" s="6" t="n">
        <f aca="false">_xlfn.MINIFS(전체!$O$5:$O$807,전체!$A$5:$A$807,A14)</f>
        <v>-0.0384343648438604</v>
      </c>
      <c r="J14" s="4" t="n">
        <f aca="false">COUNTIFS(전체!$A$5:$A$807,A14,전체!$M$5:$M$807,"손절*")</f>
        <v>0</v>
      </c>
    </row>
    <row r="15" customFormat="false" ht="17.15" hidden="false" customHeight="false" outlineLevel="0" collapsed="false">
      <c r="A15" s="4" t="n">
        <v>11</v>
      </c>
      <c r="B15" s="4" t="s">
        <v>32</v>
      </c>
      <c r="C15" s="8" t="s">
        <v>33</v>
      </c>
      <c r="D15" s="4" t="n">
        <f aca="false">COUNTIF(전체!$A$5:$A$807,A15)</f>
        <v>28</v>
      </c>
      <c r="E15" s="5" t="n">
        <f aca="false">IFERROR(COUNTIFS(전체!$A$5:$A$807,A15,전체!$O$5:$O$807,"&gt;0")/D15,0)</f>
        <v>0.357142857142857</v>
      </c>
      <c r="F15" s="6" t="n">
        <f aca="false">SUMIF(전체!$A$5:$A$807,A15,전체!$O$5:$O$807)</f>
        <v>0.289284216867255</v>
      </c>
      <c r="G15" s="7" t="n">
        <f aca="false">IFERROR(F15/D15,0)</f>
        <v>0.0103315791738305</v>
      </c>
      <c r="H15" s="6" t="n">
        <f aca="false">_xlfn.MAXIFS(전체!$O$5:$O$807,전체!$A$5:$A$807,A15)</f>
        <v>0.139961145367007</v>
      </c>
      <c r="I15" s="6" t="n">
        <f aca="false">_xlfn.MINIFS(전체!$O$5:$O$807,전체!$A$5:$A$807,A15)</f>
        <v>-0.0234634293523597</v>
      </c>
      <c r="J15" s="4" t="n">
        <f aca="false">COUNTIFS(전체!$A$5:$A$807,A15,전체!$M$5:$M$807,"손절*")</f>
        <v>0</v>
      </c>
    </row>
    <row r="16" customFormat="false" ht="15" hidden="false" customHeight="false" outlineLevel="0" collapsed="false">
      <c r="B16" s="9" t="s">
        <v>34</v>
      </c>
      <c r="D16" s="9" t="n">
        <f aca="false">SUM(D5:D15)</f>
        <v>803</v>
      </c>
      <c r="F16" s="10" t="n">
        <f aca="false">SUM(F5:F15)</f>
        <v>10.7386762105219</v>
      </c>
    </row>
    <row r="20" customFormat="false" ht="15" hidden="false" customHeight="false" outlineLevel="0" collapsed="false">
      <c r="A20" s="11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4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7" min="6" style="0" width="12"/>
    <col collapsed="false" customWidth="true" hidden="false" outlineLevel="0" max="8" min="8" style="0" width="16"/>
  </cols>
  <sheetData>
    <row r="1" customFormat="false" ht="19.4" hidden="false" customHeight="false" outlineLevel="0" collapsed="false">
      <c r="A1" s="12" t="s">
        <v>36</v>
      </c>
    </row>
    <row r="2" customFormat="false" ht="15" hidden="false" customHeight="false" outlineLevel="0" collapsed="false">
      <c r="A2" s="2" t="s">
        <v>37</v>
      </c>
    </row>
    <row r="4" customFormat="false" ht="32.8" hidden="false" customHeight="false" outlineLevel="0" collapsed="false">
      <c r="A4" s="3" t="s">
        <v>38</v>
      </c>
      <c r="B4" s="3" t="s">
        <v>39</v>
      </c>
      <c r="C4" s="3" t="s">
        <v>40</v>
      </c>
      <c r="D4" s="3" t="s">
        <v>41</v>
      </c>
      <c r="E4" s="3" t="s">
        <v>42</v>
      </c>
    </row>
    <row r="5" customFormat="false" ht="15" hidden="false" customHeight="false" outlineLevel="0" collapsed="false">
      <c r="A5" s="4" t="n">
        <v>2002</v>
      </c>
      <c r="B5" s="13" t="n">
        <v>44858790</v>
      </c>
      <c r="C5" s="13" t="n">
        <v>47840294</v>
      </c>
      <c r="D5" s="6" t="n">
        <f aca="false">C5/B5-1</f>
        <v>0.0664642091327028</v>
      </c>
      <c r="E5" s="13" t="n">
        <f aca="false">C5-B5</f>
        <v>2981504</v>
      </c>
    </row>
    <row r="6" customFormat="false" ht="15" hidden="false" customHeight="false" outlineLevel="0" collapsed="false">
      <c r="A6" s="4" t="n">
        <v>2003</v>
      </c>
      <c r="B6" s="13" t="n">
        <v>47840294</v>
      </c>
      <c r="C6" s="13" t="n">
        <v>62099318</v>
      </c>
      <c r="D6" s="6" t="n">
        <f aca="false">C6/B6-1</f>
        <v>0.298054690048519</v>
      </c>
      <c r="E6" s="13" t="n">
        <f aca="false">C6-B6</f>
        <v>14259024</v>
      </c>
    </row>
    <row r="7" customFormat="false" ht="15" hidden="false" customHeight="false" outlineLevel="0" collapsed="false">
      <c r="A7" s="4" t="n">
        <v>2004</v>
      </c>
      <c r="B7" s="13" t="n">
        <v>62099318</v>
      </c>
      <c r="C7" s="13" t="n">
        <v>67015169</v>
      </c>
      <c r="D7" s="6" t="n">
        <f aca="false">C7/B7-1</f>
        <v>0.0791611109159041</v>
      </c>
      <c r="E7" s="13" t="n">
        <f aca="false">C7-B7</f>
        <v>4915851</v>
      </c>
    </row>
    <row r="8" customFormat="false" ht="15" hidden="false" customHeight="false" outlineLevel="0" collapsed="false">
      <c r="A8" s="4" t="n">
        <v>2005</v>
      </c>
      <c r="B8" s="13" t="n">
        <v>67015169</v>
      </c>
      <c r="C8" s="13" t="n">
        <v>108457104</v>
      </c>
      <c r="D8" s="6" t="n">
        <f aca="false">C8/B8-1</f>
        <v>0.618396336507038</v>
      </c>
      <c r="E8" s="13" t="n">
        <f aca="false">C8-B8</f>
        <v>41441935</v>
      </c>
    </row>
    <row r="9" customFormat="false" ht="15" hidden="false" customHeight="false" outlineLevel="0" collapsed="false">
      <c r="A9" s="4" t="n">
        <v>2006</v>
      </c>
      <c r="B9" s="13" t="n">
        <v>108457104</v>
      </c>
      <c r="C9" s="13" t="n">
        <v>111210365</v>
      </c>
      <c r="D9" s="6" t="n">
        <f aca="false">C9/B9-1</f>
        <v>0.0253857137841336</v>
      </c>
      <c r="E9" s="13" t="n">
        <f aca="false">C9-B9</f>
        <v>2753261</v>
      </c>
    </row>
    <row r="10" customFormat="false" ht="15" hidden="false" customHeight="false" outlineLevel="0" collapsed="false">
      <c r="A10" s="4" t="n">
        <v>2007</v>
      </c>
      <c r="B10" s="13" t="n">
        <v>111210365</v>
      </c>
      <c r="C10" s="13" t="n">
        <v>153419073</v>
      </c>
      <c r="D10" s="6" t="n">
        <f aca="false">C10/B10-1</f>
        <v>0.379539335204951</v>
      </c>
      <c r="E10" s="13" t="n">
        <f aca="false">C10-B10</f>
        <v>42208708</v>
      </c>
    </row>
    <row r="11" customFormat="false" ht="15" hidden="false" customHeight="false" outlineLevel="0" collapsed="false">
      <c r="A11" s="4" t="n">
        <v>2008</v>
      </c>
      <c r="B11" s="13" t="n">
        <v>153419073</v>
      </c>
      <c r="C11" s="13" t="n">
        <v>145221556</v>
      </c>
      <c r="D11" s="6" t="n">
        <f aca="false">C11/B11-1</f>
        <v>-0.0534321896209085</v>
      </c>
      <c r="E11" s="13" t="n">
        <f aca="false">C11-B11</f>
        <v>-8197517</v>
      </c>
    </row>
    <row r="12" customFormat="false" ht="15" hidden="false" customHeight="false" outlineLevel="0" collapsed="false">
      <c r="A12" s="4" t="n">
        <v>2009</v>
      </c>
      <c r="B12" s="13" t="n">
        <v>145221556</v>
      </c>
      <c r="C12" s="13" t="n">
        <v>210400621</v>
      </c>
      <c r="D12" s="6" t="n">
        <f aca="false">C12/B12-1</f>
        <v>0.448825000883478</v>
      </c>
      <c r="E12" s="13" t="n">
        <f aca="false">C12-B12</f>
        <v>65179065</v>
      </c>
    </row>
    <row r="13" customFormat="false" ht="15" hidden="false" customHeight="false" outlineLevel="0" collapsed="false">
      <c r="A13" s="4" t="n">
        <v>2010</v>
      </c>
      <c r="B13" s="13" t="n">
        <v>210400621</v>
      </c>
      <c r="C13" s="13" t="n">
        <v>286266372</v>
      </c>
      <c r="D13" s="6" t="n">
        <f aca="false">C13/B13-1</f>
        <v>0.360577600196342</v>
      </c>
      <c r="E13" s="13" t="n">
        <f aca="false">C13-B13</f>
        <v>75865751</v>
      </c>
    </row>
    <row r="14" customFormat="false" ht="15" hidden="false" customHeight="false" outlineLevel="0" collapsed="false">
      <c r="A14" s="4" t="n">
        <v>2011</v>
      </c>
      <c r="B14" s="13" t="n">
        <v>286266372</v>
      </c>
      <c r="C14" s="13" t="n">
        <v>266743190</v>
      </c>
      <c r="D14" s="6" t="n">
        <f aca="false">C14/B14-1</f>
        <v>-0.0681993552494528</v>
      </c>
      <c r="E14" s="13" t="n">
        <f aca="false">C14-B14</f>
        <v>-19523182</v>
      </c>
    </row>
    <row r="15" customFormat="false" ht="15" hidden="false" customHeight="false" outlineLevel="0" collapsed="false">
      <c r="A15" s="4" t="n">
        <v>2012</v>
      </c>
      <c r="B15" s="13" t="n">
        <v>266743190</v>
      </c>
      <c r="C15" s="13" t="n">
        <v>293310182</v>
      </c>
      <c r="D15" s="6" t="n">
        <f aca="false">C15/B15-1</f>
        <v>0.0995976392124576</v>
      </c>
      <c r="E15" s="13" t="n">
        <f aca="false">C15-B15</f>
        <v>26566992</v>
      </c>
    </row>
    <row r="16" customFormat="false" ht="15" hidden="false" customHeight="false" outlineLevel="0" collapsed="false">
      <c r="A16" s="4" t="n">
        <v>2013</v>
      </c>
      <c r="B16" s="13" t="n">
        <v>293310182</v>
      </c>
      <c r="C16" s="13" t="n">
        <v>283223673</v>
      </c>
      <c r="D16" s="6" t="n">
        <f aca="false">C16/B16-1</f>
        <v>-0.034388540251903</v>
      </c>
      <c r="E16" s="13" t="n">
        <f aca="false">C16-B16</f>
        <v>-10086509</v>
      </c>
    </row>
    <row r="17" customFormat="false" ht="15" hidden="false" customHeight="false" outlineLevel="0" collapsed="false">
      <c r="A17" s="4" t="n">
        <v>2014</v>
      </c>
      <c r="B17" s="13" t="n">
        <v>283223673</v>
      </c>
      <c r="C17" s="13" t="n">
        <v>264721649</v>
      </c>
      <c r="D17" s="6" t="n">
        <f aca="false">C17/B17-1</f>
        <v>-0.0653265449318567</v>
      </c>
      <c r="E17" s="13" t="n">
        <f aca="false">C17-B17</f>
        <v>-18502024</v>
      </c>
    </row>
    <row r="18" customFormat="false" ht="15" hidden="false" customHeight="false" outlineLevel="0" collapsed="false">
      <c r="A18" s="4" t="n">
        <v>2015</v>
      </c>
      <c r="B18" s="13" t="n">
        <v>264721649</v>
      </c>
      <c r="C18" s="13" t="n">
        <v>265753379</v>
      </c>
      <c r="D18" s="6" t="n">
        <f aca="false">C18/B18-1</f>
        <v>0.00389741452539827</v>
      </c>
      <c r="E18" s="13" t="n">
        <f aca="false">C18-B18</f>
        <v>1031730</v>
      </c>
    </row>
    <row r="19" customFormat="false" ht="15" hidden="false" customHeight="false" outlineLevel="0" collapsed="false">
      <c r="A19" s="4" t="n">
        <v>2016</v>
      </c>
      <c r="B19" s="13" t="n">
        <v>265753379</v>
      </c>
      <c r="C19" s="13" t="n">
        <v>242800162</v>
      </c>
      <c r="D19" s="6" t="n">
        <f aca="false">C19/B19-1</f>
        <v>-0.0863703674676513</v>
      </c>
      <c r="E19" s="13" t="n">
        <f aca="false">C19-B19</f>
        <v>-22953217</v>
      </c>
    </row>
    <row r="20" customFormat="false" ht="15" hidden="false" customHeight="false" outlineLevel="0" collapsed="false">
      <c r="A20" s="4" t="n">
        <v>2017</v>
      </c>
      <c r="B20" s="13" t="n">
        <v>242800162</v>
      </c>
      <c r="C20" s="13" t="n">
        <v>287731286</v>
      </c>
      <c r="D20" s="6" t="n">
        <f aca="false">C20/B20-1</f>
        <v>0.185053929247378</v>
      </c>
      <c r="E20" s="13" t="n">
        <f aca="false">C20-B20</f>
        <v>44931124</v>
      </c>
    </row>
    <row r="21" customFormat="false" ht="15" hidden="false" customHeight="false" outlineLevel="0" collapsed="false">
      <c r="A21" s="4" t="n">
        <v>2018</v>
      </c>
      <c r="B21" s="13" t="n">
        <v>287731286</v>
      </c>
      <c r="C21" s="13" t="n">
        <v>261743568</v>
      </c>
      <c r="D21" s="6" t="n">
        <f aca="false">C21/B21-1</f>
        <v>-0.0903194030836119</v>
      </c>
      <c r="E21" s="13" t="n">
        <f aca="false">C21-B21</f>
        <v>-25987718</v>
      </c>
    </row>
    <row r="22" customFormat="false" ht="15" hidden="false" customHeight="false" outlineLevel="0" collapsed="false">
      <c r="A22" s="4" t="n">
        <v>2019</v>
      </c>
      <c r="B22" s="13" t="n">
        <v>261743568</v>
      </c>
      <c r="C22" s="13" t="n">
        <v>261572353</v>
      </c>
      <c r="D22" s="6" t="n">
        <f aca="false">C22/B22-1</f>
        <v>-0.000654132597443624</v>
      </c>
      <c r="E22" s="13" t="n">
        <f aca="false">C22-B22</f>
        <v>-171215</v>
      </c>
    </row>
    <row r="23" customFormat="false" ht="15" hidden="false" customHeight="false" outlineLevel="0" collapsed="false">
      <c r="A23" s="4" t="n">
        <v>2020</v>
      </c>
      <c r="B23" s="13" t="n">
        <v>261572353</v>
      </c>
      <c r="C23" s="13" t="n">
        <v>326868282</v>
      </c>
      <c r="D23" s="6" t="n">
        <f aca="false">C23/B23-1</f>
        <v>0.249628556883456</v>
      </c>
      <c r="E23" s="13" t="n">
        <f aca="false">C23-B23</f>
        <v>65295929</v>
      </c>
    </row>
    <row r="24" customFormat="false" ht="15" hidden="false" customHeight="false" outlineLevel="0" collapsed="false">
      <c r="A24" s="4" t="n">
        <v>2021</v>
      </c>
      <c r="B24" s="13" t="n">
        <v>326868282</v>
      </c>
      <c r="C24" s="13" t="n">
        <v>344917477</v>
      </c>
      <c r="D24" s="6" t="n">
        <f aca="false">C24/B24-1</f>
        <v>0.055218557424914</v>
      </c>
      <c r="E24" s="13" t="n">
        <f aca="false">C24-B24</f>
        <v>18049195</v>
      </c>
    </row>
    <row r="25" customFormat="false" ht="15" hidden="false" customHeight="false" outlineLevel="0" collapsed="false">
      <c r="A25" s="4" t="n">
        <v>2022</v>
      </c>
      <c r="B25" s="13" t="n">
        <v>344917477</v>
      </c>
      <c r="C25" s="13" t="n">
        <v>341095759</v>
      </c>
      <c r="D25" s="6" t="n">
        <f aca="false">C25/B25-1</f>
        <v>-0.0110800938045827</v>
      </c>
      <c r="E25" s="13" t="n">
        <f aca="false">C25-B25</f>
        <v>-3821718</v>
      </c>
    </row>
    <row r="26" customFormat="false" ht="15" hidden="false" customHeight="false" outlineLevel="0" collapsed="false">
      <c r="A26" s="4" t="n">
        <v>2023</v>
      </c>
      <c r="B26" s="13" t="n">
        <v>341095759</v>
      </c>
      <c r="C26" s="13" t="n">
        <v>372569780</v>
      </c>
      <c r="D26" s="6" t="n">
        <f aca="false">C26/B26-1</f>
        <v>0.0922732698063244</v>
      </c>
      <c r="E26" s="13" t="n">
        <f aca="false">C26-B26</f>
        <v>31474021</v>
      </c>
    </row>
    <row r="27" customFormat="false" ht="15" hidden="false" customHeight="false" outlineLevel="0" collapsed="false">
      <c r="A27" s="4" t="n">
        <v>2024</v>
      </c>
      <c r="B27" s="13" t="n">
        <v>372569780</v>
      </c>
      <c r="C27" s="13" t="n">
        <v>390543806</v>
      </c>
      <c r="D27" s="6" t="n">
        <f aca="false">C27/B27-1</f>
        <v>0.0482433814143488</v>
      </c>
      <c r="E27" s="13" t="n">
        <f aca="false">C27-B27</f>
        <v>17974026</v>
      </c>
    </row>
    <row r="28" customFormat="false" ht="15" hidden="false" customHeight="false" outlineLevel="0" collapsed="false">
      <c r="A28" s="4" t="n">
        <v>2025</v>
      </c>
      <c r="B28" s="13" t="n">
        <v>390543806</v>
      </c>
      <c r="C28" s="13" t="n">
        <v>691765886</v>
      </c>
      <c r="D28" s="6" t="n">
        <f aca="false">C28/B28-1</f>
        <v>0.771288842307232</v>
      </c>
      <c r="E28" s="13" t="n">
        <f aca="false">C28-B28</f>
        <v>301222080</v>
      </c>
    </row>
    <row r="29" customFormat="false" ht="15" hidden="false" customHeight="false" outlineLevel="0" collapsed="false">
      <c r="A29" s="4" t="n">
        <v>2026</v>
      </c>
      <c r="B29" s="13" t="n">
        <v>691765886</v>
      </c>
      <c r="C29" s="13" t="n">
        <v>1675126107</v>
      </c>
      <c r="D29" s="6" t="n">
        <f aca="false">C29/B29-1</f>
        <v>1.42152170394826</v>
      </c>
      <c r="E29" s="13" t="n">
        <f aca="false">C29-B29</f>
        <v>983360221</v>
      </c>
    </row>
    <row r="30" customFormat="false" ht="15" hidden="false" customHeight="false" outlineLevel="0" collapsed="false">
      <c r="A30" s="9" t="s">
        <v>43</v>
      </c>
      <c r="B30" s="14" t="n">
        <v>44858790</v>
      </c>
      <c r="C30" s="14" t="n">
        <f aca="false">C29</f>
        <v>1675126107</v>
      </c>
      <c r="D30" s="15" t="n">
        <f aca="false">C30/B30-1</f>
        <v>36.342204437525</v>
      </c>
      <c r="E30" s="14" t="n">
        <f aca="false">C30-B30</f>
        <v>1630267317</v>
      </c>
    </row>
    <row r="31" customFormat="false" ht="17.15" hidden="false" customHeight="false" outlineLevel="0" collapsed="false">
      <c r="A31" s="8" t="s">
        <v>44</v>
      </c>
      <c r="B31" s="16" t="n">
        <f aca="false">C29/B5</f>
        <v>37.342204437525</v>
      </c>
    </row>
    <row r="32" customFormat="false" ht="15" hidden="false" customHeight="false" outlineLevel="0" collapsed="false">
      <c r="A32" s="4" t="s">
        <v>45</v>
      </c>
      <c r="B32" s="10" t="n">
        <f aca="false">(C29/B5)^(1/24.318)-1</f>
        <v>0.160517506923328</v>
      </c>
      <c r="C32" s="11" t="s">
        <v>46</v>
      </c>
    </row>
    <row r="33" customFormat="false" ht="15" hidden="false" customHeight="false" outlineLevel="0" collapsed="false">
      <c r="A33" s="8" t="s">
        <v>47</v>
      </c>
      <c r="B33" s="10" t="n">
        <v>-0.317820423012845</v>
      </c>
      <c r="C33" s="11" t="s">
        <v>48</v>
      </c>
    </row>
    <row r="34" customFormat="false" ht="15" hidden="false" customHeight="false" outlineLevel="0" collapsed="false">
      <c r="A34" s="8" t="s">
        <v>49</v>
      </c>
      <c r="B34" s="0" t="n">
        <v>767</v>
      </c>
    </row>
    <row r="35" customFormat="false" ht="15" hidden="false" customHeight="false" outlineLevel="0" collapsed="false">
      <c r="A35" s="8" t="s">
        <v>50</v>
      </c>
      <c r="B35" s="17" t="n">
        <v>240784407</v>
      </c>
      <c r="C35" s="11" t="s">
        <v>51</v>
      </c>
    </row>
    <row r="38" customFormat="false" ht="17.15" hidden="false" customHeight="false" outlineLevel="0" collapsed="false">
      <c r="A38" s="9" t="s">
        <v>52</v>
      </c>
    </row>
    <row r="39" customFormat="false" ht="30" hidden="false" customHeight="true" outlineLevel="0" collapsed="false">
      <c r="A39" s="3" t="s">
        <v>2</v>
      </c>
      <c r="B39" s="3" t="s">
        <v>3</v>
      </c>
      <c r="C39" s="3" t="s">
        <v>5</v>
      </c>
      <c r="D39" s="3" t="s">
        <v>53</v>
      </c>
      <c r="E39" s="3" t="s">
        <v>54</v>
      </c>
      <c r="F39" s="3" t="s">
        <v>55</v>
      </c>
      <c r="G39" s="3" t="s">
        <v>47</v>
      </c>
      <c r="H39" s="3" t="s">
        <v>56</v>
      </c>
    </row>
    <row r="40" customFormat="false" ht="17.15" hidden="false" customHeight="false" outlineLevel="0" collapsed="false">
      <c r="A40" s="4" t="n">
        <v>1</v>
      </c>
      <c r="B40" s="4" t="s">
        <v>12</v>
      </c>
      <c r="C40" s="4" t="n">
        <v>145</v>
      </c>
      <c r="D40" s="5" t="n">
        <v>4.22714405579136</v>
      </c>
      <c r="E40" s="18" t="n">
        <v>2.21077851335097</v>
      </c>
      <c r="F40" s="6" t="n">
        <v>0.0331623220225175</v>
      </c>
      <c r="G40" s="6" t="n">
        <v>-0.1178530695962</v>
      </c>
      <c r="H40" s="13" t="n">
        <v>99172849</v>
      </c>
    </row>
    <row r="41" customFormat="false" ht="17.15" hidden="false" customHeight="false" outlineLevel="0" collapsed="false">
      <c r="A41" s="4" t="n">
        <v>2</v>
      </c>
      <c r="B41" s="4" t="s">
        <v>14</v>
      </c>
      <c r="C41" s="4" t="n">
        <v>61</v>
      </c>
      <c r="D41" s="5" t="n">
        <v>2.23013587116903</v>
      </c>
      <c r="E41" s="18" t="n">
        <v>1.52891018960994</v>
      </c>
      <c r="F41" s="6" t="n">
        <v>0.0176120636504631</v>
      </c>
      <c r="G41" s="6" t="n">
        <v>-0.0796524873344531</v>
      </c>
      <c r="H41" s="13" t="n">
        <v>68585061</v>
      </c>
    </row>
    <row r="42" customFormat="false" ht="17.15" hidden="false" customHeight="false" outlineLevel="0" collapsed="false">
      <c r="A42" s="4" t="n">
        <v>3</v>
      </c>
      <c r="B42" s="4" t="s">
        <v>16</v>
      </c>
      <c r="C42" s="4" t="n">
        <v>92</v>
      </c>
      <c r="D42" s="5" t="n">
        <v>3.24239623351482</v>
      </c>
      <c r="E42" s="18" t="n">
        <v>1.82401767689812</v>
      </c>
      <c r="F42" s="6" t="n">
        <v>0.0250243100664651</v>
      </c>
      <c r="G42" s="6" t="n">
        <v>-0.0900745441113342</v>
      </c>
      <c r="H42" s="13" t="n">
        <v>81823226</v>
      </c>
    </row>
    <row r="43" customFormat="false" ht="17.15" hidden="false" customHeight="false" outlineLevel="0" collapsed="false">
      <c r="A43" s="4" t="n">
        <v>4</v>
      </c>
      <c r="B43" s="4" t="s">
        <v>18</v>
      </c>
      <c r="C43" s="4" t="n">
        <v>100</v>
      </c>
      <c r="D43" s="5" t="n">
        <v>4.71108566715862</v>
      </c>
      <c r="E43" s="18" t="n">
        <v>2.36622166290018</v>
      </c>
      <c r="F43" s="6" t="n">
        <v>0.0360532856831299</v>
      </c>
      <c r="G43" s="6" t="n">
        <v>-0.143698033939291</v>
      </c>
      <c r="H43" s="13" t="n">
        <v>106145841</v>
      </c>
    </row>
    <row r="44" customFormat="false" ht="17.15" hidden="false" customHeight="false" outlineLevel="0" collapsed="false">
      <c r="A44" s="4" t="n">
        <v>5</v>
      </c>
      <c r="B44" s="4" t="s">
        <v>20</v>
      </c>
      <c r="C44" s="4" t="n">
        <v>95</v>
      </c>
      <c r="D44" s="5" t="n">
        <v>2.9106287222015</v>
      </c>
      <c r="E44" s="18" t="n">
        <v>1.71399644695232</v>
      </c>
      <c r="F44" s="6" t="n">
        <v>0.0224052517386171</v>
      </c>
      <c r="G44" s="6" t="n">
        <v>-0.188446126260949</v>
      </c>
      <c r="H44" s="13" t="n">
        <v>76887807</v>
      </c>
    </row>
    <row r="45" customFormat="false" ht="17.15" hidden="false" customHeight="false" outlineLevel="0" collapsed="false">
      <c r="A45" s="4" t="n">
        <v>6</v>
      </c>
      <c r="B45" s="4" t="s">
        <v>22</v>
      </c>
      <c r="C45" s="4" t="n">
        <v>149</v>
      </c>
      <c r="D45" s="5" t="n">
        <v>2.32775804864945</v>
      </c>
      <c r="E45" s="18" t="n">
        <v>1.55836805862273</v>
      </c>
      <c r="F45" s="6" t="n">
        <v>0.0184109791676395</v>
      </c>
      <c r="G45" s="6" t="n">
        <v>-0.0759713281732052</v>
      </c>
      <c r="H45" s="13" t="n">
        <v>69906505</v>
      </c>
    </row>
    <row r="46" customFormat="false" ht="17.15" hidden="false" customHeight="false" outlineLevel="0" collapsed="false">
      <c r="A46" s="4" t="n">
        <v>7</v>
      </c>
      <c r="B46" s="4" t="s">
        <v>24</v>
      </c>
      <c r="C46" s="4" t="n">
        <v>46</v>
      </c>
      <c r="D46" s="5" t="n">
        <v>1.11225852715046</v>
      </c>
      <c r="E46" s="18" t="n">
        <v>1.27972996785592</v>
      </c>
      <c r="F46" s="6" t="n">
        <v>0.0101944388926405</v>
      </c>
      <c r="G46" s="6" t="n">
        <v>-0.0853638988679174</v>
      </c>
      <c r="H46" s="13" t="n">
        <v>57407138</v>
      </c>
    </row>
    <row r="47" customFormat="false" ht="17.15" hidden="false" customHeight="false" outlineLevel="0" collapsed="false">
      <c r="A47" s="4" t="n">
        <v>8</v>
      </c>
      <c r="B47" s="4" t="s">
        <v>26</v>
      </c>
      <c r="C47" s="4" t="n">
        <v>18</v>
      </c>
      <c r="D47" s="5" t="n">
        <v>0.273491913154908</v>
      </c>
      <c r="E47" s="18" t="n">
        <v>1.05298264958832</v>
      </c>
      <c r="F47" s="6" t="n">
        <v>0.00212527621237091</v>
      </c>
      <c r="G47" s="6" t="n">
        <v>-0.0957556213432187</v>
      </c>
      <c r="H47" s="13" t="n">
        <v>47235528</v>
      </c>
    </row>
    <row r="48" customFormat="false" ht="17.15" hidden="false" customHeight="false" outlineLevel="0" collapsed="false">
      <c r="A48" s="4" t="n">
        <v>9</v>
      </c>
      <c r="B48" s="4" t="s">
        <v>28</v>
      </c>
      <c r="C48" s="4" t="n">
        <v>20</v>
      </c>
      <c r="D48" s="5" t="n">
        <v>0.192174637220241</v>
      </c>
      <c r="E48" s="18" t="n">
        <v>1.03545269460001</v>
      </c>
      <c r="F48" s="6" t="n">
        <v>0.0014336817110765</v>
      </c>
      <c r="G48" s="6" t="n">
        <v>-0.0907600983719057</v>
      </c>
      <c r="H48" s="13" t="n">
        <v>46449155</v>
      </c>
    </row>
    <row r="49" customFormat="false" ht="17.15" hidden="false" customHeight="false" outlineLevel="0" collapsed="false">
      <c r="A49" s="4" t="n">
        <v>10</v>
      </c>
      <c r="B49" s="4" t="s">
        <v>30</v>
      </c>
      <c r="C49" s="4" t="n">
        <v>30</v>
      </c>
      <c r="D49" s="5" t="n">
        <v>0.789028271654315</v>
      </c>
      <c r="E49" s="18" t="n">
        <v>1.16198953551142</v>
      </c>
      <c r="F49" s="6" t="n">
        <v>0.00619296799640257</v>
      </c>
      <c r="G49" s="6" t="n">
        <v>-0.04493535109587</v>
      </c>
      <c r="H49" s="13" t="n">
        <v>52125445</v>
      </c>
    </row>
    <row r="50" customFormat="false" ht="17.15" hidden="false" customHeight="false" outlineLevel="0" collapsed="false">
      <c r="A50" s="4" t="n">
        <v>11</v>
      </c>
      <c r="B50" s="4" t="s">
        <v>32</v>
      </c>
      <c r="C50" s="4" t="n">
        <v>28</v>
      </c>
      <c r="D50" s="5" t="n">
        <v>0.0739335960451453</v>
      </c>
      <c r="E50" s="18" t="n">
        <v>1.02400490699736</v>
      </c>
      <c r="F50" s="6" t="n">
        <v>0.000975955738924839</v>
      </c>
      <c r="G50" s="6" t="n">
        <v>-0.112696195240236</v>
      </c>
      <c r="H50" s="13" t="n">
        <v>45935621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10" min="9" style="0" width="14"/>
    <col collapsed="false" customWidth="true" hidden="false" outlineLevel="0" max="11" min="11" style="0" width="16"/>
    <col collapsed="false" customWidth="true" hidden="false" outlineLevel="0" max="12" min="12" style="0" width="12"/>
    <col collapsed="false" customWidth="true" hidden="false" outlineLevel="0" max="13" min="13" style="0" width="16"/>
    <col collapsed="false" customWidth="true" hidden="false" outlineLevel="0" max="14" min="14" style="0" width="7"/>
    <col collapsed="false" customWidth="true" hidden="false" outlineLevel="0" max="15" min="15" style="0" width="16"/>
  </cols>
  <sheetData>
    <row r="1" customFormat="false" ht="19.4" hidden="false" customHeight="false" outlineLevel="0" collapsed="false">
      <c r="A1" s="12" t="s">
        <v>57</v>
      </c>
    </row>
    <row r="2" customFormat="false" ht="15" hidden="false" customHeight="false" outlineLevel="0" collapsed="false">
      <c r="A2" s="2" t="s">
        <v>58</v>
      </c>
    </row>
    <row r="4" customFormat="false" ht="31.5" hidden="false" customHeight="true" outlineLevel="0" collapsed="false">
      <c r="A4" s="19" t="s">
        <v>2</v>
      </c>
      <c r="B4" s="19" t="s">
        <v>3</v>
      </c>
      <c r="C4" s="19" t="s">
        <v>59</v>
      </c>
      <c r="D4" s="19" t="s">
        <v>60</v>
      </c>
      <c r="E4" s="19" t="s">
        <v>61</v>
      </c>
      <c r="F4" s="20" t="s">
        <v>62</v>
      </c>
      <c r="G4" s="19" t="s">
        <v>63</v>
      </c>
      <c r="H4" s="19" t="s">
        <v>64</v>
      </c>
      <c r="I4" s="19" t="s">
        <v>65</v>
      </c>
      <c r="J4" s="19" t="s">
        <v>66</v>
      </c>
      <c r="K4" s="20" t="s">
        <v>67</v>
      </c>
      <c r="L4" s="19" t="s">
        <v>68</v>
      </c>
      <c r="M4" s="19" t="s">
        <v>69</v>
      </c>
      <c r="N4" s="19" t="s">
        <v>70</v>
      </c>
      <c r="O4" s="19" t="s">
        <v>71</v>
      </c>
    </row>
    <row r="5" customFormat="false" ht="17.15" hidden="false" customHeight="false" outlineLevel="0" collapsed="false">
      <c r="A5" s="4" t="n">
        <v>7</v>
      </c>
      <c r="B5" s="4" t="s">
        <v>24</v>
      </c>
      <c r="C5" s="8" t="s">
        <v>72</v>
      </c>
      <c r="D5" s="21" t="n">
        <v>37407</v>
      </c>
      <c r="E5" s="22" t="n">
        <v>100.8</v>
      </c>
      <c r="F5" s="21" t="n">
        <v>37410</v>
      </c>
      <c r="G5" s="22" t="n">
        <v>100.54</v>
      </c>
      <c r="H5" s="22" t="n">
        <v>90.72</v>
      </c>
      <c r="I5" s="21" t="n">
        <v>37414</v>
      </c>
      <c r="J5" s="22" t="n">
        <v>100.37</v>
      </c>
      <c r="K5" s="21" t="n">
        <v>37417</v>
      </c>
      <c r="L5" s="22" t="n">
        <v>101.38</v>
      </c>
      <c r="M5" s="8" t="s">
        <v>73</v>
      </c>
      <c r="N5" s="4" t="n">
        <v>4</v>
      </c>
      <c r="O5" s="6" t="n">
        <f aca="false">IF(C5="롱",(J5-E5)/E5,(E5-J5)/E5)</f>
        <v>-0.00426587301587294</v>
      </c>
    </row>
    <row r="6" customFormat="false" ht="17.15" hidden="false" customHeight="false" outlineLevel="0" collapsed="false">
      <c r="A6" s="4" t="n">
        <v>2</v>
      </c>
      <c r="B6" s="4" t="s">
        <v>14</v>
      </c>
      <c r="C6" s="8" t="s">
        <v>72</v>
      </c>
      <c r="D6" s="21" t="n">
        <v>37426</v>
      </c>
      <c r="E6" s="22" t="n">
        <v>97.43</v>
      </c>
      <c r="F6" s="21" t="n">
        <v>37427</v>
      </c>
      <c r="G6" s="22" t="n">
        <v>96.63</v>
      </c>
      <c r="H6" s="22" t="n">
        <v>87.69</v>
      </c>
      <c r="I6" s="21" t="n">
        <v>37442</v>
      </c>
      <c r="J6" s="22" t="n">
        <v>99.34</v>
      </c>
      <c r="K6" s="21" t="n">
        <v>37445</v>
      </c>
      <c r="L6" s="22" t="n">
        <v>101.78</v>
      </c>
      <c r="M6" s="8" t="s">
        <v>73</v>
      </c>
      <c r="N6" s="4" t="n">
        <v>11</v>
      </c>
      <c r="O6" s="6" t="n">
        <f aca="false">IF(C6="롱",(J6-E6)/E6,(E6-J6)/E6)</f>
        <v>0.0196038181258339</v>
      </c>
    </row>
    <row r="7" customFormat="false" ht="17.15" hidden="false" customHeight="false" outlineLevel="0" collapsed="false">
      <c r="A7" s="4" t="n">
        <v>8</v>
      </c>
      <c r="B7" s="4" t="s">
        <v>26</v>
      </c>
      <c r="C7" s="8" t="s">
        <v>72</v>
      </c>
      <c r="D7" s="21" t="n">
        <v>37426</v>
      </c>
      <c r="E7" s="22" t="n">
        <v>97.43</v>
      </c>
      <c r="F7" s="21" t="n">
        <v>37427</v>
      </c>
      <c r="G7" s="22" t="n">
        <v>96.63</v>
      </c>
      <c r="H7" s="22" t="n">
        <v>87.69</v>
      </c>
      <c r="I7" s="21" t="n">
        <v>37446</v>
      </c>
      <c r="J7" s="22" t="n">
        <v>101.05</v>
      </c>
      <c r="K7" s="21" t="n">
        <v>37447</v>
      </c>
      <c r="L7" s="22" t="n">
        <v>100.1</v>
      </c>
      <c r="M7" s="8" t="s">
        <v>73</v>
      </c>
      <c r="N7" s="4" t="n">
        <v>13</v>
      </c>
      <c r="O7" s="6" t="n">
        <f aca="false">IF(C7="롱",(J7-E7)/E7,(E7-J7)/E7)</f>
        <v>0.0371548804269731</v>
      </c>
    </row>
    <row r="8" customFormat="false" ht="17.15" hidden="false" customHeight="false" outlineLevel="0" collapsed="false">
      <c r="A8" s="4" t="n">
        <v>7</v>
      </c>
      <c r="B8" s="4" t="s">
        <v>24</v>
      </c>
      <c r="C8" s="8" t="s">
        <v>72</v>
      </c>
      <c r="D8" s="21" t="n">
        <v>37433</v>
      </c>
      <c r="E8" s="22" t="n">
        <v>88.61</v>
      </c>
      <c r="F8" s="21" t="n">
        <v>37434</v>
      </c>
      <c r="G8" s="22" t="n">
        <v>90.74</v>
      </c>
      <c r="H8" s="22" t="n">
        <v>79.75</v>
      </c>
      <c r="I8" s="21" t="n">
        <v>37442</v>
      </c>
      <c r="J8" s="22" t="n">
        <v>99.34</v>
      </c>
      <c r="K8" s="21" t="n">
        <v>37445</v>
      </c>
      <c r="L8" s="22" t="n">
        <v>101.78</v>
      </c>
      <c r="M8" s="8" t="s">
        <v>73</v>
      </c>
      <c r="N8" s="4" t="n">
        <v>6</v>
      </c>
      <c r="O8" s="6" t="n">
        <f aca="false">IF(C8="롱",(J8-E8)/E8,(E8-J8)/E8)</f>
        <v>0.121092427491254</v>
      </c>
    </row>
    <row r="9" customFormat="false" ht="17.15" hidden="false" customHeight="false" outlineLevel="0" collapsed="false">
      <c r="A9" s="4" t="n">
        <v>7</v>
      </c>
      <c r="B9" s="4" t="s">
        <v>24</v>
      </c>
      <c r="C9" s="8" t="s">
        <v>72</v>
      </c>
      <c r="D9" s="21" t="n">
        <v>37495</v>
      </c>
      <c r="E9" s="22" t="n">
        <v>90.92</v>
      </c>
      <c r="F9" s="21" t="n">
        <v>37496</v>
      </c>
      <c r="G9" s="22" t="n">
        <v>90.16</v>
      </c>
      <c r="H9" s="22" t="n">
        <v>81.83</v>
      </c>
      <c r="I9" s="21" t="n">
        <v>37524</v>
      </c>
      <c r="J9" s="22" t="n">
        <v>82.6</v>
      </c>
      <c r="K9" s="21" t="n">
        <v>37525</v>
      </c>
      <c r="L9" s="22" t="n">
        <v>84.55</v>
      </c>
      <c r="M9" s="8" t="s">
        <v>73</v>
      </c>
      <c r="N9" s="4" t="n">
        <v>20</v>
      </c>
      <c r="O9" s="6" t="n">
        <f aca="false">IF(C9="롱",(J9-E9)/E9,(E9-J9)/E9)</f>
        <v>-0.09150901891773</v>
      </c>
    </row>
    <row r="10" customFormat="false" ht="17.15" hidden="false" customHeight="false" outlineLevel="0" collapsed="false">
      <c r="A10" s="4" t="n">
        <v>11</v>
      </c>
      <c r="B10" s="4" t="s">
        <v>32</v>
      </c>
      <c r="C10" s="8" t="s">
        <v>74</v>
      </c>
      <c r="D10" s="21" t="n">
        <v>37512</v>
      </c>
      <c r="E10" s="22" t="n">
        <v>90.3</v>
      </c>
      <c r="F10" s="21" t="n">
        <v>37515</v>
      </c>
      <c r="G10" s="22" t="n">
        <v>90.72</v>
      </c>
      <c r="H10" s="22" t="n">
        <v>99.33</v>
      </c>
      <c r="I10" s="21" t="n">
        <v>37547</v>
      </c>
      <c r="J10" s="22" t="n">
        <v>84.5</v>
      </c>
      <c r="K10" s="21" t="n">
        <v>37550</v>
      </c>
      <c r="L10" s="22" t="n">
        <v>83.9</v>
      </c>
      <c r="M10" s="8" t="s">
        <v>73</v>
      </c>
      <c r="N10" s="4" t="n">
        <v>23</v>
      </c>
      <c r="O10" s="6" t="n">
        <f aca="false">IF(C10="롱",(J10-E10)/E10,(E10-J10)/E10)</f>
        <v>0.0642303433001107</v>
      </c>
    </row>
    <row r="11" customFormat="false" ht="17.15" hidden="false" customHeight="false" outlineLevel="0" collapsed="false">
      <c r="A11" s="4" t="n">
        <v>9</v>
      </c>
      <c r="B11" s="4" t="s">
        <v>28</v>
      </c>
      <c r="C11" s="8" t="s">
        <v>72</v>
      </c>
      <c r="D11" s="21" t="n">
        <v>37559</v>
      </c>
      <c r="E11" s="22" t="n">
        <v>82.97</v>
      </c>
      <c r="F11" s="21" t="n">
        <v>37560</v>
      </c>
      <c r="G11" s="22" t="n">
        <v>83.79</v>
      </c>
      <c r="H11" s="22" t="n">
        <v>74.67</v>
      </c>
      <c r="I11" s="21" t="n">
        <v>37564</v>
      </c>
      <c r="J11" s="22" t="n">
        <v>85.04</v>
      </c>
      <c r="K11" s="21" t="n">
        <v>37565</v>
      </c>
      <c r="L11" s="22" t="n">
        <v>85.03</v>
      </c>
      <c r="M11" s="8" t="s">
        <v>73</v>
      </c>
      <c r="N11" s="4" t="n">
        <v>3</v>
      </c>
      <c r="O11" s="6" t="n">
        <f aca="false">IF(C11="롱",(J11-E11)/E11,(E11-J11)/E11)</f>
        <v>0.024948776666265</v>
      </c>
    </row>
    <row r="12" customFormat="false" ht="17.15" hidden="false" customHeight="false" outlineLevel="0" collapsed="false">
      <c r="A12" s="4" t="n">
        <v>9</v>
      </c>
      <c r="B12" s="4" t="s">
        <v>28</v>
      </c>
      <c r="C12" s="8" t="s">
        <v>72</v>
      </c>
      <c r="D12" s="21" t="n">
        <v>37565</v>
      </c>
      <c r="E12" s="22" t="n">
        <v>84.01</v>
      </c>
      <c r="F12" s="21" t="n">
        <v>37566</v>
      </c>
      <c r="G12" s="22" t="n">
        <v>85.21</v>
      </c>
      <c r="H12" s="22" t="n">
        <v>75.61</v>
      </c>
      <c r="I12" s="21" t="n">
        <v>37566</v>
      </c>
      <c r="J12" s="22" t="n">
        <v>86.4</v>
      </c>
      <c r="K12" s="21" t="n">
        <v>37567</v>
      </c>
      <c r="L12" s="22" t="n">
        <v>85.83</v>
      </c>
      <c r="M12" s="8" t="s">
        <v>73</v>
      </c>
      <c r="N12" s="4" t="n">
        <v>1</v>
      </c>
      <c r="O12" s="6" t="n">
        <f aca="false">IF(C12="롱",(J12-E12)/E12,(E12-J12)/E12)</f>
        <v>0.028448994167361</v>
      </c>
    </row>
    <row r="13" customFormat="false" ht="17.15" hidden="false" customHeight="false" outlineLevel="0" collapsed="false">
      <c r="A13" s="4" t="n">
        <v>9</v>
      </c>
      <c r="B13" s="4" t="s">
        <v>28</v>
      </c>
      <c r="C13" s="8" t="s">
        <v>72</v>
      </c>
      <c r="D13" s="21" t="n">
        <v>37571</v>
      </c>
      <c r="E13" s="22" t="n">
        <v>83.15</v>
      </c>
      <c r="F13" s="21" t="n">
        <v>37572</v>
      </c>
      <c r="G13" s="22" t="n">
        <v>81.42</v>
      </c>
      <c r="H13" s="22" t="n">
        <v>74.84</v>
      </c>
      <c r="I13" s="21" t="n">
        <v>37575</v>
      </c>
      <c r="J13" s="22" t="n">
        <v>85.26</v>
      </c>
      <c r="K13" s="21" t="n">
        <v>37578</v>
      </c>
      <c r="L13" s="22" t="n">
        <v>85.25</v>
      </c>
      <c r="M13" s="8" t="s">
        <v>73</v>
      </c>
      <c r="N13" s="4" t="n">
        <v>4</v>
      </c>
      <c r="O13" s="6" t="n">
        <f aca="false">IF(C13="롱",(J13-E13)/E13,(E13-J13)/E13)</f>
        <v>0.0253758268190018</v>
      </c>
    </row>
    <row r="14" customFormat="false" ht="17.15" hidden="false" customHeight="false" outlineLevel="0" collapsed="false">
      <c r="A14" s="4" t="n">
        <v>10</v>
      </c>
      <c r="B14" s="4" t="s">
        <v>30</v>
      </c>
      <c r="C14" s="8" t="s">
        <v>72</v>
      </c>
      <c r="D14" s="21" t="n">
        <v>37575</v>
      </c>
      <c r="E14" s="22" t="n">
        <v>85.26</v>
      </c>
      <c r="F14" s="21" t="n">
        <v>37578</v>
      </c>
      <c r="G14" s="22" t="n">
        <v>85.25</v>
      </c>
      <c r="H14" s="22" t="n">
        <v>76.73</v>
      </c>
      <c r="I14" s="21" t="n">
        <v>37601</v>
      </c>
      <c r="J14" s="22" t="n">
        <v>88.51</v>
      </c>
      <c r="K14" s="21" t="n">
        <v>37602</v>
      </c>
      <c r="L14" s="22" t="n">
        <v>89.12</v>
      </c>
      <c r="M14" s="8" t="s">
        <v>73</v>
      </c>
      <c r="N14" s="4" t="n">
        <v>18</v>
      </c>
      <c r="O14" s="6" t="n">
        <f aca="false">IF(C14="롱",(J14-E14)/E14,(E14-J14)/E14)</f>
        <v>0.0381186957541637</v>
      </c>
    </row>
    <row r="15" customFormat="false" ht="17.15" hidden="false" customHeight="false" outlineLevel="0" collapsed="false">
      <c r="A15" s="4" t="n">
        <v>2</v>
      </c>
      <c r="B15" s="4" t="s">
        <v>14</v>
      </c>
      <c r="C15" s="8" t="s">
        <v>72</v>
      </c>
      <c r="D15" s="21" t="n">
        <v>37614</v>
      </c>
      <c r="E15" s="22" t="n">
        <v>86.31</v>
      </c>
      <c r="F15" s="21" t="n">
        <v>37616</v>
      </c>
      <c r="G15" s="22" t="n">
        <v>85.92</v>
      </c>
      <c r="H15" s="22" t="n">
        <v>77.68</v>
      </c>
      <c r="I15" s="21" t="n">
        <v>37645</v>
      </c>
      <c r="J15" s="22" t="n">
        <v>77.68</v>
      </c>
      <c r="K15" s="21" t="n">
        <v>37648</v>
      </c>
      <c r="L15" s="22" t="n">
        <v>76.07</v>
      </c>
      <c r="M15" s="8" t="s">
        <v>75</v>
      </c>
      <c r="N15" s="4" t="n">
        <v>20</v>
      </c>
      <c r="O15" s="6" t="n">
        <f aca="false">IF(C15="롱",(J15-E15)/E15,(E15-J15)/E15)</f>
        <v>-0.0999884138570269</v>
      </c>
    </row>
    <row r="16" customFormat="false" ht="17.15" hidden="false" customHeight="false" outlineLevel="0" collapsed="false">
      <c r="A16" s="4" t="n">
        <v>10</v>
      </c>
      <c r="B16" s="4" t="s">
        <v>30</v>
      </c>
      <c r="C16" s="8" t="s">
        <v>72</v>
      </c>
      <c r="D16" s="21" t="n">
        <v>37708</v>
      </c>
      <c r="E16" s="22" t="n">
        <v>70.77</v>
      </c>
      <c r="F16" s="21" t="n">
        <v>37711</v>
      </c>
      <c r="G16" s="22" t="n">
        <v>69.63</v>
      </c>
      <c r="H16" s="22" t="n">
        <v>63.69</v>
      </c>
      <c r="I16" s="21" t="n">
        <v>37711</v>
      </c>
      <c r="J16" s="22" t="n">
        <v>68.05</v>
      </c>
      <c r="K16" s="21" t="n">
        <v>37712</v>
      </c>
      <c r="L16" s="22" t="n">
        <v>67.19</v>
      </c>
      <c r="M16" s="8" t="s">
        <v>73</v>
      </c>
      <c r="N16" s="4" t="n">
        <v>1</v>
      </c>
      <c r="O16" s="6" t="n">
        <f aca="false">IF(C16="롱",(J16-E16)/E16,(E16-J16)/E16)</f>
        <v>-0.0384343648438604</v>
      </c>
    </row>
    <row r="17" customFormat="false" ht="17.15" hidden="false" customHeight="false" outlineLevel="0" collapsed="false">
      <c r="A17" s="4" t="n">
        <v>9</v>
      </c>
      <c r="B17" s="4" t="s">
        <v>28</v>
      </c>
      <c r="C17" s="8" t="s">
        <v>72</v>
      </c>
      <c r="D17" s="21" t="n">
        <v>37736</v>
      </c>
      <c r="E17" s="22" t="n">
        <v>72.07</v>
      </c>
      <c r="F17" s="21" t="n">
        <v>37739</v>
      </c>
      <c r="G17" s="22" t="n">
        <v>71.14</v>
      </c>
      <c r="H17" s="22" t="n">
        <v>64.86</v>
      </c>
      <c r="I17" s="21" t="n">
        <v>37740</v>
      </c>
      <c r="J17" s="22" t="n">
        <v>76.15</v>
      </c>
      <c r="K17" s="21" t="n">
        <v>37741</v>
      </c>
      <c r="L17" s="22" t="n">
        <v>76.11</v>
      </c>
      <c r="M17" s="8" t="s">
        <v>73</v>
      </c>
      <c r="N17" s="4" t="n">
        <v>2</v>
      </c>
      <c r="O17" s="6" t="n">
        <f aca="false">IF(C17="롱",(J17-E17)/E17,(E17-J17)/E17)</f>
        <v>0.0566116275842932</v>
      </c>
    </row>
    <row r="18" customFormat="false" ht="17.15" hidden="false" customHeight="false" outlineLevel="0" collapsed="false">
      <c r="A18" s="4" t="n">
        <v>3</v>
      </c>
      <c r="B18" s="4" t="s">
        <v>16</v>
      </c>
      <c r="C18" s="8" t="s">
        <v>72</v>
      </c>
      <c r="D18" s="21" t="n">
        <v>37761</v>
      </c>
      <c r="E18" s="22" t="n">
        <v>76.4</v>
      </c>
      <c r="F18" s="21" t="n">
        <v>37762</v>
      </c>
      <c r="G18" s="22" t="n">
        <v>76.06</v>
      </c>
      <c r="H18" s="22" t="n">
        <v>68.76</v>
      </c>
      <c r="I18" s="21" t="n">
        <v>37886</v>
      </c>
      <c r="J18" s="22" t="n">
        <v>91.78</v>
      </c>
      <c r="K18" s="21" t="n">
        <v>37887</v>
      </c>
      <c r="L18" s="22" t="n">
        <v>91.7</v>
      </c>
      <c r="M18" s="8" t="s">
        <v>73</v>
      </c>
      <c r="N18" s="4" t="n">
        <v>83</v>
      </c>
      <c r="O18" s="6" t="n">
        <f aca="false">IF(C18="롱",(J18-E18)/E18,(E18-J18)/E18)</f>
        <v>0.20130890052356</v>
      </c>
    </row>
    <row r="19" customFormat="false" ht="17.15" hidden="false" customHeight="false" outlineLevel="0" collapsed="false">
      <c r="A19" s="4" t="n">
        <v>4</v>
      </c>
      <c r="B19" s="4" t="s">
        <v>18</v>
      </c>
      <c r="C19" s="8" t="s">
        <v>72</v>
      </c>
      <c r="D19" s="21" t="n">
        <v>37767</v>
      </c>
      <c r="E19" s="22" t="n">
        <v>78.39</v>
      </c>
      <c r="F19" s="21" t="n">
        <v>37768</v>
      </c>
      <c r="G19" s="22" t="n">
        <v>78.66</v>
      </c>
      <c r="H19" s="22" t="n">
        <v>70.55</v>
      </c>
      <c r="I19" s="21" t="n">
        <v>37844</v>
      </c>
      <c r="J19" s="22" t="n">
        <v>90.39</v>
      </c>
      <c r="K19" s="21" t="n">
        <v>37845</v>
      </c>
      <c r="L19" s="22" t="n">
        <v>90.71</v>
      </c>
      <c r="M19" s="8" t="s">
        <v>73</v>
      </c>
      <c r="N19" s="4" t="n">
        <v>53</v>
      </c>
      <c r="O19" s="6" t="n">
        <f aca="false">IF(C19="롱",(J19-E19)/E19,(E19-J19)/E19)</f>
        <v>0.153080750095675</v>
      </c>
    </row>
    <row r="20" customFormat="false" ht="17.15" hidden="false" customHeight="false" outlineLevel="0" collapsed="false">
      <c r="A20" s="4" t="n">
        <v>1</v>
      </c>
      <c r="B20" s="4" t="s">
        <v>12</v>
      </c>
      <c r="C20" s="8" t="s">
        <v>72</v>
      </c>
      <c r="D20" s="21" t="n">
        <v>37769</v>
      </c>
      <c r="E20" s="22" t="n">
        <v>79.82</v>
      </c>
      <c r="F20" s="21" t="n">
        <v>37770</v>
      </c>
      <c r="G20" s="22" t="n">
        <v>79.25</v>
      </c>
      <c r="H20" s="22" t="n">
        <v>71.84</v>
      </c>
      <c r="I20" s="21" t="n">
        <v>37798</v>
      </c>
      <c r="J20" s="22" t="n">
        <v>86.37</v>
      </c>
      <c r="K20" s="21" t="n">
        <v>37799</v>
      </c>
      <c r="L20" s="22" t="n">
        <v>87.22</v>
      </c>
      <c r="M20" s="8" t="s">
        <v>73</v>
      </c>
      <c r="N20" s="4" t="n">
        <v>20</v>
      </c>
      <c r="O20" s="6" t="n">
        <f aca="false">IF(C20="롱",(J20-E20)/E20,(E20-J20)/E20)</f>
        <v>0.0820596341768982</v>
      </c>
    </row>
    <row r="21" customFormat="false" ht="17.15" hidden="false" customHeight="false" outlineLevel="0" collapsed="false">
      <c r="A21" s="4" t="n">
        <v>6</v>
      </c>
      <c r="B21" s="4" t="s">
        <v>22</v>
      </c>
      <c r="C21" s="8" t="s">
        <v>72</v>
      </c>
      <c r="D21" s="21" t="n">
        <v>37771</v>
      </c>
      <c r="E21" s="22" t="n">
        <v>80.53</v>
      </c>
      <c r="F21" s="21" t="n">
        <v>37774</v>
      </c>
      <c r="G21" s="22" t="n">
        <v>81.92</v>
      </c>
      <c r="H21" s="22" t="n">
        <v>72.48</v>
      </c>
      <c r="I21" s="21" t="n">
        <v>37795</v>
      </c>
      <c r="J21" s="22" t="n">
        <v>86.06</v>
      </c>
      <c r="K21" s="21" t="n">
        <v>37796</v>
      </c>
      <c r="L21" s="22" t="n">
        <v>84.71</v>
      </c>
      <c r="M21" s="8" t="s">
        <v>73</v>
      </c>
      <c r="N21" s="4" t="n">
        <v>15</v>
      </c>
      <c r="O21" s="6" t="n">
        <f aca="false">IF(C21="롱",(J21-E21)/E21,(E21-J21)/E21)</f>
        <v>0.0686700608468894</v>
      </c>
    </row>
    <row r="22" customFormat="false" ht="17.15" hidden="false" customHeight="false" outlineLevel="0" collapsed="false">
      <c r="A22" s="4" t="n">
        <v>1</v>
      </c>
      <c r="B22" s="4" t="s">
        <v>12</v>
      </c>
      <c r="C22" s="8" t="s">
        <v>72</v>
      </c>
      <c r="D22" s="21" t="n">
        <v>37809</v>
      </c>
      <c r="E22" s="22" t="n">
        <v>90.07</v>
      </c>
      <c r="F22" s="21" t="n">
        <v>37810</v>
      </c>
      <c r="G22" s="22" t="n">
        <v>91.58</v>
      </c>
      <c r="H22" s="22" t="n">
        <v>82.2</v>
      </c>
      <c r="I22" s="21" t="n">
        <v>37820</v>
      </c>
      <c r="J22" s="22" t="n">
        <v>89.63</v>
      </c>
      <c r="K22" s="21" t="n">
        <v>37823</v>
      </c>
      <c r="L22" s="22" t="n">
        <v>89.6</v>
      </c>
      <c r="M22" s="8" t="s">
        <v>73</v>
      </c>
      <c r="N22" s="4" t="n">
        <v>8</v>
      </c>
      <c r="O22" s="6" t="n">
        <f aca="false">IF(C22="롱",(J22-E22)/E22,(E22-J22)/E22)</f>
        <v>-0.00488508937493058</v>
      </c>
    </row>
    <row r="23" customFormat="false" ht="17.15" hidden="false" customHeight="false" outlineLevel="0" collapsed="false">
      <c r="A23" s="4" t="n">
        <v>6</v>
      </c>
      <c r="B23" s="4" t="s">
        <v>22</v>
      </c>
      <c r="C23" s="8" t="s">
        <v>72</v>
      </c>
      <c r="D23" s="21" t="n">
        <v>37809</v>
      </c>
      <c r="E23" s="22" t="n">
        <v>90.07</v>
      </c>
      <c r="F23" s="21" t="n">
        <v>37810</v>
      </c>
      <c r="G23" s="22" t="n">
        <v>91.58</v>
      </c>
      <c r="H23" s="22" t="n">
        <v>82.2</v>
      </c>
      <c r="I23" s="21" t="n">
        <v>37812</v>
      </c>
      <c r="J23" s="22" t="n">
        <v>89.61</v>
      </c>
      <c r="K23" s="21" t="n">
        <v>37813</v>
      </c>
      <c r="L23" s="22" t="n">
        <v>88.79</v>
      </c>
      <c r="M23" s="8" t="s">
        <v>73</v>
      </c>
      <c r="N23" s="4" t="n">
        <v>3</v>
      </c>
      <c r="O23" s="6" t="n">
        <f aca="false">IF(C23="롱",(J23-E23)/E23,(E23-J23)/E23)</f>
        <v>-0.00510713889197284</v>
      </c>
    </row>
    <row r="24" customFormat="false" ht="17.15" hidden="false" customHeight="false" outlineLevel="0" collapsed="false">
      <c r="A24" s="4" t="n">
        <v>4</v>
      </c>
      <c r="B24" s="4" t="s">
        <v>18</v>
      </c>
      <c r="C24" s="8" t="s">
        <v>72</v>
      </c>
      <c r="D24" s="21" t="n">
        <v>37851</v>
      </c>
      <c r="E24" s="22" t="n">
        <v>93.73</v>
      </c>
      <c r="F24" s="21" t="n">
        <v>37852</v>
      </c>
      <c r="G24" s="22" t="n">
        <v>95.81</v>
      </c>
      <c r="H24" s="22" t="n">
        <v>86.55</v>
      </c>
      <c r="I24" s="21" t="n">
        <v>37886</v>
      </c>
      <c r="J24" s="22" t="n">
        <v>91.78</v>
      </c>
      <c r="K24" s="21" t="n">
        <v>37887</v>
      </c>
      <c r="L24" s="22" t="n">
        <v>91.7</v>
      </c>
      <c r="M24" s="8" t="s">
        <v>73</v>
      </c>
      <c r="N24" s="4" t="n">
        <v>22</v>
      </c>
      <c r="O24" s="6" t="n">
        <f aca="false">IF(C24="롱",(J24-E24)/E24,(E24-J24)/E24)</f>
        <v>-0.0208044382801665</v>
      </c>
    </row>
    <row r="25" customFormat="false" ht="17.15" hidden="false" customHeight="false" outlineLevel="0" collapsed="false">
      <c r="A25" s="4" t="n">
        <v>1</v>
      </c>
      <c r="B25" s="4" t="s">
        <v>12</v>
      </c>
      <c r="C25" s="8" t="s">
        <v>72</v>
      </c>
      <c r="D25" s="21" t="n">
        <v>37852</v>
      </c>
      <c r="E25" s="22" t="n">
        <v>95.2</v>
      </c>
      <c r="F25" s="21" t="n">
        <v>37853</v>
      </c>
      <c r="G25" s="22" t="n">
        <v>95.23</v>
      </c>
      <c r="H25" s="22" t="n">
        <v>87.84</v>
      </c>
      <c r="I25" s="21" t="n">
        <v>37872</v>
      </c>
      <c r="J25" s="22" t="n">
        <v>97.89</v>
      </c>
      <c r="K25" s="21" t="n">
        <v>37873</v>
      </c>
      <c r="L25" s="22" t="n">
        <v>98.35</v>
      </c>
      <c r="M25" s="8" t="s">
        <v>73</v>
      </c>
      <c r="N25" s="4" t="n">
        <v>14</v>
      </c>
      <c r="O25" s="6" t="n">
        <f aca="false">IF(C25="롱",(J25-E25)/E25,(E25-J25)/E25)</f>
        <v>0.0282563025210084</v>
      </c>
    </row>
    <row r="26" customFormat="false" ht="17.15" hidden="false" customHeight="false" outlineLevel="0" collapsed="false">
      <c r="A26" s="4" t="n">
        <v>6</v>
      </c>
      <c r="B26" s="4" t="s">
        <v>22</v>
      </c>
      <c r="C26" s="8" t="s">
        <v>72</v>
      </c>
      <c r="D26" s="21" t="n">
        <v>37852</v>
      </c>
      <c r="E26" s="22" t="n">
        <v>95.2</v>
      </c>
      <c r="F26" s="21" t="n">
        <v>37853</v>
      </c>
      <c r="G26" s="22" t="n">
        <v>95.23</v>
      </c>
      <c r="H26" s="22" t="n">
        <v>87.84</v>
      </c>
      <c r="I26" s="21" t="n">
        <v>37861</v>
      </c>
      <c r="J26" s="22" t="n">
        <v>96.71</v>
      </c>
      <c r="K26" s="21" t="n">
        <v>37862</v>
      </c>
      <c r="L26" s="22" t="n">
        <v>97.22</v>
      </c>
      <c r="M26" s="8" t="s">
        <v>73</v>
      </c>
      <c r="N26" s="4" t="n">
        <v>7</v>
      </c>
      <c r="O26" s="6" t="n">
        <f aca="false">IF(C26="롱",(J26-E26)/E26,(E26-J26)/E26)</f>
        <v>0.015861344537815</v>
      </c>
    </row>
    <row r="27" customFormat="false" ht="17.15" hidden="false" customHeight="false" outlineLevel="0" collapsed="false">
      <c r="A27" s="4" t="n">
        <v>6</v>
      </c>
      <c r="B27" s="4" t="s">
        <v>22</v>
      </c>
      <c r="C27" s="8" t="s">
        <v>72</v>
      </c>
      <c r="D27" s="21" t="n">
        <v>37866</v>
      </c>
      <c r="E27" s="22" t="n">
        <v>98.54</v>
      </c>
      <c r="F27" s="21" t="n">
        <v>37867</v>
      </c>
      <c r="G27" s="22" t="n">
        <v>99.1</v>
      </c>
      <c r="H27" s="22" t="n">
        <v>91.48</v>
      </c>
      <c r="I27" s="21" t="n">
        <v>37869</v>
      </c>
      <c r="J27" s="22" t="n">
        <v>97.93</v>
      </c>
      <c r="K27" s="21" t="n">
        <v>37872</v>
      </c>
      <c r="L27" s="22" t="n">
        <v>97.7</v>
      </c>
      <c r="M27" s="8" t="s">
        <v>73</v>
      </c>
      <c r="N27" s="4" t="n">
        <v>3</v>
      </c>
      <c r="O27" s="6" t="n">
        <f aca="false">IF(C27="롱",(J27-E27)/E27,(E27-J27)/E27)</f>
        <v>-0.00619037954130302</v>
      </c>
    </row>
    <row r="28" customFormat="false" ht="17.15" hidden="false" customHeight="false" outlineLevel="0" collapsed="false">
      <c r="A28" s="4" t="n">
        <v>2</v>
      </c>
      <c r="B28" s="4" t="s">
        <v>14</v>
      </c>
      <c r="C28" s="8" t="s">
        <v>72</v>
      </c>
      <c r="D28" s="21" t="n">
        <v>37886</v>
      </c>
      <c r="E28" s="22" t="n">
        <v>91.78</v>
      </c>
      <c r="F28" s="21" t="n">
        <v>37887</v>
      </c>
      <c r="G28" s="22" t="n">
        <v>91.7</v>
      </c>
      <c r="H28" s="22" t="n">
        <v>83.66</v>
      </c>
      <c r="I28" s="21" t="n">
        <v>37903</v>
      </c>
      <c r="J28" s="22" t="n">
        <v>94.99</v>
      </c>
      <c r="K28" s="21" t="n">
        <v>37904</v>
      </c>
      <c r="L28" s="22" t="n">
        <v>94.81</v>
      </c>
      <c r="M28" s="8" t="s">
        <v>73</v>
      </c>
      <c r="N28" s="4" t="n">
        <v>12</v>
      </c>
      <c r="O28" s="6" t="n">
        <f aca="false">IF(C28="롱",(J28-E28)/E28,(E28-J28)/E28)</f>
        <v>0.0349749400740902</v>
      </c>
    </row>
    <row r="29" customFormat="false" ht="17.15" hidden="false" customHeight="false" outlineLevel="0" collapsed="false">
      <c r="A29" s="4" t="n">
        <v>5</v>
      </c>
      <c r="B29" s="4" t="s">
        <v>20</v>
      </c>
      <c r="C29" s="8" t="s">
        <v>72</v>
      </c>
      <c r="D29" s="21" t="n">
        <v>37888</v>
      </c>
      <c r="E29" s="22" t="n">
        <v>93.09</v>
      </c>
      <c r="F29" s="21" t="n">
        <v>37889</v>
      </c>
      <c r="G29" s="22" t="n">
        <v>90.84</v>
      </c>
      <c r="H29" s="22" t="n">
        <v>84.9</v>
      </c>
      <c r="I29" s="21" t="n">
        <v>37889</v>
      </c>
      <c r="J29" s="22" t="n">
        <v>91.66</v>
      </c>
      <c r="K29" s="21" t="n">
        <v>37890</v>
      </c>
      <c r="L29" s="22" t="n">
        <v>90.34</v>
      </c>
      <c r="M29" s="8" t="s">
        <v>73</v>
      </c>
      <c r="N29" s="4" t="n">
        <v>1</v>
      </c>
      <c r="O29" s="6" t="n">
        <f aca="false">IF(C29="롱",(J29-E29)/E29,(E29-J29)/E29)</f>
        <v>-0.015361478139435</v>
      </c>
    </row>
    <row r="30" customFormat="false" ht="17.15" hidden="false" customHeight="false" outlineLevel="0" collapsed="false">
      <c r="A30" s="4" t="n">
        <v>3</v>
      </c>
      <c r="B30" s="4" t="s">
        <v>16</v>
      </c>
      <c r="C30" s="8" t="s">
        <v>72</v>
      </c>
      <c r="D30" s="21" t="n">
        <v>37901</v>
      </c>
      <c r="E30" s="22" t="n">
        <v>93.65</v>
      </c>
      <c r="F30" s="21" t="n">
        <v>37902</v>
      </c>
      <c r="G30" s="22" t="n">
        <v>94.19</v>
      </c>
      <c r="H30" s="22" t="n">
        <v>84.29</v>
      </c>
      <c r="I30" s="21" t="n">
        <v>37949</v>
      </c>
      <c r="J30" s="22" t="n">
        <v>97.61</v>
      </c>
      <c r="K30" s="21" t="n">
        <v>37950</v>
      </c>
      <c r="L30" s="22" t="n">
        <v>99.6</v>
      </c>
      <c r="M30" s="8" t="s">
        <v>73</v>
      </c>
      <c r="N30" s="4" t="n">
        <v>34</v>
      </c>
      <c r="O30" s="6" t="n">
        <f aca="false">IF(C30="롱",(J30-E30)/E30,(E30-J30)/E30)</f>
        <v>0.0422851041110517</v>
      </c>
    </row>
    <row r="31" customFormat="false" ht="17.15" hidden="false" customHeight="false" outlineLevel="0" collapsed="false">
      <c r="A31" s="4" t="n">
        <v>5</v>
      </c>
      <c r="B31" s="4" t="s">
        <v>20</v>
      </c>
      <c r="C31" s="8" t="s">
        <v>72</v>
      </c>
      <c r="D31" s="21" t="n">
        <v>37901</v>
      </c>
      <c r="E31" s="22" t="n">
        <v>93.65</v>
      </c>
      <c r="F31" s="21" t="n">
        <v>37902</v>
      </c>
      <c r="G31" s="22" t="n">
        <v>94.19</v>
      </c>
      <c r="H31" s="22" t="n">
        <v>84.29</v>
      </c>
      <c r="I31" s="21" t="n">
        <v>37902</v>
      </c>
      <c r="J31" s="22" t="n">
        <v>93.1</v>
      </c>
      <c r="K31" s="21" t="n">
        <v>37903</v>
      </c>
      <c r="L31" s="22" t="n">
        <v>93.16</v>
      </c>
      <c r="M31" s="8" t="s">
        <v>73</v>
      </c>
      <c r="N31" s="4" t="n">
        <v>1</v>
      </c>
      <c r="O31" s="6" t="n">
        <f aca="false">IF(C31="롱",(J31-E31)/E31,(E31-J31)/E31)</f>
        <v>-0.00587293112653509</v>
      </c>
    </row>
    <row r="32" customFormat="false" ht="17.15" hidden="false" customHeight="false" outlineLevel="0" collapsed="false">
      <c r="A32" s="4" t="n">
        <v>1</v>
      </c>
      <c r="B32" s="4" t="s">
        <v>12</v>
      </c>
      <c r="C32" s="8" t="s">
        <v>72</v>
      </c>
      <c r="D32" s="21" t="n">
        <v>37903</v>
      </c>
      <c r="E32" s="22" t="n">
        <v>94.99</v>
      </c>
      <c r="F32" s="21" t="n">
        <v>37904</v>
      </c>
      <c r="G32" s="22" t="n">
        <v>94.81</v>
      </c>
      <c r="H32" s="22" t="n">
        <v>85.49</v>
      </c>
      <c r="I32" s="21" t="n">
        <v>37937</v>
      </c>
      <c r="J32" s="22" t="n">
        <v>103.41</v>
      </c>
      <c r="K32" s="21" t="n">
        <v>37938</v>
      </c>
      <c r="L32" s="22" t="n">
        <v>104.72</v>
      </c>
      <c r="M32" s="8" t="s">
        <v>73</v>
      </c>
      <c r="N32" s="4" t="n">
        <v>24</v>
      </c>
      <c r="O32" s="6" t="n">
        <f aca="false">IF(C32="롱",(J32-E32)/E32,(E32-J32)/E32)</f>
        <v>0.0886409095694284</v>
      </c>
    </row>
    <row r="33" customFormat="false" ht="17.15" hidden="false" customHeight="false" outlineLevel="0" collapsed="false">
      <c r="A33" s="4" t="n">
        <v>5</v>
      </c>
      <c r="B33" s="4" t="s">
        <v>20</v>
      </c>
      <c r="C33" s="8" t="s">
        <v>72</v>
      </c>
      <c r="D33" s="21" t="n">
        <v>37903</v>
      </c>
      <c r="E33" s="22" t="n">
        <v>94.99</v>
      </c>
      <c r="F33" s="21" t="n">
        <v>37904</v>
      </c>
      <c r="G33" s="22" t="n">
        <v>94.81</v>
      </c>
      <c r="H33" s="22" t="n">
        <v>85.49</v>
      </c>
      <c r="I33" s="21" t="n">
        <v>37949</v>
      </c>
      <c r="J33" s="22" t="n">
        <v>97.61</v>
      </c>
      <c r="K33" s="21" t="n">
        <v>37950</v>
      </c>
      <c r="L33" s="22" t="n">
        <v>99.6</v>
      </c>
      <c r="M33" s="8" t="s">
        <v>73</v>
      </c>
      <c r="N33" s="4" t="n">
        <v>32</v>
      </c>
      <c r="O33" s="6" t="n">
        <f aca="false">IF(C33="롱",(J33-E33)/E33,(E33-J33)/E33)</f>
        <v>0.0275818507211286</v>
      </c>
    </row>
    <row r="34" customFormat="false" ht="17.15" hidden="false" customHeight="false" outlineLevel="0" collapsed="false">
      <c r="A34" s="4" t="n">
        <v>4</v>
      </c>
      <c r="B34" s="4" t="s">
        <v>18</v>
      </c>
      <c r="C34" s="8" t="s">
        <v>72</v>
      </c>
      <c r="D34" s="21" t="n">
        <v>37904</v>
      </c>
      <c r="E34" s="22" t="n">
        <v>97.98</v>
      </c>
      <c r="F34" s="21" t="n">
        <v>37907</v>
      </c>
      <c r="G34" s="22" t="n">
        <v>97.52</v>
      </c>
      <c r="H34" s="22" t="n">
        <v>88.18</v>
      </c>
      <c r="I34" s="21" t="n">
        <v>37946</v>
      </c>
      <c r="J34" s="22" t="n">
        <v>99.94</v>
      </c>
      <c r="K34" s="21" t="n">
        <v>37949</v>
      </c>
      <c r="L34" s="22" t="n">
        <v>99.3</v>
      </c>
      <c r="M34" s="8" t="s">
        <v>73</v>
      </c>
      <c r="N34" s="4" t="n">
        <v>30</v>
      </c>
      <c r="O34" s="6" t="n">
        <f aca="false">IF(C34="롱",(J34-E34)/E34,(E34-J34)/E34)</f>
        <v>0.0200040824658093</v>
      </c>
    </row>
    <row r="35" customFormat="false" ht="17.15" hidden="false" customHeight="false" outlineLevel="0" collapsed="false">
      <c r="A35" s="4" t="n">
        <v>6</v>
      </c>
      <c r="B35" s="4" t="s">
        <v>22</v>
      </c>
      <c r="C35" s="8" t="s">
        <v>72</v>
      </c>
      <c r="D35" s="21" t="n">
        <v>37923</v>
      </c>
      <c r="E35" s="22" t="n">
        <v>101.1</v>
      </c>
      <c r="F35" s="21" t="n">
        <v>37924</v>
      </c>
      <c r="G35" s="22" t="n">
        <v>101.79</v>
      </c>
      <c r="H35" s="22" t="n">
        <v>90.99</v>
      </c>
      <c r="I35" s="21" t="n">
        <v>37931</v>
      </c>
      <c r="J35" s="22" t="n">
        <v>102.36</v>
      </c>
      <c r="K35" s="21" t="n">
        <v>37932</v>
      </c>
      <c r="L35" s="22" t="n">
        <v>103.22</v>
      </c>
      <c r="M35" s="8" t="s">
        <v>73</v>
      </c>
      <c r="N35" s="4" t="n">
        <v>6</v>
      </c>
      <c r="O35" s="6" t="n">
        <f aca="false">IF(C35="롱",(J35-E35)/E35,(E35-J35)/E35)</f>
        <v>0.0124629080118695</v>
      </c>
    </row>
    <row r="36" customFormat="false" ht="17.15" hidden="false" customHeight="false" outlineLevel="0" collapsed="false">
      <c r="A36" s="4" t="n">
        <v>1</v>
      </c>
      <c r="B36" s="4" t="s">
        <v>12</v>
      </c>
      <c r="C36" s="8" t="s">
        <v>72</v>
      </c>
      <c r="D36" s="21" t="n">
        <v>37938</v>
      </c>
      <c r="E36" s="22" t="n">
        <v>105.89</v>
      </c>
      <c r="F36" s="21" t="n">
        <v>37939</v>
      </c>
      <c r="G36" s="22" t="n">
        <v>105.45</v>
      </c>
      <c r="H36" s="22" t="n">
        <v>95.3</v>
      </c>
      <c r="I36" s="21" t="n">
        <v>37942</v>
      </c>
      <c r="J36" s="22" t="n">
        <v>103.21</v>
      </c>
      <c r="K36" s="21" t="n">
        <v>37943</v>
      </c>
      <c r="L36" s="22" t="n">
        <v>103.22</v>
      </c>
      <c r="M36" s="8" t="s">
        <v>73</v>
      </c>
      <c r="N36" s="4" t="n">
        <v>2</v>
      </c>
      <c r="O36" s="6" t="n">
        <f aca="false">IF(C36="롱",(J36-E36)/E36,(E36-J36)/E36)</f>
        <v>-0.0253092832184343</v>
      </c>
    </row>
    <row r="37" customFormat="false" ht="17.15" hidden="false" customHeight="false" outlineLevel="0" collapsed="false">
      <c r="A37" s="4" t="n">
        <v>5</v>
      </c>
      <c r="B37" s="4" t="s">
        <v>20</v>
      </c>
      <c r="C37" s="8" t="s">
        <v>72</v>
      </c>
      <c r="D37" s="21" t="n">
        <v>37950</v>
      </c>
      <c r="E37" s="22" t="n">
        <v>99.71</v>
      </c>
      <c r="F37" s="21" t="n">
        <v>37951</v>
      </c>
      <c r="G37" s="22" t="n">
        <v>99.95</v>
      </c>
      <c r="H37" s="22" t="n">
        <v>89.74</v>
      </c>
      <c r="I37" s="21" t="n">
        <v>38106</v>
      </c>
      <c r="J37" s="22" t="n">
        <v>114.01</v>
      </c>
      <c r="K37" s="21" t="n">
        <v>38107</v>
      </c>
      <c r="L37" s="22" t="n">
        <v>113.05</v>
      </c>
      <c r="M37" s="8" t="s">
        <v>73</v>
      </c>
      <c r="N37" s="4" t="n">
        <v>103</v>
      </c>
      <c r="O37" s="6" t="n">
        <f aca="false">IF(C37="롱",(J37-E37)/E37,(E37-J37)/E37)</f>
        <v>0.143415906127771</v>
      </c>
    </row>
    <row r="38" customFormat="false" ht="17.15" hidden="false" customHeight="false" outlineLevel="0" collapsed="false">
      <c r="A38" s="4" t="n">
        <v>3</v>
      </c>
      <c r="B38" s="4" t="s">
        <v>16</v>
      </c>
      <c r="C38" s="8" t="s">
        <v>72</v>
      </c>
      <c r="D38" s="21" t="n">
        <v>37951</v>
      </c>
      <c r="E38" s="22" t="n">
        <v>101.6</v>
      </c>
      <c r="F38" s="21" t="n">
        <v>37952</v>
      </c>
      <c r="G38" s="22" t="n">
        <v>101.63</v>
      </c>
      <c r="H38" s="22" t="n">
        <v>91.44</v>
      </c>
      <c r="I38" s="21" t="n">
        <v>38058</v>
      </c>
      <c r="J38" s="22" t="n">
        <v>111.23</v>
      </c>
      <c r="K38" s="21" t="n">
        <v>38061</v>
      </c>
      <c r="L38" s="22" t="n">
        <v>112.23</v>
      </c>
      <c r="M38" s="8" t="s">
        <v>73</v>
      </c>
      <c r="N38" s="4" t="n">
        <v>70</v>
      </c>
      <c r="O38" s="6" t="n">
        <f aca="false">IF(C38="롱",(J38-E38)/E38,(E38-J38)/E38)</f>
        <v>0.0947834645669292</v>
      </c>
    </row>
    <row r="39" customFormat="false" ht="17.15" hidden="false" customHeight="false" outlineLevel="0" collapsed="false">
      <c r="A39" s="4" t="n">
        <v>1</v>
      </c>
      <c r="B39" s="4" t="s">
        <v>12</v>
      </c>
      <c r="C39" s="8" t="s">
        <v>72</v>
      </c>
      <c r="D39" s="21" t="n">
        <v>37957</v>
      </c>
      <c r="E39" s="22" t="n">
        <v>104.86</v>
      </c>
      <c r="F39" s="21" t="n">
        <v>37958</v>
      </c>
      <c r="G39" s="22" t="n">
        <v>104.7</v>
      </c>
      <c r="H39" s="22" t="n">
        <v>94.37</v>
      </c>
      <c r="I39" s="21" t="n">
        <v>37960</v>
      </c>
      <c r="J39" s="22" t="n">
        <v>101.87</v>
      </c>
      <c r="K39" s="21" t="n">
        <v>37963</v>
      </c>
      <c r="L39" s="22" t="n">
        <v>100.55</v>
      </c>
      <c r="M39" s="8" t="s">
        <v>73</v>
      </c>
      <c r="N39" s="4" t="n">
        <v>3</v>
      </c>
      <c r="O39" s="6" t="n">
        <f aca="false">IF(C39="롱",(J39-E39)/E39,(E39-J39)/E39)</f>
        <v>-0.0285142094220865</v>
      </c>
    </row>
    <row r="40" customFormat="false" ht="17.15" hidden="false" customHeight="false" outlineLevel="0" collapsed="false">
      <c r="A40" s="4" t="n">
        <v>4</v>
      </c>
      <c r="B40" s="4" t="s">
        <v>18</v>
      </c>
      <c r="C40" s="8" t="s">
        <v>72</v>
      </c>
      <c r="D40" s="21" t="n">
        <v>37957</v>
      </c>
      <c r="E40" s="22" t="n">
        <v>104.86</v>
      </c>
      <c r="F40" s="21" t="n">
        <v>37958</v>
      </c>
      <c r="G40" s="22" t="n">
        <v>104.7</v>
      </c>
      <c r="H40" s="22" t="n">
        <v>94.37</v>
      </c>
      <c r="I40" s="21" t="n">
        <v>37965</v>
      </c>
      <c r="J40" s="22" t="n">
        <v>102.69</v>
      </c>
      <c r="K40" s="21" t="n">
        <v>37966</v>
      </c>
      <c r="L40" s="22" t="n">
        <v>103</v>
      </c>
      <c r="M40" s="8" t="s">
        <v>73</v>
      </c>
      <c r="N40" s="4" t="n">
        <v>6</v>
      </c>
      <c r="O40" s="6" t="n">
        <f aca="false">IF(C40="롱",(J40-E40)/E40,(E40-J40)/E40)</f>
        <v>-0.020694259012016</v>
      </c>
    </row>
    <row r="41" customFormat="false" ht="17.15" hidden="false" customHeight="false" outlineLevel="0" collapsed="false">
      <c r="A41" s="4" t="n">
        <v>10</v>
      </c>
      <c r="B41" s="4" t="s">
        <v>30</v>
      </c>
      <c r="C41" s="8" t="s">
        <v>72</v>
      </c>
      <c r="D41" s="21" t="n">
        <v>37965</v>
      </c>
      <c r="E41" s="22" t="n">
        <v>102.69</v>
      </c>
      <c r="F41" s="21" t="n">
        <v>37966</v>
      </c>
      <c r="G41" s="22" t="n">
        <v>103</v>
      </c>
      <c r="H41" s="22" t="n">
        <v>92.42</v>
      </c>
      <c r="I41" s="21" t="n">
        <v>37966</v>
      </c>
      <c r="J41" s="22" t="n">
        <v>102.12</v>
      </c>
      <c r="K41" s="21" t="n">
        <v>37967</v>
      </c>
      <c r="L41" s="22" t="n">
        <v>104.2</v>
      </c>
      <c r="M41" s="8" t="s">
        <v>73</v>
      </c>
      <c r="N41" s="4" t="n">
        <v>1</v>
      </c>
      <c r="O41" s="6" t="n">
        <f aca="false">IF(C41="롱",(J41-E41)/E41,(E41-J41)/E41)</f>
        <v>-0.00555068653228156</v>
      </c>
    </row>
    <row r="42" customFormat="false" ht="17.15" hidden="false" customHeight="false" outlineLevel="0" collapsed="false">
      <c r="A42" s="4" t="n">
        <v>4</v>
      </c>
      <c r="B42" s="4" t="s">
        <v>18</v>
      </c>
      <c r="C42" s="8" t="s">
        <v>72</v>
      </c>
      <c r="D42" s="21" t="n">
        <v>37967</v>
      </c>
      <c r="E42" s="22" t="n">
        <v>104.32</v>
      </c>
      <c r="F42" s="21" t="n">
        <v>37970</v>
      </c>
      <c r="G42" s="22" t="n">
        <v>106.37</v>
      </c>
      <c r="H42" s="22" t="n">
        <v>93.89</v>
      </c>
      <c r="I42" s="21" t="n">
        <v>37984</v>
      </c>
      <c r="J42" s="22" t="n">
        <v>102.79</v>
      </c>
      <c r="K42" s="21" t="n">
        <v>37985</v>
      </c>
      <c r="L42" s="22" t="n">
        <v>104.19</v>
      </c>
      <c r="M42" s="8" t="s">
        <v>73</v>
      </c>
      <c r="N42" s="4" t="n">
        <v>10</v>
      </c>
      <c r="O42" s="6" t="n">
        <f aca="false">IF(C42="롱",(J42-E42)/E42,(E42-J42)/E42)</f>
        <v>-0.0146664110429447</v>
      </c>
    </row>
    <row r="43" customFormat="false" ht="17.15" hidden="false" customHeight="false" outlineLevel="0" collapsed="false">
      <c r="A43" s="4" t="n">
        <v>1</v>
      </c>
      <c r="B43" s="4" t="s">
        <v>12</v>
      </c>
      <c r="C43" s="8" t="s">
        <v>72</v>
      </c>
      <c r="D43" s="21" t="n">
        <v>37970</v>
      </c>
      <c r="E43" s="22" t="n">
        <v>106.48</v>
      </c>
      <c r="F43" s="21" t="n">
        <v>37971</v>
      </c>
      <c r="G43" s="22" t="n">
        <v>104.41</v>
      </c>
      <c r="H43" s="22" t="n">
        <v>95.83</v>
      </c>
      <c r="I43" s="21" t="n">
        <v>37978</v>
      </c>
      <c r="J43" s="22" t="n">
        <v>103.89</v>
      </c>
      <c r="K43" s="21" t="n">
        <v>37979</v>
      </c>
      <c r="L43" s="22" t="n">
        <v>104.8</v>
      </c>
      <c r="M43" s="8" t="s">
        <v>73</v>
      </c>
      <c r="N43" s="4" t="n">
        <v>6</v>
      </c>
      <c r="O43" s="6" t="n">
        <f aca="false">IF(C43="롱",(J43-E43)/E43,(E43-J43)/E43)</f>
        <v>-0.0243238166791886</v>
      </c>
    </row>
    <row r="44" customFormat="false" ht="17.15" hidden="false" customHeight="false" outlineLevel="0" collapsed="false">
      <c r="A44" s="4" t="n">
        <v>1</v>
      </c>
      <c r="B44" s="4" t="s">
        <v>12</v>
      </c>
      <c r="C44" s="8" t="s">
        <v>72</v>
      </c>
      <c r="D44" s="21" t="n">
        <v>37988</v>
      </c>
      <c r="E44" s="22" t="n">
        <v>106.65</v>
      </c>
      <c r="F44" s="21" t="n">
        <v>37991</v>
      </c>
      <c r="G44" s="22" t="n">
        <v>106.01</v>
      </c>
      <c r="H44" s="22" t="n">
        <v>96.94</v>
      </c>
      <c r="I44" s="21" t="n">
        <v>38016</v>
      </c>
      <c r="J44" s="22" t="n">
        <v>110.89</v>
      </c>
      <c r="K44" s="21" t="n">
        <v>38019</v>
      </c>
      <c r="L44" s="22" t="n">
        <v>111.16</v>
      </c>
      <c r="M44" s="8" t="s">
        <v>73</v>
      </c>
      <c r="N44" s="4" t="n">
        <v>17</v>
      </c>
      <c r="O44" s="6" t="n">
        <f aca="false">IF(C44="롱",(J44-E44)/E44,(E44-J44)/E44)</f>
        <v>0.0397562119081106</v>
      </c>
    </row>
    <row r="45" customFormat="false" ht="17.15" hidden="false" customHeight="false" outlineLevel="0" collapsed="false">
      <c r="A45" s="4" t="n">
        <v>4</v>
      </c>
      <c r="B45" s="4" t="s">
        <v>18</v>
      </c>
      <c r="C45" s="8" t="s">
        <v>72</v>
      </c>
      <c r="D45" s="21" t="n">
        <v>37988</v>
      </c>
      <c r="E45" s="22" t="n">
        <v>106.65</v>
      </c>
      <c r="F45" s="21" t="n">
        <v>37991</v>
      </c>
      <c r="G45" s="22" t="n">
        <v>106.01</v>
      </c>
      <c r="H45" s="22" t="n">
        <v>96.94</v>
      </c>
      <c r="I45" s="21" t="n">
        <v>38022</v>
      </c>
      <c r="J45" s="22" t="n">
        <v>109.77</v>
      </c>
      <c r="K45" s="21" t="n">
        <v>38023</v>
      </c>
      <c r="L45" s="22" t="n">
        <v>109.98</v>
      </c>
      <c r="M45" s="8" t="s">
        <v>73</v>
      </c>
      <c r="N45" s="4" t="n">
        <v>21</v>
      </c>
      <c r="O45" s="6" t="n">
        <f aca="false">IF(C45="롱",(J45-E45)/E45,(E45-J45)/E45)</f>
        <v>0.0292545710267228</v>
      </c>
    </row>
    <row r="46" customFormat="false" ht="17.15" hidden="false" customHeight="false" outlineLevel="0" collapsed="false">
      <c r="A46" s="4" t="n">
        <v>6</v>
      </c>
      <c r="B46" s="4" t="s">
        <v>22</v>
      </c>
      <c r="C46" s="8" t="s">
        <v>72</v>
      </c>
      <c r="D46" s="21" t="n">
        <v>37988</v>
      </c>
      <c r="E46" s="22" t="n">
        <v>106.65</v>
      </c>
      <c r="F46" s="21" t="n">
        <v>37991</v>
      </c>
      <c r="G46" s="22" t="n">
        <v>106.01</v>
      </c>
      <c r="H46" s="22" t="n">
        <v>96.94</v>
      </c>
      <c r="I46" s="21" t="n">
        <v>38001</v>
      </c>
      <c r="J46" s="22" t="n">
        <v>110.34</v>
      </c>
      <c r="K46" s="21" t="n">
        <v>38002</v>
      </c>
      <c r="L46" s="22" t="n">
        <v>111.48</v>
      </c>
      <c r="M46" s="8" t="s">
        <v>73</v>
      </c>
      <c r="N46" s="4" t="n">
        <v>9</v>
      </c>
      <c r="O46" s="6" t="n">
        <f aca="false">IF(C46="롱",(J46-E46)/E46,(E46-J46)/E46)</f>
        <v>0.0345991561181434</v>
      </c>
    </row>
    <row r="47" customFormat="false" ht="17.15" hidden="false" customHeight="false" outlineLevel="0" collapsed="false">
      <c r="A47" s="4" t="n">
        <v>6</v>
      </c>
      <c r="B47" s="4" t="s">
        <v>22</v>
      </c>
      <c r="C47" s="8" t="s">
        <v>72</v>
      </c>
      <c r="D47" s="21" t="n">
        <v>38006</v>
      </c>
      <c r="E47" s="22" t="n">
        <v>112.63</v>
      </c>
      <c r="F47" s="21" t="n">
        <v>38012</v>
      </c>
      <c r="G47" s="22" t="n">
        <v>113.51</v>
      </c>
      <c r="H47" s="22" t="n">
        <v>104.07</v>
      </c>
      <c r="I47" s="21" t="n">
        <v>38014</v>
      </c>
      <c r="J47" s="22" t="n">
        <v>112.59</v>
      </c>
      <c r="K47" s="21" t="n">
        <v>38015</v>
      </c>
      <c r="L47" s="22" t="n">
        <v>111.46</v>
      </c>
      <c r="M47" s="8" t="s">
        <v>73</v>
      </c>
      <c r="N47" s="4" t="n">
        <v>3</v>
      </c>
      <c r="O47" s="6" t="n">
        <f aca="false">IF(C47="롱",(J47-E47)/E47,(E47-J47)/E47)</f>
        <v>-0.000355145165586363</v>
      </c>
    </row>
    <row r="48" customFormat="false" ht="17.15" hidden="false" customHeight="false" outlineLevel="0" collapsed="false">
      <c r="A48" s="4" t="n">
        <v>4</v>
      </c>
      <c r="B48" s="4" t="s">
        <v>18</v>
      </c>
      <c r="C48" s="8" t="s">
        <v>72</v>
      </c>
      <c r="D48" s="21" t="n">
        <v>38027</v>
      </c>
      <c r="E48" s="22" t="n">
        <v>113.46</v>
      </c>
      <c r="F48" s="21" t="n">
        <v>38028</v>
      </c>
      <c r="G48" s="22" t="n">
        <v>113.98</v>
      </c>
      <c r="H48" s="22" t="n">
        <v>105.04</v>
      </c>
      <c r="I48" s="21" t="n">
        <v>38058</v>
      </c>
      <c r="J48" s="22" t="n">
        <v>111.23</v>
      </c>
      <c r="K48" s="21" t="n">
        <v>38061</v>
      </c>
      <c r="L48" s="22" t="n">
        <v>112.23</v>
      </c>
      <c r="M48" s="8" t="s">
        <v>73</v>
      </c>
      <c r="N48" s="4" t="n">
        <v>22</v>
      </c>
      <c r="O48" s="6" t="n">
        <f aca="false">IF(C48="롱",(J48-E48)/E48,(E48-J48)/E48)</f>
        <v>-0.0196545037898818</v>
      </c>
    </row>
    <row r="49" customFormat="false" ht="17.15" hidden="false" customHeight="false" outlineLevel="0" collapsed="false">
      <c r="A49" s="4" t="n">
        <v>1</v>
      </c>
      <c r="B49" s="4" t="s">
        <v>12</v>
      </c>
      <c r="C49" s="8" t="s">
        <v>72</v>
      </c>
      <c r="D49" s="21" t="n">
        <v>38028</v>
      </c>
      <c r="E49" s="22" t="n">
        <v>114.92</v>
      </c>
      <c r="F49" s="21" t="n">
        <v>38029</v>
      </c>
      <c r="G49" s="22" t="n">
        <v>115.67</v>
      </c>
      <c r="H49" s="22" t="n">
        <v>107.01</v>
      </c>
      <c r="I49" s="21" t="n">
        <v>38040</v>
      </c>
      <c r="J49" s="22" t="n">
        <v>115.05</v>
      </c>
      <c r="K49" s="21" t="n">
        <v>38041</v>
      </c>
      <c r="L49" s="22" t="n">
        <v>114.33</v>
      </c>
      <c r="M49" s="8" t="s">
        <v>73</v>
      </c>
      <c r="N49" s="4" t="n">
        <v>8</v>
      </c>
      <c r="O49" s="6" t="n">
        <f aca="false">IF(C49="롱",(J49-E49)/E49,(E49-J49)/E49)</f>
        <v>0.00113122171945697</v>
      </c>
    </row>
    <row r="50" customFormat="false" ht="17.15" hidden="false" customHeight="false" outlineLevel="0" collapsed="false">
      <c r="A50" s="4" t="n">
        <v>6</v>
      </c>
      <c r="B50" s="4" t="s">
        <v>22</v>
      </c>
      <c r="C50" s="8" t="s">
        <v>72</v>
      </c>
      <c r="D50" s="21" t="n">
        <v>38028</v>
      </c>
      <c r="E50" s="22" t="n">
        <v>114.92</v>
      </c>
      <c r="F50" s="21" t="n">
        <v>38029</v>
      </c>
      <c r="G50" s="22" t="n">
        <v>115.67</v>
      </c>
      <c r="H50" s="22" t="n">
        <v>107.01</v>
      </c>
      <c r="I50" s="21" t="n">
        <v>38035</v>
      </c>
      <c r="J50" s="22" t="n">
        <v>114.87</v>
      </c>
      <c r="K50" s="21" t="n">
        <v>38036</v>
      </c>
      <c r="L50" s="22" t="n">
        <v>115.33</v>
      </c>
      <c r="M50" s="8" t="s">
        <v>73</v>
      </c>
      <c r="N50" s="4" t="n">
        <v>5</v>
      </c>
      <c r="O50" s="6" t="n">
        <f aca="false">IF(C50="롱",(J50-E50)/E50,(E50-J50)/E50)</f>
        <v>-0.000435085276714211</v>
      </c>
    </row>
    <row r="51" customFormat="false" ht="17.15" hidden="false" customHeight="false" outlineLevel="0" collapsed="false">
      <c r="A51" s="4" t="n">
        <v>1</v>
      </c>
      <c r="B51" s="4" t="s">
        <v>12</v>
      </c>
      <c r="C51" s="8" t="s">
        <v>72</v>
      </c>
      <c r="D51" s="21" t="n">
        <v>38049</v>
      </c>
      <c r="E51" s="22" t="n">
        <v>117.57</v>
      </c>
      <c r="F51" s="21" t="n">
        <v>38050</v>
      </c>
      <c r="G51" s="22" t="n">
        <v>117.89</v>
      </c>
      <c r="H51" s="22" t="n">
        <v>109.65</v>
      </c>
      <c r="I51" s="21" t="n">
        <v>38056</v>
      </c>
      <c r="J51" s="22" t="n">
        <v>114.74</v>
      </c>
      <c r="K51" s="21" t="n">
        <v>38057</v>
      </c>
      <c r="L51" s="22" t="n">
        <v>113.86</v>
      </c>
      <c r="M51" s="8" t="s">
        <v>73</v>
      </c>
      <c r="N51" s="4" t="n">
        <v>5</v>
      </c>
      <c r="O51" s="6" t="n">
        <f aca="false">IF(C51="롱",(J51-E51)/E51,(E51-J51)/E51)</f>
        <v>-0.0240707663519605</v>
      </c>
    </row>
    <row r="52" customFormat="false" ht="17.15" hidden="false" customHeight="false" outlineLevel="0" collapsed="false">
      <c r="A52" s="4" t="n">
        <v>2</v>
      </c>
      <c r="B52" s="4" t="s">
        <v>14</v>
      </c>
      <c r="C52" s="8" t="s">
        <v>72</v>
      </c>
      <c r="D52" s="21" t="n">
        <v>38058</v>
      </c>
      <c r="E52" s="22" t="n">
        <v>111.23</v>
      </c>
      <c r="F52" s="21" t="n">
        <v>38061</v>
      </c>
      <c r="G52" s="22" t="n">
        <v>112.23</v>
      </c>
      <c r="H52" s="22" t="n">
        <v>101.96</v>
      </c>
      <c r="I52" s="21" t="n">
        <v>38083</v>
      </c>
      <c r="J52" s="22" t="n">
        <v>119.57</v>
      </c>
      <c r="K52" s="21" t="n">
        <v>38084</v>
      </c>
      <c r="L52" s="22" t="n">
        <v>119.61</v>
      </c>
      <c r="M52" s="8" t="s">
        <v>73</v>
      </c>
      <c r="N52" s="4" t="n">
        <v>16</v>
      </c>
      <c r="O52" s="6" t="n">
        <f aca="false">IF(C52="롱",(J52-E52)/E52,(E52-J52)/E52)</f>
        <v>0.0749797716443405</v>
      </c>
    </row>
    <row r="53" customFormat="false" ht="17.15" hidden="false" customHeight="false" outlineLevel="0" collapsed="false">
      <c r="A53" s="4" t="n">
        <v>3</v>
      </c>
      <c r="B53" s="4" t="s">
        <v>16</v>
      </c>
      <c r="C53" s="8" t="s">
        <v>72</v>
      </c>
      <c r="D53" s="21" t="n">
        <v>38063</v>
      </c>
      <c r="E53" s="22" t="n">
        <v>114.55</v>
      </c>
      <c r="F53" s="21" t="n">
        <v>38064</v>
      </c>
      <c r="G53" s="22" t="n">
        <v>115.45</v>
      </c>
      <c r="H53" s="22" t="n">
        <v>104.78</v>
      </c>
      <c r="I53" s="21" t="n">
        <v>38071</v>
      </c>
      <c r="J53" s="22" t="n">
        <v>112.16</v>
      </c>
      <c r="K53" s="21" t="n">
        <v>38072</v>
      </c>
      <c r="L53" s="22" t="n">
        <v>113.89</v>
      </c>
      <c r="M53" s="8" t="s">
        <v>73</v>
      </c>
      <c r="N53" s="4" t="n">
        <v>6</v>
      </c>
      <c r="O53" s="6" t="n">
        <f aca="false">IF(C53="롱",(J53-E53)/E53,(E53-J53)/E53)</f>
        <v>-0.0208642514185945</v>
      </c>
    </row>
    <row r="54" customFormat="false" ht="17.15" hidden="false" customHeight="false" outlineLevel="0" collapsed="false">
      <c r="A54" s="4" t="n">
        <v>3</v>
      </c>
      <c r="B54" s="4" t="s">
        <v>16</v>
      </c>
      <c r="C54" s="8" t="s">
        <v>72</v>
      </c>
      <c r="D54" s="21" t="n">
        <v>38075</v>
      </c>
      <c r="E54" s="22" t="n">
        <v>115.1</v>
      </c>
      <c r="F54" s="21" t="n">
        <v>38076</v>
      </c>
      <c r="G54" s="22" t="n">
        <v>115.78</v>
      </c>
      <c r="H54" s="22" t="n">
        <v>104.28</v>
      </c>
      <c r="I54" s="21" t="n">
        <v>38106</v>
      </c>
      <c r="J54" s="22" t="n">
        <v>114.01</v>
      </c>
      <c r="K54" s="21" t="n">
        <v>38107</v>
      </c>
      <c r="L54" s="22" t="n">
        <v>113.05</v>
      </c>
      <c r="M54" s="8" t="s">
        <v>73</v>
      </c>
      <c r="N54" s="4" t="n">
        <v>21</v>
      </c>
      <c r="O54" s="6" t="n">
        <f aca="false">IF(C54="롱",(J54-E54)/E54,(E54-J54)/E54)</f>
        <v>-0.00947002606429183</v>
      </c>
    </row>
    <row r="55" customFormat="false" ht="17.15" hidden="false" customHeight="false" outlineLevel="0" collapsed="false">
      <c r="A55" s="4" t="n">
        <v>1</v>
      </c>
      <c r="B55" s="4" t="s">
        <v>12</v>
      </c>
      <c r="C55" s="8" t="s">
        <v>72</v>
      </c>
      <c r="D55" s="21" t="n">
        <v>38077</v>
      </c>
      <c r="E55" s="22" t="n">
        <v>115.98</v>
      </c>
      <c r="F55" s="21" t="n">
        <v>38078</v>
      </c>
      <c r="G55" s="22" t="n">
        <v>115.75</v>
      </c>
      <c r="H55" s="22" t="n">
        <v>105.07</v>
      </c>
      <c r="I55" s="21" t="n">
        <v>38104</v>
      </c>
      <c r="J55" s="22" t="n">
        <v>119.7</v>
      </c>
      <c r="K55" s="21" t="n">
        <v>38105</v>
      </c>
      <c r="L55" s="22" t="n">
        <v>119.95</v>
      </c>
      <c r="M55" s="8" t="s">
        <v>73</v>
      </c>
      <c r="N55" s="4" t="n">
        <v>17</v>
      </c>
      <c r="O55" s="6" t="n">
        <f aca="false">IF(C55="롱",(J55-E55)/E55,(E55-J55)/E55)</f>
        <v>0.0320744956026901</v>
      </c>
    </row>
    <row r="56" customFormat="false" ht="17.15" hidden="false" customHeight="false" outlineLevel="0" collapsed="false">
      <c r="A56" s="4" t="n">
        <v>4</v>
      </c>
      <c r="B56" s="4" t="s">
        <v>18</v>
      </c>
      <c r="C56" s="8" t="s">
        <v>72</v>
      </c>
      <c r="D56" s="21" t="n">
        <v>38078</v>
      </c>
      <c r="E56" s="22" t="n">
        <v>116.34</v>
      </c>
      <c r="F56" s="21" t="n">
        <v>38079</v>
      </c>
      <c r="G56" s="22" t="n">
        <v>116.8</v>
      </c>
      <c r="H56" s="22" t="n">
        <v>105.62</v>
      </c>
      <c r="I56" s="21" t="n">
        <v>38106</v>
      </c>
      <c r="J56" s="22" t="n">
        <v>114.01</v>
      </c>
      <c r="K56" s="21" t="n">
        <v>38107</v>
      </c>
      <c r="L56" s="22" t="n">
        <v>113.05</v>
      </c>
      <c r="M56" s="8" t="s">
        <v>73</v>
      </c>
      <c r="N56" s="4" t="n">
        <v>18</v>
      </c>
      <c r="O56" s="6" t="n">
        <f aca="false">IF(C56="롱",(J56-E56)/E56,(E56-J56)/E56)</f>
        <v>-0.0200275055870724</v>
      </c>
    </row>
    <row r="57" customFormat="false" ht="17.15" hidden="false" customHeight="false" outlineLevel="0" collapsed="false">
      <c r="A57" s="4" t="n">
        <v>6</v>
      </c>
      <c r="B57" s="4" t="s">
        <v>22</v>
      </c>
      <c r="C57" s="8" t="s">
        <v>72</v>
      </c>
      <c r="D57" s="21" t="n">
        <v>38079</v>
      </c>
      <c r="E57" s="22" t="n">
        <v>116.35</v>
      </c>
      <c r="F57" s="21" t="n">
        <v>38083</v>
      </c>
      <c r="G57" s="22" t="n">
        <v>118.58</v>
      </c>
      <c r="H57" s="22" t="n">
        <v>105.55</v>
      </c>
      <c r="I57" s="21" t="n">
        <v>38093</v>
      </c>
      <c r="J57" s="22" t="n">
        <v>117.97</v>
      </c>
      <c r="K57" s="21" t="n">
        <v>38096</v>
      </c>
      <c r="L57" s="22" t="n">
        <v>118.22</v>
      </c>
      <c r="M57" s="8" t="s">
        <v>73</v>
      </c>
      <c r="N57" s="4" t="n">
        <v>8</v>
      </c>
      <c r="O57" s="6" t="n">
        <f aca="false">IF(C57="롱",(J57-E57)/E57,(E57-J57)/E57)</f>
        <v>0.0139235066609369</v>
      </c>
    </row>
    <row r="58" customFormat="false" ht="17.15" hidden="false" customHeight="false" outlineLevel="0" collapsed="false">
      <c r="A58" s="4" t="n">
        <v>6</v>
      </c>
      <c r="B58" s="4" t="s">
        <v>22</v>
      </c>
      <c r="C58" s="8" t="s">
        <v>72</v>
      </c>
      <c r="D58" s="21" t="n">
        <v>38098</v>
      </c>
      <c r="E58" s="22" t="n">
        <v>121.93</v>
      </c>
      <c r="F58" s="21" t="n">
        <v>38099</v>
      </c>
      <c r="G58" s="22" t="n">
        <v>122.01</v>
      </c>
      <c r="H58" s="22" t="n">
        <v>111.63</v>
      </c>
      <c r="I58" s="21" t="n">
        <v>38103</v>
      </c>
      <c r="J58" s="22" t="n">
        <v>120.3</v>
      </c>
      <c r="K58" s="21" t="n">
        <v>38104</v>
      </c>
      <c r="L58" s="22" t="n">
        <v>120.11</v>
      </c>
      <c r="M58" s="8" t="s">
        <v>73</v>
      </c>
      <c r="N58" s="4" t="n">
        <v>3</v>
      </c>
      <c r="O58" s="6" t="n">
        <f aca="false">IF(C58="롱",(J58-E58)/E58,(E58-J58)/E58)</f>
        <v>-0.0133683260887395</v>
      </c>
    </row>
    <row r="59" customFormat="false" ht="17.15" hidden="false" customHeight="false" outlineLevel="0" collapsed="false">
      <c r="A59" s="4" t="n">
        <v>2</v>
      </c>
      <c r="B59" s="4" t="s">
        <v>14</v>
      </c>
      <c r="C59" s="8" t="s">
        <v>72</v>
      </c>
      <c r="D59" s="21" t="n">
        <v>38106</v>
      </c>
      <c r="E59" s="22" t="n">
        <v>114.01</v>
      </c>
      <c r="F59" s="21" t="n">
        <v>38107</v>
      </c>
      <c r="G59" s="22" t="n">
        <v>113.05</v>
      </c>
      <c r="H59" s="22" t="n">
        <v>103.48</v>
      </c>
      <c r="I59" s="21" t="n">
        <v>38117</v>
      </c>
      <c r="J59" s="22" t="n">
        <v>103.48</v>
      </c>
      <c r="K59" s="21" t="n">
        <v>38118</v>
      </c>
      <c r="L59" s="22" t="n">
        <v>102.85</v>
      </c>
      <c r="M59" s="8" t="s">
        <v>75</v>
      </c>
      <c r="N59" s="4" t="n">
        <v>6</v>
      </c>
      <c r="O59" s="6" t="n">
        <f aca="false">IF(C59="롱",(J59-E59)/E59,(E59-J59)/E59)</f>
        <v>-0.0923603192702395</v>
      </c>
    </row>
    <row r="60" customFormat="false" ht="17.15" hidden="false" customHeight="false" outlineLevel="0" collapsed="false">
      <c r="A60" s="4" t="n">
        <v>8</v>
      </c>
      <c r="B60" s="4" t="s">
        <v>26</v>
      </c>
      <c r="C60" s="8" t="s">
        <v>72</v>
      </c>
      <c r="D60" s="21" t="n">
        <v>38117</v>
      </c>
      <c r="E60" s="22" t="n">
        <v>102.94</v>
      </c>
      <c r="F60" s="21" t="n">
        <v>38118</v>
      </c>
      <c r="G60" s="22" t="n">
        <v>102.85</v>
      </c>
      <c r="H60" s="22" t="n">
        <v>92.65</v>
      </c>
      <c r="I60" s="21" t="n">
        <v>38119</v>
      </c>
      <c r="J60" s="22" t="n">
        <v>106.05</v>
      </c>
      <c r="K60" s="21" t="n">
        <v>38120</v>
      </c>
      <c r="L60" s="22" t="n">
        <v>105.58</v>
      </c>
      <c r="M60" s="8" t="s">
        <v>73</v>
      </c>
      <c r="N60" s="4" t="n">
        <v>2</v>
      </c>
      <c r="O60" s="6" t="n">
        <f aca="false">IF(C60="롱",(J60-E60)/E60,(E60-J60)/E60)</f>
        <v>0.030211773848844</v>
      </c>
    </row>
    <row r="61" customFormat="false" ht="17.15" hidden="false" customHeight="false" outlineLevel="0" collapsed="false">
      <c r="A61" s="4" t="n">
        <v>8</v>
      </c>
      <c r="B61" s="4" t="s">
        <v>26</v>
      </c>
      <c r="C61" s="8" t="s">
        <v>72</v>
      </c>
      <c r="D61" s="21" t="n">
        <v>38120</v>
      </c>
      <c r="E61" s="22" t="n">
        <v>102.14</v>
      </c>
      <c r="F61" s="21" t="n">
        <v>38121</v>
      </c>
      <c r="G61" s="22" t="n">
        <v>103.29</v>
      </c>
      <c r="H61" s="22" t="n">
        <v>91.93</v>
      </c>
      <c r="I61" s="21" t="n">
        <v>38135</v>
      </c>
      <c r="J61" s="22" t="n">
        <v>105.82</v>
      </c>
      <c r="K61" s="21" t="n">
        <v>38138</v>
      </c>
      <c r="L61" s="22" t="n">
        <v>105.24</v>
      </c>
      <c r="M61" s="8" t="s">
        <v>73</v>
      </c>
      <c r="N61" s="4" t="n">
        <v>10</v>
      </c>
      <c r="O61" s="6" t="n">
        <f aca="false">IF(C61="롱",(J61-E61)/E61,(E61-J61)/E61)</f>
        <v>0.0360289798316036</v>
      </c>
    </row>
    <row r="62" customFormat="false" ht="17.15" hidden="false" customHeight="false" outlineLevel="0" collapsed="false">
      <c r="A62" s="4" t="n">
        <v>2</v>
      </c>
      <c r="B62" s="4" t="s">
        <v>14</v>
      </c>
      <c r="C62" s="8" t="s">
        <v>72</v>
      </c>
      <c r="D62" s="21" t="n">
        <v>38121</v>
      </c>
      <c r="E62" s="22" t="n">
        <v>99.11</v>
      </c>
      <c r="F62" s="21" t="n">
        <v>38124</v>
      </c>
      <c r="G62" s="22" t="n">
        <v>98.91</v>
      </c>
      <c r="H62" s="22" t="n">
        <v>89.2</v>
      </c>
      <c r="I62" s="21" t="n">
        <v>38135</v>
      </c>
      <c r="J62" s="22" t="n">
        <v>105.82</v>
      </c>
      <c r="K62" s="21" t="n">
        <v>38138</v>
      </c>
      <c r="L62" s="22" t="n">
        <v>105.24</v>
      </c>
      <c r="M62" s="8" t="s">
        <v>73</v>
      </c>
      <c r="N62" s="4" t="n">
        <v>9</v>
      </c>
      <c r="O62" s="6" t="n">
        <f aca="false">IF(C62="롱",(J62-E62)/E62,(E62-J62)/E62)</f>
        <v>0.0677025527192008</v>
      </c>
    </row>
    <row r="63" customFormat="false" ht="17.15" hidden="false" customHeight="false" outlineLevel="0" collapsed="false">
      <c r="A63" s="4" t="n">
        <v>6</v>
      </c>
      <c r="B63" s="4" t="s">
        <v>22</v>
      </c>
      <c r="C63" s="8" t="s">
        <v>72</v>
      </c>
      <c r="D63" s="21" t="n">
        <v>38243</v>
      </c>
      <c r="E63" s="22" t="n">
        <v>109.56</v>
      </c>
      <c r="F63" s="21" t="n">
        <v>38244</v>
      </c>
      <c r="G63" s="22" t="n">
        <v>110.28</v>
      </c>
      <c r="H63" s="22" t="n">
        <v>101.65</v>
      </c>
      <c r="I63" s="21" t="n">
        <v>38247</v>
      </c>
      <c r="J63" s="22" t="n">
        <v>109.32</v>
      </c>
      <c r="K63" s="21" t="n">
        <v>38250</v>
      </c>
      <c r="L63" s="22" t="n">
        <v>109.49</v>
      </c>
      <c r="M63" s="8" t="s">
        <v>73</v>
      </c>
      <c r="N63" s="4" t="n">
        <v>4</v>
      </c>
      <c r="O63" s="6" t="n">
        <f aca="false">IF(C63="롱",(J63-E63)/E63,(E63-J63)/E63)</f>
        <v>-0.0021905805038336</v>
      </c>
    </row>
    <row r="64" customFormat="false" ht="17.15" hidden="false" customHeight="false" outlineLevel="0" collapsed="false">
      <c r="A64" s="4" t="n">
        <v>1</v>
      </c>
      <c r="B64" s="4" t="s">
        <v>12</v>
      </c>
      <c r="C64" s="8" t="s">
        <v>72</v>
      </c>
      <c r="D64" s="21" t="n">
        <v>38264</v>
      </c>
      <c r="E64" s="22" t="n">
        <v>114.02</v>
      </c>
      <c r="F64" s="21" t="n">
        <v>38265</v>
      </c>
      <c r="G64" s="22" t="n">
        <v>114.21</v>
      </c>
      <c r="H64" s="22" t="n">
        <v>104.32</v>
      </c>
      <c r="I64" s="21" t="n">
        <v>38272</v>
      </c>
      <c r="J64" s="22" t="n">
        <v>110.47</v>
      </c>
      <c r="K64" s="21" t="n">
        <v>38273</v>
      </c>
      <c r="L64" s="22" t="n">
        <v>111.23</v>
      </c>
      <c r="M64" s="8" t="s">
        <v>73</v>
      </c>
      <c r="N64" s="4" t="n">
        <v>6</v>
      </c>
      <c r="O64" s="6" t="n">
        <f aca="false">IF(C64="롱",(J64-E64)/E64,(E64-J64)/E64)</f>
        <v>-0.0311348886160323</v>
      </c>
    </row>
    <row r="65" customFormat="false" ht="17.15" hidden="false" customHeight="false" outlineLevel="0" collapsed="false">
      <c r="A65" s="4" t="n">
        <v>6</v>
      </c>
      <c r="B65" s="4" t="s">
        <v>22</v>
      </c>
      <c r="C65" s="8" t="s">
        <v>72</v>
      </c>
      <c r="D65" s="21" t="n">
        <v>38264</v>
      </c>
      <c r="E65" s="22" t="n">
        <v>114.02</v>
      </c>
      <c r="F65" s="21" t="n">
        <v>38265</v>
      </c>
      <c r="G65" s="22" t="n">
        <v>114.21</v>
      </c>
      <c r="H65" s="22" t="n">
        <v>104.32</v>
      </c>
      <c r="I65" s="21" t="n">
        <v>38268</v>
      </c>
      <c r="J65" s="22" t="n">
        <v>113.82</v>
      </c>
      <c r="K65" s="21" t="n">
        <v>38271</v>
      </c>
      <c r="L65" s="22" t="n">
        <v>113.16</v>
      </c>
      <c r="M65" s="8" t="s">
        <v>73</v>
      </c>
      <c r="N65" s="4" t="n">
        <v>4</v>
      </c>
      <c r="O65" s="6" t="n">
        <f aca="false">IF(C65="롱",(J65-E65)/E65,(E65-J65)/E65)</f>
        <v>-0.00175407823188917</v>
      </c>
    </row>
    <row r="66" customFormat="false" ht="17.15" hidden="false" customHeight="false" outlineLevel="0" collapsed="false">
      <c r="A66" s="4" t="n">
        <v>3</v>
      </c>
      <c r="B66" s="4" t="s">
        <v>16</v>
      </c>
      <c r="C66" s="8" t="s">
        <v>72</v>
      </c>
      <c r="D66" s="21" t="n">
        <v>38278</v>
      </c>
      <c r="E66" s="22" t="n">
        <v>109.24</v>
      </c>
      <c r="F66" s="21" t="n">
        <v>38279</v>
      </c>
      <c r="G66" s="22" t="n">
        <v>110.88</v>
      </c>
      <c r="H66" s="22" t="n">
        <v>98.82</v>
      </c>
      <c r="I66" s="21" t="n">
        <v>38280</v>
      </c>
      <c r="J66" s="22" t="n">
        <v>106.93</v>
      </c>
      <c r="K66" s="21" t="n">
        <v>38281</v>
      </c>
      <c r="L66" s="22" t="n">
        <v>107.2</v>
      </c>
      <c r="M66" s="8" t="s">
        <v>73</v>
      </c>
      <c r="N66" s="4" t="n">
        <v>2</v>
      </c>
      <c r="O66" s="6" t="n">
        <f aca="false">IF(C66="롱",(J66-E66)/E66,(E66-J66)/E66)</f>
        <v>-0.0211461003295495</v>
      </c>
    </row>
    <row r="67" customFormat="false" ht="17.15" hidden="false" customHeight="false" outlineLevel="0" collapsed="false">
      <c r="A67" s="4" t="n">
        <v>2</v>
      </c>
      <c r="B67" s="4" t="s">
        <v>14</v>
      </c>
      <c r="C67" s="8" t="s">
        <v>72</v>
      </c>
      <c r="D67" s="21" t="n">
        <v>38281</v>
      </c>
      <c r="E67" s="22" t="n">
        <v>105.78</v>
      </c>
      <c r="F67" s="21" t="n">
        <v>38282</v>
      </c>
      <c r="G67" s="22" t="n">
        <v>106.25</v>
      </c>
      <c r="H67" s="22" t="n">
        <v>95.2</v>
      </c>
      <c r="I67" s="21" t="n">
        <v>38294</v>
      </c>
      <c r="J67" s="22" t="n">
        <v>111.58</v>
      </c>
      <c r="K67" s="21" t="n">
        <v>38295</v>
      </c>
      <c r="L67" s="22" t="n">
        <v>111.41</v>
      </c>
      <c r="M67" s="8" t="s">
        <v>73</v>
      </c>
      <c r="N67" s="4" t="n">
        <v>9</v>
      </c>
      <c r="O67" s="6" t="n">
        <f aca="false">IF(C67="롱",(J67-E67)/E67,(E67-J67)/E67)</f>
        <v>0.0548307808659482</v>
      </c>
    </row>
    <row r="68" customFormat="false" ht="17.15" hidden="false" customHeight="false" outlineLevel="0" collapsed="false">
      <c r="A68" s="4" t="n">
        <v>5</v>
      </c>
      <c r="B68" s="4" t="s">
        <v>20</v>
      </c>
      <c r="C68" s="8" t="s">
        <v>72</v>
      </c>
      <c r="D68" s="21" t="n">
        <v>38286</v>
      </c>
      <c r="E68" s="22" t="n">
        <v>104.98</v>
      </c>
      <c r="F68" s="21" t="n">
        <v>38287</v>
      </c>
      <c r="G68" s="22" t="n">
        <v>105.98</v>
      </c>
      <c r="H68" s="22" t="n">
        <v>94.48</v>
      </c>
      <c r="I68" s="21" t="n">
        <v>38287</v>
      </c>
      <c r="J68" s="22" t="n">
        <v>104.63</v>
      </c>
      <c r="K68" s="21" t="n">
        <v>38288</v>
      </c>
      <c r="L68" s="22" t="n">
        <v>106.81</v>
      </c>
      <c r="M68" s="8" t="s">
        <v>73</v>
      </c>
      <c r="N68" s="4" t="n">
        <v>1</v>
      </c>
      <c r="O68" s="6" t="n">
        <f aca="false">IF(C68="롱",(J68-E68)/E68,(E68-J68)/E68)</f>
        <v>-0.00333396837492864</v>
      </c>
    </row>
    <row r="69" customFormat="false" ht="17.15" hidden="false" customHeight="false" outlineLevel="0" collapsed="false">
      <c r="A69" s="4" t="n">
        <v>5</v>
      </c>
      <c r="B69" s="4" t="s">
        <v>20</v>
      </c>
      <c r="C69" s="8" t="s">
        <v>72</v>
      </c>
      <c r="D69" s="21" t="n">
        <v>38288</v>
      </c>
      <c r="E69" s="22" t="n">
        <v>107.77</v>
      </c>
      <c r="F69" s="21" t="n">
        <v>38289</v>
      </c>
      <c r="G69" s="22" t="n">
        <v>106.82</v>
      </c>
      <c r="H69" s="22" t="n">
        <v>96.99</v>
      </c>
      <c r="I69" s="21" t="n">
        <v>38331</v>
      </c>
      <c r="J69" s="22" t="n">
        <v>108.57</v>
      </c>
      <c r="K69" s="21" t="n">
        <v>38334</v>
      </c>
      <c r="L69" s="22" t="n">
        <v>108.09</v>
      </c>
      <c r="M69" s="8" t="s">
        <v>73</v>
      </c>
      <c r="N69" s="4" t="n">
        <v>31</v>
      </c>
      <c r="O69" s="6" t="n">
        <f aca="false">IF(C69="롱",(J69-E69)/E69,(E69-J69)/E69)</f>
        <v>0.00742321610837893</v>
      </c>
    </row>
    <row r="70" customFormat="false" ht="17.15" hidden="false" customHeight="false" outlineLevel="0" collapsed="false">
      <c r="A70" s="4" t="n">
        <v>3</v>
      </c>
      <c r="B70" s="4" t="s">
        <v>16</v>
      </c>
      <c r="C70" s="8" t="s">
        <v>72</v>
      </c>
      <c r="D70" s="21" t="n">
        <v>38289</v>
      </c>
      <c r="E70" s="22" t="n">
        <v>107.99</v>
      </c>
      <c r="F70" s="21" t="n">
        <v>38292</v>
      </c>
      <c r="G70" s="22" t="n">
        <v>107.69</v>
      </c>
      <c r="H70" s="22" t="n">
        <v>97.19</v>
      </c>
      <c r="I70" s="21" t="n">
        <v>38331</v>
      </c>
      <c r="J70" s="22" t="n">
        <v>108.57</v>
      </c>
      <c r="K70" s="21" t="n">
        <v>38334</v>
      </c>
      <c r="L70" s="22" t="n">
        <v>108.09</v>
      </c>
      <c r="M70" s="8" t="s">
        <v>73</v>
      </c>
      <c r="N70" s="4" t="n">
        <v>30</v>
      </c>
      <c r="O70" s="6" t="n">
        <f aca="false">IF(C70="롱",(J70-E70)/E70,(E70-J70)/E70)</f>
        <v>0.00537086767293266</v>
      </c>
    </row>
    <row r="71" customFormat="false" ht="17.15" hidden="false" customHeight="false" outlineLevel="0" collapsed="false">
      <c r="A71" s="4" t="n">
        <v>1</v>
      </c>
      <c r="B71" s="4" t="s">
        <v>12</v>
      </c>
      <c r="C71" s="8" t="s">
        <v>72</v>
      </c>
      <c r="D71" s="21" t="n">
        <v>38294</v>
      </c>
      <c r="E71" s="22" t="n">
        <v>111.58</v>
      </c>
      <c r="F71" s="21" t="n">
        <v>38295</v>
      </c>
      <c r="G71" s="22" t="n">
        <v>111.41</v>
      </c>
      <c r="H71" s="22" t="n">
        <v>100.67</v>
      </c>
      <c r="I71" s="21" t="n">
        <v>38314</v>
      </c>
      <c r="J71" s="22" t="n">
        <v>111.18</v>
      </c>
      <c r="K71" s="21" t="n">
        <v>38315</v>
      </c>
      <c r="L71" s="22" t="n">
        <v>110.97</v>
      </c>
      <c r="M71" s="8" t="s">
        <v>73</v>
      </c>
      <c r="N71" s="4" t="n">
        <v>14</v>
      </c>
      <c r="O71" s="6" t="n">
        <f aca="false">IF(C71="롱",(J71-E71)/E71,(E71-J71)/E71)</f>
        <v>-0.00358487184083161</v>
      </c>
    </row>
    <row r="72" customFormat="false" ht="17.15" hidden="false" customHeight="false" outlineLevel="0" collapsed="false">
      <c r="A72" s="4" t="n">
        <v>6</v>
      </c>
      <c r="B72" s="4" t="s">
        <v>22</v>
      </c>
      <c r="C72" s="8" t="s">
        <v>72</v>
      </c>
      <c r="D72" s="21" t="n">
        <v>38294</v>
      </c>
      <c r="E72" s="22" t="n">
        <v>111.58</v>
      </c>
      <c r="F72" s="21" t="n">
        <v>38295</v>
      </c>
      <c r="G72" s="22" t="n">
        <v>111.41</v>
      </c>
      <c r="H72" s="22" t="n">
        <v>100.67</v>
      </c>
      <c r="I72" s="21" t="n">
        <v>38299</v>
      </c>
      <c r="J72" s="22" t="n">
        <v>109.34</v>
      </c>
      <c r="K72" s="21" t="n">
        <v>38300</v>
      </c>
      <c r="L72" s="22" t="n">
        <v>109.27</v>
      </c>
      <c r="M72" s="8" t="s">
        <v>73</v>
      </c>
      <c r="N72" s="4" t="n">
        <v>3</v>
      </c>
      <c r="O72" s="6" t="n">
        <f aca="false">IF(C72="롱",(J72-E72)/E72,(E72-J72)/E72)</f>
        <v>-0.0200752823086574</v>
      </c>
    </row>
    <row r="73" customFormat="false" ht="17.15" hidden="false" customHeight="false" outlineLevel="0" collapsed="false">
      <c r="A73" s="4" t="n">
        <v>4</v>
      </c>
      <c r="B73" s="4" t="s">
        <v>18</v>
      </c>
      <c r="C73" s="8" t="s">
        <v>72</v>
      </c>
      <c r="D73" s="21" t="n">
        <v>38295</v>
      </c>
      <c r="E73" s="22" t="n">
        <v>110.3</v>
      </c>
      <c r="F73" s="21" t="n">
        <v>38296</v>
      </c>
      <c r="G73" s="22" t="n">
        <v>111.76</v>
      </c>
      <c r="H73" s="22" t="n">
        <v>99.48</v>
      </c>
      <c r="I73" s="21" t="n">
        <v>38330</v>
      </c>
      <c r="J73" s="22" t="n">
        <v>110.88</v>
      </c>
      <c r="K73" s="21" t="n">
        <v>38331</v>
      </c>
      <c r="L73" s="22" t="n">
        <v>111.01</v>
      </c>
      <c r="M73" s="8" t="s">
        <v>73</v>
      </c>
      <c r="N73" s="4" t="n">
        <v>25</v>
      </c>
      <c r="O73" s="6" t="n">
        <f aca="false">IF(C73="롱",(J73-E73)/E73,(E73-J73)/E73)</f>
        <v>0.00525838621940162</v>
      </c>
    </row>
    <row r="74" customFormat="false" ht="17.15" hidden="false" customHeight="false" outlineLevel="0" collapsed="false">
      <c r="A74" s="4" t="n">
        <v>6</v>
      </c>
      <c r="B74" s="4" t="s">
        <v>22</v>
      </c>
      <c r="C74" s="8" t="s">
        <v>72</v>
      </c>
      <c r="D74" s="21" t="n">
        <v>38303</v>
      </c>
      <c r="E74" s="22" t="n">
        <v>113.41</v>
      </c>
      <c r="F74" s="21" t="n">
        <v>38306</v>
      </c>
      <c r="G74" s="22" t="n">
        <v>113.78</v>
      </c>
      <c r="H74" s="22" t="n">
        <v>102.6</v>
      </c>
      <c r="I74" s="21" t="n">
        <v>38309</v>
      </c>
      <c r="J74" s="22" t="n">
        <v>113.33</v>
      </c>
      <c r="K74" s="21" t="n">
        <v>38310</v>
      </c>
      <c r="L74" s="22" t="n">
        <v>113.81</v>
      </c>
      <c r="M74" s="8" t="s">
        <v>73</v>
      </c>
      <c r="N74" s="4" t="n">
        <v>4</v>
      </c>
      <c r="O74" s="6" t="n">
        <f aca="false">IF(C74="롱",(J74-E74)/E74,(E74-J74)/E74)</f>
        <v>-0.000705405167092834</v>
      </c>
    </row>
    <row r="75" customFormat="false" ht="17.15" hidden="false" customHeight="false" outlineLevel="0" collapsed="false">
      <c r="A75" s="4" t="n">
        <v>10</v>
      </c>
      <c r="B75" s="4" t="s">
        <v>30</v>
      </c>
      <c r="C75" s="8" t="s">
        <v>72</v>
      </c>
      <c r="D75" s="21" t="n">
        <v>38314</v>
      </c>
      <c r="E75" s="22" t="n">
        <v>111.18</v>
      </c>
      <c r="F75" s="21" t="n">
        <v>38315</v>
      </c>
      <c r="G75" s="22" t="n">
        <v>110.97</v>
      </c>
      <c r="H75" s="22" t="n">
        <v>100.8</v>
      </c>
      <c r="I75" s="21" t="n">
        <v>38317</v>
      </c>
      <c r="J75" s="22" t="n">
        <v>110.68</v>
      </c>
      <c r="K75" s="21" t="n">
        <v>38320</v>
      </c>
      <c r="L75" s="22" t="n">
        <v>111.08</v>
      </c>
      <c r="M75" s="8" t="s">
        <v>73</v>
      </c>
      <c r="N75" s="4" t="n">
        <v>3</v>
      </c>
      <c r="O75" s="6" t="n">
        <f aca="false">IF(C75="롱",(J75-E75)/E75,(E75-J75)/E75)</f>
        <v>-0.00449721172872819</v>
      </c>
    </row>
    <row r="76" customFormat="false" ht="17.15" hidden="false" customHeight="false" outlineLevel="0" collapsed="false">
      <c r="A76" s="4" t="n">
        <v>1</v>
      </c>
      <c r="B76" s="4" t="s">
        <v>12</v>
      </c>
      <c r="C76" s="8" t="s">
        <v>72</v>
      </c>
      <c r="D76" s="21" t="n">
        <v>38323</v>
      </c>
      <c r="E76" s="22" t="n">
        <v>114.06</v>
      </c>
      <c r="F76" s="21" t="n">
        <v>38324</v>
      </c>
      <c r="G76" s="22" t="n">
        <v>114.97</v>
      </c>
      <c r="H76" s="22" t="n">
        <v>103.4</v>
      </c>
      <c r="I76" s="21" t="n">
        <v>38327</v>
      </c>
      <c r="J76" s="22" t="n">
        <v>112.37</v>
      </c>
      <c r="K76" s="21" t="n">
        <v>38328</v>
      </c>
      <c r="L76" s="22" t="n">
        <v>112.04</v>
      </c>
      <c r="M76" s="8" t="s">
        <v>73</v>
      </c>
      <c r="N76" s="4" t="n">
        <v>2</v>
      </c>
      <c r="O76" s="6" t="n">
        <f aca="false">IF(C76="롱",(J76-E76)/E76,(E76-J76)/E76)</f>
        <v>-0.0148167631071366</v>
      </c>
    </row>
    <row r="77" customFormat="false" ht="17.15" hidden="false" customHeight="false" outlineLevel="0" collapsed="false">
      <c r="A77" s="4" t="n">
        <v>2</v>
      </c>
      <c r="B77" s="4" t="s">
        <v>14</v>
      </c>
      <c r="C77" s="8" t="s">
        <v>72</v>
      </c>
      <c r="D77" s="21" t="n">
        <v>38331</v>
      </c>
      <c r="E77" s="22" t="n">
        <v>108.57</v>
      </c>
      <c r="F77" s="21" t="n">
        <v>38334</v>
      </c>
      <c r="G77" s="22" t="n">
        <v>108.09</v>
      </c>
      <c r="H77" s="22" t="n">
        <v>97.89</v>
      </c>
      <c r="I77" s="21" t="n">
        <v>38342</v>
      </c>
      <c r="J77" s="22" t="n">
        <v>113.51</v>
      </c>
      <c r="K77" s="21" t="n">
        <v>38343</v>
      </c>
      <c r="L77" s="22" t="n">
        <v>114.28</v>
      </c>
      <c r="M77" s="8" t="s">
        <v>73</v>
      </c>
      <c r="N77" s="4" t="n">
        <v>7</v>
      </c>
      <c r="O77" s="6" t="n">
        <f aca="false">IF(C77="롱",(J77-E77)/E77,(E77-J77)/E77)</f>
        <v>0.0455005986920882</v>
      </c>
    </row>
    <row r="78" customFormat="false" ht="17.15" hidden="false" customHeight="false" outlineLevel="0" collapsed="false">
      <c r="A78" s="4" t="n">
        <v>7</v>
      </c>
      <c r="B78" s="4" t="s">
        <v>24</v>
      </c>
      <c r="C78" s="8" t="s">
        <v>72</v>
      </c>
      <c r="D78" s="21" t="n">
        <v>38334</v>
      </c>
      <c r="E78" s="22" t="n">
        <v>108.36</v>
      </c>
      <c r="F78" s="21" t="n">
        <v>38335</v>
      </c>
      <c r="G78" s="22" t="n">
        <v>108.63</v>
      </c>
      <c r="H78" s="22" t="n">
        <v>97.87</v>
      </c>
      <c r="I78" s="21" t="n">
        <v>38342</v>
      </c>
      <c r="J78" s="22" t="n">
        <v>113.51</v>
      </c>
      <c r="K78" s="21" t="n">
        <v>38343</v>
      </c>
      <c r="L78" s="22" t="n">
        <v>114.28</v>
      </c>
      <c r="M78" s="8" t="s">
        <v>73</v>
      </c>
      <c r="N78" s="4" t="n">
        <v>6</v>
      </c>
      <c r="O78" s="6" t="n">
        <f aca="false">IF(C78="롱",(J78-E78)/E78,(E78-J78)/E78)</f>
        <v>0.0475267626430418</v>
      </c>
    </row>
    <row r="79" customFormat="false" ht="17.15" hidden="false" customHeight="false" outlineLevel="0" collapsed="false">
      <c r="A79" s="4" t="n">
        <v>3</v>
      </c>
      <c r="B79" s="4" t="s">
        <v>16</v>
      </c>
      <c r="C79" s="8" t="s">
        <v>72</v>
      </c>
      <c r="D79" s="21" t="n">
        <v>38336</v>
      </c>
      <c r="E79" s="22" t="n">
        <v>111.87</v>
      </c>
      <c r="F79" s="21" t="n">
        <v>38337</v>
      </c>
      <c r="G79" s="22" t="n">
        <v>112.04</v>
      </c>
      <c r="H79" s="22" t="n">
        <v>101.25</v>
      </c>
      <c r="I79" s="21" t="n">
        <v>38401</v>
      </c>
      <c r="J79" s="22" t="n">
        <v>127.43</v>
      </c>
      <c r="K79" s="21" t="n">
        <v>38404</v>
      </c>
      <c r="L79" s="22" t="n">
        <v>128.44</v>
      </c>
      <c r="M79" s="8" t="s">
        <v>73</v>
      </c>
      <c r="N79" s="4" t="n">
        <v>43</v>
      </c>
      <c r="O79" s="6" t="n">
        <f aca="false">IF(C79="롱",(J79-E79)/E79,(E79-J79)/E79)</f>
        <v>0.13909001519621</v>
      </c>
    </row>
    <row r="80" customFormat="false" ht="17.15" hidden="false" customHeight="false" outlineLevel="0" collapsed="false">
      <c r="A80" s="4" t="n">
        <v>5</v>
      </c>
      <c r="B80" s="4" t="s">
        <v>20</v>
      </c>
      <c r="C80" s="8" t="s">
        <v>72</v>
      </c>
      <c r="D80" s="21" t="n">
        <v>38336</v>
      </c>
      <c r="E80" s="22" t="n">
        <v>111.87</v>
      </c>
      <c r="F80" s="21" t="n">
        <v>38337</v>
      </c>
      <c r="G80" s="22" t="n">
        <v>112.04</v>
      </c>
      <c r="H80" s="22" t="n">
        <v>101.25</v>
      </c>
      <c r="I80" s="21" t="n">
        <v>38456</v>
      </c>
      <c r="J80" s="22" t="n">
        <v>123.29</v>
      </c>
      <c r="K80" s="21" t="n">
        <v>38457</v>
      </c>
      <c r="L80" s="22" t="n">
        <v>123.49</v>
      </c>
      <c r="M80" s="8" t="s">
        <v>73</v>
      </c>
      <c r="N80" s="4" t="n">
        <v>80</v>
      </c>
      <c r="O80" s="6" t="n">
        <f aca="false">IF(C80="롱",(J80-E80)/E80,(E80-J80)/E80)</f>
        <v>0.102082774649146</v>
      </c>
    </row>
    <row r="81" customFormat="false" ht="17.15" hidden="false" customHeight="false" outlineLevel="0" collapsed="false">
      <c r="A81" s="4" t="n">
        <v>10</v>
      </c>
      <c r="B81" s="4" t="s">
        <v>30</v>
      </c>
      <c r="C81" s="8" t="s">
        <v>72</v>
      </c>
      <c r="D81" s="21" t="n">
        <v>38336</v>
      </c>
      <c r="E81" s="22" t="n">
        <v>111.87</v>
      </c>
      <c r="F81" s="21" t="n">
        <v>38337</v>
      </c>
      <c r="G81" s="22" t="n">
        <v>112.04</v>
      </c>
      <c r="H81" s="22" t="n">
        <v>101.25</v>
      </c>
      <c r="I81" s="21" t="n">
        <v>38426</v>
      </c>
      <c r="J81" s="22" t="n">
        <v>127.95</v>
      </c>
      <c r="K81" s="21" t="n">
        <v>38427</v>
      </c>
      <c r="L81" s="22" t="n">
        <v>127.64</v>
      </c>
      <c r="M81" s="8" t="s">
        <v>73</v>
      </c>
      <c r="N81" s="4" t="n">
        <v>59</v>
      </c>
      <c r="O81" s="6" t="n">
        <f aca="false">IF(C81="롱",(J81-E81)/E81,(E81-J81)/E81)</f>
        <v>0.143738267632073</v>
      </c>
    </row>
    <row r="82" customFormat="false" ht="17.15" hidden="false" customHeight="false" outlineLevel="0" collapsed="false">
      <c r="A82" s="4" t="n">
        <v>1</v>
      </c>
      <c r="B82" s="4" t="s">
        <v>12</v>
      </c>
      <c r="C82" s="8" t="s">
        <v>72</v>
      </c>
      <c r="D82" s="21" t="n">
        <v>38341</v>
      </c>
      <c r="E82" s="22" t="n">
        <v>113.45</v>
      </c>
      <c r="F82" s="21" t="n">
        <v>38342</v>
      </c>
      <c r="G82" s="22" t="n">
        <v>113.22</v>
      </c>
      <c r="H82" s="22" t="n">
        <v>103.55</v>
      </c>
      <c r="I82" s="21" t="n">
        <v>38359</v>
      </c>
      <c r="J82" s="22" t="n">
        <v>112.71</v>
      </c>
      <c r="K82" s="21" t="n">
        <v>38362</v>
      </c>
      <c r="L82" s="22" t="n">
        <v>113.01</v>
      </c>
      <c r="M82" s="8" t="s">
        <v>73</v>
      </c>
      <c r="N82" s="4" t="n">
        <v>13</v>
      </c>
      <c r="O82" s="6" t="n">
        <f aca="false">IF(C82="롱",(J82-E82)/E82,(E82-J82)/E82)</f>
        <v>-0.00652269722344653</v>
      </c>
    </row>
    <row r="83" customFormat="false" ht="17.15" hidden="false" customHeight="false" outlineLevel="0" collapsed="false">
      <c r="A83" s="4" t="n">
        <v>4</v>
      </c>
      <c r="B83" s="4" t="s">
        <v>18</v>
      </c>
      <c r="C83" s="8" t="s">
        <v>72</v>
      </c>
      <c r="D83" s="21" t="n">
        <v>38341</v>
      </c>
      <c r="E83" s="22" t="n">
        <v>113.45</v>
      </c>
      <c r="F83" s="21" t="n">
        <v>38342</v>
      </c>
      <c r="G83" s="22" t="n">
        <v>113.22</v>
      </c>
      <c r="H83" s="22" t="n">
        <v>103.55</v>
      </c>
      <c r="I83" s="21" t="n">
        <v>38429</v>
      </c>
      <c r="J83" s="22" t="n">
        <v>126.82</v>
      </c>
      <c r="K83" s="21" t="n">
        <v>38432</v>
      </c>
      <c r="L83" s="22" t="n">
        <v>126.77</v>
      </c>
      <c r="M83" s="8" t="s">
        <v>73</v>
      </c>
      <c r="N83" s="4" t="n">
        <v>59</v>
      </c>
      <c r="O83" s="6" t="n">
        <f aca="false">IF(C83="롱",(J83-E83)/E83,(E83-J83)/E83)</f>
        <v>0.117849272807404</v>
      </c>
    </row>
    <row r="84" customFormat="false" ht="17.15" hidden="false" customHeight="false" outlineLevel="0" collapsed="false">
      <c r="A84" s="4" t="n">
        <v>6</v>
      </c>
      <c r="B84" s="4" t="s">
        <v>22</v>
      </c>
      <c r="C84" s="8" t="s">
        <v>72</v>
      </c>
      <c r="D84" s="21" t="n">
        <v>38341</v>
      </c>
      <c r="E84" s="22" t="n">
        <v>113.45</v>
      </c>
      <c r="F84" s="21" t="n">
        <v>38342</v>
      </c>
      <c r="G84" s="22" t="n">
        <v>113.22</v>
      </c>
      <c r="H84" s="22" t="n">
        <v>103.55</v>
      </c>
      <c r="I84" s="21" t="n">
        <v>38344</v>
      </c>
      <c r="J84" s="22" t="n">
        <v>112.54</v>
      </c>
      <c r="K84" s="21" t="n">
        <v>38345</v>
      </c>
      <c r="L84" s="22" t="n">
        <v>112.69</v>
      </c>
      <c r="M84" s="8" t="s">
        <v>73</v>
      </c>
      <c r="N84" s="4" t="n">
        <v>3</v>
      </c>
      <c r="O84" s="6" t="n">
        <f aca="false">IF(C84="롱",(J84-E84)/E84,(E84-J84)/E84)</f>
        <v>-0.00802115469369763</v>
      </c>
    </row>
    <row r="85" customFormat="false" ht="17.15" hidden="false" customHeight="false" outlineLevel="0" collapsed="false">
      <c r="A85" s="4" t="n">
        <v>6</v>
      </c>
      <c r="B85" s="4" t="s">
        <v>22</v>
      </c>
      <c r="C85" s="8" t="s">
        <v>72</v>
      </c>
      <c r="D85" s="21" t="n">
        <v>38351</v>
      </c>
      <c r="E85" s="22" t="n">
        <v>115.25</v>
      </c>
      <c r="F85" s="21" t="n">
        <v>38355</v>
      </c>
      <c r="G85" s="22" t="n">
        <v>115.65</v>
      </c>
      <c r="H85" s="22" t="n">
        <v>106.65</v>
      </c>
      <c r="I85" s="21" t="n">
        <v>38357</v>
      </c>
      <c r="J85" s="22" t="n">
        <v>114.65</v>
      </c>
      <c r="K85" s="21" t="n">
        <v>38358</v>
      </c>
      <c r="L85" s="22" t="n">
        <v>113.88</v>
      </c>
      <c r="M85" s="8" t="s">
        <v>73</v>
      </c>
      <c r="N85" s="4" t="n">
        <v>3</v>
      </c>
      <c r="O85" s="6" t="n">
        <f aca="false">IF(C85="롱",(J85-E85)/E85,(E85-J85)/E85)</f>
        <v>-0.00520607375271145</v>
      </c>
    </row>
    <row r="86" customFormat="false" ht="17.15" hidden="false" customHeight="false" outlineLevel="0" collapsed="false">
      <c r="A86" s="4" t="n">
        <v>1</v>
      </c>
      <c r="B86" s="4" t="s">
        <v>12</v>
      </c>
      <c r="C86" s="8" t="s">
        <v>72</v>
      </c>
      <c r="D86" s="21" t="n">
        <v>38365</v>
      </c>
      <c r="E86" s="22" t="n">
        <v>115.01</v>
      </c>
      <c r="F86" s="21" t="n">
        <v>38366</v>
      </c>
      <c r="G86" s="22" t="n">
        <v>114.23</v>
      </c>
      <c r="H86" s="22" t="n">
        <v>107.57</v>
      </c>
      <c r="I86" s="21" t="n">
        <v>38386</v>
      </c>
      <c r="J86" s="22" t="n">
        <v>120.64</v>
      </c>
      <c r="K86" s="21" t="n">
        <v>38387</v>
      </c>
      <c r="L86" s="22" t="n">
        <v>120.5</v>
      </c>
      <c r="M86" s="8" t="s">
        <v>73</v>
      </c>
      <c r="N86" s="4" t="n">
        <v>15</v>
      </c>
      <c r="O86" s="6" t="n">
        <f aca="false">IF(C86="롱",(J86-E86)/E86,(E86-J86)/E86)</f>
        <v>0.048952265020433</v>
      </c>
    </row>
    <row r="87" customFormat="false" ht="17.15" hidden="false" customHeight="false" outlineLevel="0" collapsed="false">
      <c r="A87" s="4" t="n">
        <v>6</v>
      </c>
      <c r="B87" s="4" t="s">
        <v>22</v>
      </c>
      <c r="C87" s="8" t="s">
        <v>72</v>
      </c>
      <c r="D87" s="21" t="n">
        <v>38369</v>
      </c>
      <c r="E87" s="22" t="n">
        <v>119.91</v>
      </c>
      <c r="F87" s="21" t="n">
        <v>38370</v>
      </c>
      <c r="G87" s="22" t="n">
        <v>119.91</v>
      </c>
      <c r="H87" s="22" t="n">
        <v>111.64</v>
      </c>
      <c r="I87" s="21" t="n">
        <v>38372</v>
      </c>
      <c r="J87" s="22" t="n">
        <v>118.02</v>
      </c>
      <c r="K87" s="21" t="n">
        <v>38373</v>
      </c>
      <c r="L87" s="22" t="n">
        <v>118.14</v>
      </c>
      <c r="M87" s="8" t="s">
        <v>73</v>
      </c>
      <c r="N87" s="4" t="n">
        <v>3</v>
      </c>
      <c r="O87" s="6" t="n">
        <f aca="false">IF(C87="롱",(J87-E87)/E87,(E87-J87)/E87)</f>
        <v>-0.0157618213660245</v>
      </c>
    </row>
    <row r="88" customFormat="false" ht="17.15" hidden="false" customHeight="false" outlineLevel="0" collapsed="false">
      <c r="A88" s="4" t="n">
        <v>1</v>
      </c>
      <c r="B88" s="4" t="s">
        <v>12</v>
      </c>
      <c r="C88" s="8" t="s">
        <v>72</v>
      </c>
      <c r="D88" s="21" t="n">
        <v>38387</v>
      </c>
      <c r="E88" s="22" t="n">
        <v>121.3</v>
      </c>
      <c r="F88" s="21" t="n">
        <v>38390</v>
      </c>
      <c r="G88" s="22" t="n">
        <v>122.41</v>
      </c>
      <c r="H88" s="22" t="n">
        <v>113.12</v>
      </c>
      <c r="I88" s="21" t="n">
        <v>38419</v>
      </c>
      <c r="J88" s="22" t="n">
        <v>129.21</v>
      </c>
      <c r="K88" s="21" t="n">
        <v>38420</v>
      </c>
      <c r="L88" s="22" t="n">
        <v>128.83</v>
      </c>
      <c r="M88" s="8" t="s">
        <v>73</v>
      </c>
      <c r="N88" s="4" t="n">
        <v>18</v>
      </c>
      <c r="O88" s="6" t="n">
        <f aca="false">IF(C88="롱",(J88-E88)/E88,(E88-J88)/E88)</f>
        <v>0.0652102225886233</v>
      </c>
    </row>
    <row r="89" customFormat="false" ht="17.15" hidden="false" customHeight="false" outlineLevel="0" collapsed="false">
      <c r="A89" s="4" t="n">
        <v>6</v>
      </c>
      <c r="B89" s="4" t="s">
        <v>22</v>
      </c>
      <c r="C89" s="8" t="s">
        <v>72</v>
      </c>
      <c r="D89" s="21" t="n">
        <v>38390</v>
      </c>
      <c r="E89" s="22" t="n">
        <v>123.2</v>
      </c>
      <c r="F89" s="21" t="n">
        <v>38394</v>
      </c>
      <c r="G89" s="22" t="n">
        <v>122.6</v>
      </c>
      <c r="H89" s="22" t="n">
        <v>114.86</v>
      </c>
      <c r="I89" s="21" t="n">
        <v>38405</v>
      </c>
      <c r="J89" s="22" t="n">
        <v>126.74</v>
      </c>
      <c r="K89" s="21" t="n">
        <v>38406</v>
      </c>
      <c r="L89" s="22" t="n">
        <v>125.49</v>
      </c>
      <c r="M89" s="8" t="s">
        <v>73</v>
      </c>
      <c r="N89" s="4" t="n">
        <v>8</v>
      </c>
      <c r="O89" s="6" t="n">
        <f aca="false">IF(C89="롱",(J89-E89)/E89,(E89-J89)/E89)</f>
        <v>0.0287337662337662</v>
      </c>
    </row>
    <row r="90" customFormat="false" ht="17.15" hidden="false" customHeight="false" outlineLevel="0" collapsed="false">
      <c r="A90" s="4" t="n">
        <v>6</v>
      </c>
      <c r="B90" s="4" t="s">
        <v>22</v>
      </c>
      <c r="C90" s="8" t="s">
        <v>72</v>
      </c>
      <c r="D90" s="21" t="n">
        <v>38411</v>
      </c>
      <c r="E90" s="22" t="n">
        <v>130.85</v>
      </c>
      <c r="F90" s="21" t="n">
        <v>38413</v>
      </c>
      <c r="G90" s="22" t="n">
        <v>131.21</v>
      </c>
      <c r="H90" s="22" t="n">
        <v>122.79</v>
      </c>
      <c r="I90" s="21" t="n">
        <v>38418</v>
      </c>
      <c r="J90" s="22" t="n">
        <v>130.11</v>
      </c>
      <c r="K90" s="21" t="n">
        <v>38419</v>
      </c>
      <c r="L90" s="22" t="n">
        <v>130.54</v>
      </c>
      <c r="M90" s="8" t="s">
        <v>73</v>
      </c>
      <c r="N90" s="4" t="n">
        <v>4</v>
      </c>
      <c r="O90" s="6" t="n">
        <f aca="false">IF(C90="롱",(J90-E90)/E90,(E90-J90)/E90)</f>
        <v>-0.00565533053114238</v>
      </c>
    </row>
    <row r="91" customFormat="false" ht="17.15" hidden="false" customHeight="false" outlineLevel="0" collapsed="false">
      <c r="A91" s="4" t="n">
        <v>2</v>
      </c>
      <c r="B91" s="4" t="s">
        <v>14</v>
      </c>
      <c r="C91" s="8" t="s">
        <v>72</v>
      </c>
      <c r="D91" s="21" t="n">
        <v>38435</v>
      </c>
      <c r="E91" s="22" t="n">
        <v>123.8</v>
      </c>
      <c r="F91" s="21" t="n">
        <v>38436</v>
      </c>
      <c r="G91" s="22" t="n">
        <v>124.38</v>
      </c>
      <c r="H91" s="22" t="n">
        <v>112.85</v>
      </c>
      <c r="I91" s="21" t="n">
        <v>38448</v>
      </c>
      <c r="J91" s="22" t="n">
        <v>127.85</v>
      </c>
      <c r="K91" s="21" t="n">
        <v>38449</v>
      </c>
      <c r="L91" s="22" t="n">
        <v>128.23</v>
      </c>
      <c r="M91" s="8" t="s">
        <v>73</v>
      </c>
      <c r="N91" s="4" t="n">
        <v>8</v>
      </c>
      <c r="O91" s="6" t="n">
        <f aca="false">IF(C91="롱",(J91-E91)/E91,(E91-J91)/E91)</f>
        <v>0.0327140549273021</v>
      </c>
    </row>
    <row r="92" customFormat="false" ht="17.15" hidden="false" customHeight="false" outlineLevel="0" collapsed="false">
      <c r="A92" s="4" t="n">
        <v>3</v>
      </c>
      <c r="B92" s="4" t="s">
        <v>16</v>
      </c>
      <c r="C92" s="8" t="s">
        <v>72</v>
      </c>
      <c r="D92" s="21" t="n">
        <v>38439</v>
      </c>
      <c r="E92" s="22" t="n">
        <v>126.72</v>
      </c>
      <c r="F92" s="21" t="n">
        <v>38440</v>
      </c>
      <c r="G92" s="22" t="n">
        <v>126.65</v>
      </c>
      <c r="H92" s="22" t="n">
        <v>116.02</v>
      </c>
      <c r="I92" s="21" t="n">
        <v>38440</v>
      </c>
      <c r="J92" s="22" t="n">
        <v>124.13</v>
      </c>
      <c r="K92" s="21" t="n">
        <v>38441</v>
      </c>
      <c r="L92" s="22" t="n">
        <v>123.26</v>
      </c>
      <c r="M92" s="8" t="s">
        <v>73</v>
      </c>
      <c r="N92" s="4" t="n">
        <v>1</v>
      </c>
      <c r="O92" s="6" t="n">
        <f aca="false">IF(C92="롱",(J92-E92)/E92,(E92-J92)/E92)</f>
        <v>-0.0204387626262627</v>
      </c>
    </row>
    <row r="93" customFormat="false" ht="17.15" hidden="false" customHeight="false" outlineLevel="0" collapsed="false">
      <c r="A93" s="4" t="n">
        <v>3</v>
      </c>
      <c r="B93" s="4" t="s">
        <v>16</v>
      </c>
      <c r="C93" s="8" t="s">
        <v>72</v>
      </c>
      <c r="D93" s="21" t="n">
        <v>38443</v>
      </c>
      <c r="E93" s="22" t="n">
        <v>126.88</v>
      </c>
      <c r="F93" s="21" t="n">
        <v>38446</v>
      </c>
      <c r="G93" s="22" t="n">
        <v>126.77</v>
      </c>
      <c r="H93" s="22" t="n">
        <v>115.54</v>
      </c>
      <c r="I93" s="21" t="n">
        <v>38456</v>
      </c>
      <c r="J93" s="22" t="n">
        <v>123.29</v>
      </c>
      <c r="K93" s="21" t="n">
        <v>38457</v>
      </c>
      <c r="L93" s="22" t="n">
        <v>123.49</v>
      </c>
      <c r="M93" s="8" t="s">
        <v>73</v>
      </c>
      <c r="N93" s="4" t="n">
        <v>8</v>
      </c>
      <c r="O93" s="6" t="n">
        <f aca="false">IF(C93="롱",(J93-E93)/E93,(E93-J93)/E93)</f>
        <v>-0.0282944514501891</v>
      </c>
    </row>
    <row r="94" customFormat="false" ht="17.15" hidden="false" customHeight="false" outlineLevel="0" collapsed="false">
      <c r="A94" s="4" t="n">
        <v>1</v>
      </c>
      <c r="B94" s="4" t="s">
        <v>12</v>
      </c>
      <c r="C94" s="8" t="s">
        <v>72</v>
      </c>
      <c r="D94" s="21" t="n">
        <v>38449</v>
      </c>
      <c r="E94" s="22" t="n">
        <v>127.92</v>
      </c>
      <c r="F94" s="21" t="n">
        <v>38450</v>
      </c>
      <c r="G94" s="22" t="n">
        <v>128.86</v>
      </c>
      <c r="H94" s="22" t="n">
        <v>117.44</v>
      </c>
      <c r="I94" s="21" t="n">
        <v>38456</v>
      </c>
      <c r="J94" s="22" t="n">
        <v>123.29</v>
      </c>
      <c r="K94" s="21" t="n">
        <v>38457</v>
      </c>
      <c r="L94" s="22" t="n">
        <v>123.49</v>
      </c>
      <c r="M94" s="8" t="s">
        <v>73</v>
      </c>
      <c r="N94" s="4" t="n">
        <v>5</v>
      </c>
      <c r="O94" s="6" t="n">
        <f aca="false">IF(C94="롱",(J94-E94)/E94,(E94-J94)/E94)</f>
        <v>-0.0361944965603502</v>
      </c>
    </row>
    <row r="95" customFormat="false" ht="17.15" hidden="false" customHeight="false" outlineLevel="0" collapsed="false">
      <c r="A95" s="4" t="n">
        <v>6</v>
      </c>
      <c r="B95" s="4" t="s">
        <v>22</v>
      </c>
      <c r="C95" s="8" t="s">
        <v>72</v>
      </c>
      <c r="D95" s="21" t="n">
        <v>38449</v>
      </c>
      <c r="E95" s="22" t="n">
        <v>127.92</v>
      </c>
      <c r="F95" s="21" t="n">
        <v>38450</v>
      </c>
      <c r="G95" s="22" t="n">
        <v>128.86</v>
      </c>
      <c r="H95" s="22" t="n">
        <v>117.44</v>
      </c>
      <c r="I95" s="21" t="n">
        <v>38453</v>
      </c>
      <c r="J95" s="22" t="n">
        <v>127.59</v>
      </c>
      <c r="K95" s="21" t="n">
        <v>38454</v>
      </c>
      <c r="L95" s="22" t="n">
        <v>127.23</v>
      </c>
      <c r="M95" s="8" t="s">
        <v>73</v>
      </c>
      <c r="N95" s="4" t="n">
        <v>2</v>
      </c>
      <c r="O95" s="6" t="n">
        <f aca="false">IF(C95="롱",(J95-E95)/E95,(E95-J95)/E95)</f>
        <v>-0.00257973733583488</v>
      </c>
    </row>
    <row r="96" customFormat="false" ht="17.15" hidden="false" customHeight="false" outlineLevel="0" collapsed="false">
      <c r="A96" s="4" t="n">
        <v>4</v>
      </c>
      <c r="B96" s="4" t="s">
        <v>18</v>
      </c>
      <c r="C96" s="8" t="s">
        <v>72</v>
      </c>
      <c r="D96" s="21" t="n">
        <v>38450</v>
      </c>
      <c r="E96" s="22" t="n">
        <v>128.44</v>
      </c>
      <c r="F96" s="21" t="n">
        <v>38453</v>
      </c>
      <c r="G96" s="22" t="n">
        <v>127.95</v>
      </c>
      <c r="H96" s="22" t="n">
        <v>118.19</v>
      </c>
      <c r="I96" s="21" t="n">
        <v>38457</v>
      </c>
      <c r="J96" s="22" t="n">
        <v>122.41</v>
      </c>
      <c r="K96" s="21" t="n">
        <v>38460</v>
      </c>
      <c r="L96" s="22" t="n">
        <v>120.27</v>
      </c>
      <c r="M96" s="8" t="s">
        <v>73</v>
      </c>
      <c r="N96" s="4" t="n">
        <v>5</v>
      </c>
      <c r="O96" s="6" t="n">
        <f aca="false">IF(C96="롱",(J96-E96)/E96,(E96-J96)/E96)</f>
        <v>-0.0469479912799751</v>
      </c>
    </row>
    <row r="97" customFormat="false" ht="17.15" hidden="false" customHeight="false" outlineLevel="0" collapsed="false">
      <c r="A97" s="4" t="n">
        <v>2</v>
      </c>
      <c r="B97" s="4" t="s">
        <v>14</v>
      </c>
      <c r="C97" s="8" t="s">
        <v>72</v>
      </c>
      <c r="D97" s="21" t="n">
        <v>38457</v>
      </c>
      <c r="E97" s="22" t="n">
        <v>122.41</v>
      </c>
      <c r="F97" s="21" t="n">
        <v>38460</v>
      </c>
      <c r="G97" s="22" t="n">
        <v>120.27</v>
      </c>
      <c r="H97" s="22" t="n">
        <v>113.06</v>
      </c>
      <c r="I97" s="21" t="n">
        <v>38491</v>
      </c>
      <c r="J97" s="22" t="n">
        <v>123.04</v>
      </c>
      <c r="K97" s="21" t="n">
        <v>38492</v>
      </c>
      <c r="L97" s="22" t="n">
        <v>123.35</v>
      </c>
      <c r="M97" s="8" t="s">
        <v>73</v>
      </c>
      <c r="N97" s="4" t="n">
        <v>23</v>
      </c>
      <c r="O97" s="6" t="n">
        <f aca="false">IF(C97="롱",(J97-E97)/E97,(E97-J97)/E97)</f>
        <v>0.0051466383465404</v>
      </c>
    </row>
    <row r="98" customFormat="false" ht="17.15" hidden="false" customHeight="false" outlineLevel="0" collapsed="false">
      <c r="A98" s="4" t="n">
        <v>7</v>
      </c>
      <c r="B98" s="4" t="s">
        <v>24</v>
      </c>
      <c r="C98" s="8" t="s">
        <v>72</v>
      </c>
      <c r="D98" s="21" t="n">
        <v>38460</v>
      </c>
      <c r="E98" s="22" t="n">
        <v>119.76</v>
      </c>
      <c r="F98" s="21" t="n">
        <v>38461</v>
      </c>
      <c r="G98" s="22" t="n">
        <v>120.64</v>
      </c>
      <c r="H98" s="22" t="n">
        <v>109.85</v>
      </c>
      <c r="I98" s="21" t="n">
        <v>38470</v>
      </c>
      <c r="J98" s="22" t="n">
        <v>118.36</v>
      </c>
      <c r="K98" s="21" t="n">
        <v>38471</v>
      </c>
      <c r="L98" s="22" t="n">
        <v>117.06</v>
      </c>
      <c r="M98" s="8" t="s">
        <v>73</v>
      </c>
      <c r="N98" s="4" t="n">
        <v>8</v>
      </c>
      <c r="O98" s="6" t="n">
        <f aca="false">IF(C98="롱",(J98-E98)/E98,(E98-J98)/E98)</f>
        <v>-0.0116900467601871</v>
      </c>
    </row>
    <row r="99" customFormat="false" ht="17.15" hidden="false" customHeight="false" outlineLevel="0" collapsed="false">
      <c r="A99" s="4" t="n">
        <v>7</v>
      </c>
      <c r="B99" s="4" t="s">
        <v>24</v>
      </c>
      <c r="C99" s="8" t="s">
        <v>72</v>
      </c>
      <c r="D99" s="21" t="n">
        <v>38471</v>
      </c>
      <c r="E99" s="22" t="n">
        <v>117.58</v>
      </c>
      <c r="F99" s="21" t="n">
        <v>38474</v>
      </c>
      <c r="G99" s="22" t="n">
        <v>118.29</v>
      </c>
      <c r="H99" s="22" t="n">
        <v>107.9</v>
      </c>
      <c r="I99" s="21" t="n">
        <v>38491</v>
      </c>
      <c r="J99" s="22" t="n">
        <v>123.04</v>
      </c>
      <c r="K99" s="21" t="n">
        <v>38492</v>
      </c>
      <c r="L99" s="22" t="n">
        <v>123.35</v>
      </c>
      <c r="M99" s="8" t="s">
        <v>73</v>
      </c>
      <c r="N99" s="4" t="n">
        <v>13</v>
      </c>
      <c r="O99" s="6" t="n">
        <f aca="false">IF(C99="롱",(J99-E99)/E99,(E99-J99)/E99)</f>
        <v>0.0464364687872088</v>
      </c>
    </row>
    <row r="100" customFormat="false" ht="17.15" hidden="false" customHeight="false" outlineLevel="0" collapsed="false">
      <c r="A100" s="4" t="n">
        <v>1</v>
      </c>
      <c r="B100" s="4" t="s">
        <v>12</v>
      </c>
      <c r="C100" s="8" t="s">
        <v>72</v>
      </c>
      <c r="D100" s="21" t="n">
        <v>38481</v>
      </c>
      <c r="E100" s="22" t="n">
        <v>120.48</v>
      </c>
      <c r="F100" s="21" t="n">
        <v>38482</v>
      </c>
      <c r="G100" s="22" t="n">
        <v>121.01</v>
      </c>
      <c r="H100" s="22" t="n">
        <v>110.59</v>
      </c>
      <c r="I100" s="21" t="n">
        <v>38530</v>
      </c>
      <c r="J100" s="22" t="n">
        <v>127.45</v>
      </c>
      <c r="K100" s="21" t="n">
        <v>38531</v>
      </c>
      <c r="L100" s="22" t="n">
        <v>127.23</v>
      </c>
      <c r="M100" s="8" t="s">
        <v>73</v>
      </c>
      <c r="N100" s="4" t="n">
        <v>34</v>
      </c>
      <c r="O100" s="6" t="n">
        <f aca="false">IF(C100="롱",(J100-E100)/E100,(E100-J100)/E100)</f>
        <v>0.0578519256308101</v>
      </c>
    </row>
    <row r="101" customFormat="false" ht="17.15" hidden="false" customHeight="false" outlineLevel="0" collapsed="false">
      <c r="A101" s="4" t="n">
        <v>1</v>
      </c>
      <c r="B101" s="4" t="s">
        <v>12</v>
      </c>
      <c r="C101" s="8" t="s">
        <v>72</v>
      </c>
      <c r="D101" s="21" t="n">
        <v>38537</v>
      </c>
      <c r="E101" s="22" t="n">
        <v>130.95</v>
      </c>
      <c r="F101" s="21" t="n">
        <v>38538</v>
      </c>
      <c r="G101" s="22" t="n">
        <v>131.12</v>
      </c>
      <c r="H101" s="22" t="n">
        <v>122.91</v>
      </c>
      <c r="I101" s="21" t="n">
        <v>38569</v>
      </c>
      <c r="J101" s="22" t="n">
        <v>140.7</v>
      </c>
      <c r="K101" s="21" t="n">
        <v>38572</v>
      </c>
      <c r="L101" s="22" t="n">
        <v>139.78</v>
      </c>
      <c r="M101" s="8" t="s">
        <v>73</v>
      </c>
      <c r="N101" s="4" t="n">
        <v>24</v>
      </c>
      <c r="O101" s="6" t="n">
        <f aca="false">IF(C101="롱",(J101-E101)/E101,(E101-J101)/E101)</f>
        <v>0.0744558991981673</v>
      </c>
    </row>
    <row r="102" customFormat="false" ht="17.15" hidden="false" customHeight="false" outlineLevel="0" collapsed="false">
      <c r="A102" s="4" t="n">
        <v>6</v>
      </c>
      <c r="B102" s="4" t="s">
        <v>22</v>
      </c>
      <c r="C102" s="8" t="s">
        <v>72</v>
      </c>
      <c r="D102" s="21" t="n">
        <v>38537</v>
      </c>
      <c r="E102" s="22" t="n">
        <v>130.95</v>
      </c>
      <c r="F102" s="21" t="n">
        <v>38538</v>
      </c>
      <c r="G102" s="22" t="n">
        <v>131.12</v>
      </c>
      <c r="H102" s="22" t="n">
        <v>122.91</v>
      </c>
      <c r="I102" s="21" t="n">
        <v>38568</v>
      </c>
      <c r="J102" s="22" t="n">
        <v>143.52</v>
      </c>
      <c r="K102" s="21" t="n">
        <v>38569</v>
      </c>
      <c r="L102" s="22" t="n">
        <v>141.9</v>
      </c>
      <c r="M102" s="8" t="s">
        <v>73</v>
      </c>
      <c r="N102" s="4" t="n">
        <v>23</v>
      </c>
      <c r="O102" s="6" t="n">
        <f aca="false">IF(C102="롱",(J102-E102)/E102,(E102-J102)/E102)</f>
        <v>0.0959908361970219</v>
      </c>
    </row>
    <row r="103" customFormat="false" ht="17.15" hidden="false" customHeight="false" outlineLevel="0" collapsed="false">
      <c r="A103" s="4" t="n">
        <v>10</v>
      </c>
      <c r="B103" s="4" t="s">
        <v>30</v>
      </c>
      <c r="C103" s="8" t="s">
        <v>72</v>
      </c>
      <c r="D103" s="21" t="n">
        <v>38586</v>
      </c>
      <c r="E103" s="22" t="n">
        <v>144.4</v>
      </c>
      <c r="F103" s="21" t="n">
        <v>38587</v>
      </c>
      <c r="G103" s="22" t="n">
        <v>144.61</v>
      </c>
      <c r="H103" s="22" t="n">
        <v>133.83</v>
      </c>
      <c r="I103" s="21" t="n">
        <v>38588</v>
      </c>
      <c r="J103" s="22" t="n">
        <v>141.27</v>
      </c>
      <c r="K103" s="21" t="n">
        <v>38589</v>
      </c>
      <c r="L103" s="22" t="n">
        <v>140.12</v>
      </c>
      <c r="M103" s="8" t="s">
        <v>73</v>
      </c>
      <c r="N103" s="4" t="n">
        <v>2</v>
      </c>
      <c r="O103" s="6" t="n">
        <f aca="false">IF(C103="롱",(J103-E103)/E103,(E103-J103)/E103)</f>
        <v>-0.0216759002770083</v>
      </c>
    </row>
    <row r="104" customFormat="false" ht="17.15" hidden="false" customHeight="false" outlineLevel="0" collapsed="false">
      <c r="A104" s="4" t="n">
        <v>2</v>
      </c>
      <c r="B104" s="4" t="s">
        <v>14</v>
      </c>
      <c r="C104" s="8" t="s">
        <v>72</v>
      </c>
      <c r="D104" s="21" t="n">
        <v>38593</v>
      </c>
      <c r="E104" s="22" t="n">
        <v>137.42</v>
      </c>
      <c r="F104" s="21" t="n">
        <v>38594</v>
      </c>
      <c r="G104" s="22" t="n">
        <v>138.93</v>
      </c>
      <c r="H104" s="22" t="n">
        <v>125.34</v>
      </c>
      <c r="I104" s="21" t="n">
        <v>38601</v>
      </c>
      <c r="J104" s="22" t="n">
        <v>145.21</v>
      </c>
      <c r="K104" s="21" t="n">
        <v>38602</v>
      </c>
      <c r="L104" s="22" t="n">
        <v>147.04</v>
      </c>
      <c r="M104" s="8" t="s">
        <v>73</v>
      </c>
      <c r="N104" s="4" t="n">
        <v>6</v>
      </c>
      <c r="O104" s="6" t="n">
        <f aca="false">IF(C104="롱",(J104-E104)/E104,(E104-J104)/E104)</f>
        <v>0.0566875272886044</v>
      </c>
    </row>
    <row r="105" customFormat="false" ht="17.15" hidden="false" customHeight="false" outlineLevel="0" collapsed="false">
      <c r="A105" s="4" t="n">
        <v>3</v>
      </c>
      <c r="B105" s="4" t="s">
        <v>16</v>
      </c>
      <c r="C105" s="8" t="s">
        <v>72</v>
      </c>
      <c r="D105" s="21" t="n">
        <v>38596</v>
      </c>
      <c r="E105" s="22" t="n">
        <v>143.13</v>
      </c>
      <c r="F105" s="21" t="n">
        <v>38597</v>
      </c>
      <c r="G105" s="22" t="n">
        <v>143.59</v>
      </c>
      <c r="H105" s="22" t="n">
        <v>129.93</v>
      </c>
      <c r="I105" s="21" t="n">
        <v>38615</v>
      </c>
      <c r="J105" s="22" t="n">
        <v>154.69</v>
      </c>
      <c r="K105" s="21" t="n">
        <v>38616</v>
      </c>
      <c r="L105" s="22" t="n">
        <v>154.31</v>
      </c>
      <c r="M105" s="8" t="s">
        <v>73</v>
      </c>
      <c r="N105" s="4" t="n">
        <v>12</v>
      </c>
      <c r="O105" s="6" t="n">
        <f aca="false">IF(C105="롱",(J105-E105)/E105,(E105-J105)/E105)</f>
        <v>0.0807657374414868</v>
      </c>
    </row>
    <row r="106" customFormat="false" ht="17.15" hidden="false" customHeight="false" outlineLevel="0" collapsed="false">
      <c r="A106" s="4" t="n">
        <v>1</v>
      </c>
      <c r="B106" s="4" t="s">
        <v>12</v>
      </c>
      <c r="C106" s="8" t="s">
        <v>72</v>
      </c>
      <c r="D106" s="21" t="n">
        <v>38601</v>
      </c>
      <c r="E106" s="22" t="n">
        <v>145.21</v>
      </c>
      <c r="F106" s="21" t="n">
        <v>38602</v>
      </c>
      <c r="G106" s="22" t="n">
        <v>147.04</v>
      </c>
      <c r="H106" s="22" t="n">
        <v>132.22</v>
      </c>
      <c r="I106" s="21" t="n">
        <v>38631</v>
      </c>
      <c r="J106" s="22" t="n">
        <v>154.65</v>
      </c>
      <c r="K106" s="21" t="n">
        <v>38632</v>
      </c>
      <c r="L106" s="22" t="n">
        <v>153.67</v>
      </c>
      <c r="M106" s="8" t="s">
        <v>73</v>
      </c>
      <c r="N106" s="4" t="n">
        <v>20</v>
      </c>
      <c r="O106" s="6" t="n">
        <f aca="false">IF(C106="롱",(J106-E106)/E106,(E106-J106)/E106)</f>
        <v>0.0650092968803801</v>
      </c>
    </row>
    <row r="107" customFormat="false" ht="17.15" hidden="false" customHeight="false" outlineLevel="0" collapsed="false">
      <c r="A107" s="4" t="n">
        <v>4</v>
      </c>
      <c r="B107" s="4" t="s">
        <v>18</v>
      </c>
      <c r="C107" s="8" t="s">
        <v>72</v>
      </c>
      <c r="D107" s="21" t="n">
        <v>38601</v>
      </c>
      <c r="E107" s="22" t="n">
        <v>145.21</v>
      </c>
      <c r="F107" s="21" t="n">
        <v>38602</v>
      </c>
      <c r="G107" s="22" t="n">
        <v>147.04</v>
      </c>
      <c r="H107" s="22" t="n">
        <v>132.22</v>
      </c>
      <c r="I107" s="21" t="n">
        <v>38642</v>
      </c>
      <c r="J107" s="22" t="n">
        <v>150.85</v>
      </c>
      <c r="K107" s="21" t="n">
        <v>38643</v>
      </c>
      <c r="L107" s="22" t="n">
        <v>151.67</v>
      </c>
      <c r="M107" s="8" t="s">
        <v>73</v>
      </c>
      <c r="N107" s="4" t="n">
        <v>27</v>
      </c>
      <c r="O107" s="6" t="n">
        <f aca="false">IF(C107="롱",(J107-E107)/E107,(E107-J107)/E107)</f>
        <v>0.0388403002548033</v>
      </c>
    </row>
    <row r="108" customFormat="false" ht="17.15" hidden="false" customHeight="false" outlineLevel="0" collapsed="false">
      <c r="A108" s="4" t="n">
        <v>6</v>
      </c>
      <c r="B108" s="4" t="s">
        <v>22</v>
      </c>
      <c r="C108" s="8" t="s">
        <v>72</v>
      </c>
      <c r="D108" s="21" t="n">
        <v>38603</v>
      </c>
      <c r="E108" s="22" t="n">
        <v>148.41</v>
      </c>
      <c r="F108" s="21" t="n">
        <v>38604</v>
      </c>
      <c r="G108" s="22" t="n">
        <v>148.47</v>
      </c>
      <c r="H108" s="22" t="n">
        <v>135.27</v>
      </c>
      <c r="I108" s="21" t="n">
        <v>38618</v>
      </c>
      <c r="J108" s="22" t="n">
        <v>152.39</v>
      </c>
      <c r="K108" s="21" t="n">
        <v>38621</v>
      </c>
      <c r="L108" s="22" t="n">
        <v>153.2</v>
      </c>
      <c r="M108" s="8" t="s">
        <v>73</v>
      </c>
      <c r="N108" s="4" t="n">
        <v>10</v>
      </c>
      <c r="O108" s="6" t="n">
        <f aca="false">IF(C108="롱",(J108-E108)/E108,(E108-J108)/E108)</f>
        <v>0.0268175998921905</v>
      </c>
    </row>
    <row r="109" customFormat="false" ht="17.15" hidden="false" customHeight="false" outlineLevel="0" collapsed="false">
      <c r="A109" s="4" t="n">
        <v>6</v>
      </c>
      <c r="B109" s="4" t="s">
        <v>22</v>
      </c>
      <c r="C109" s="8" t="s">
        <v>72</v>
      </c>
      <c r="D109" s="21" t="n">
        <v>38623</v>
      </c>
      <c r="E109" s="22" t="n">
        <v>158.88</v>
      </c>
      <c r="F109" s="21" t="n">
        <v>38624</v>
      </c>
      <c r="G109" s="22" t="n">
        <v>159.05</v>
      </c>
      <c r="H109" s="22" t="n">
        <v>147.25</v>
      </c>
      <c r="I109" s="21" t="n">
        <v>38625</v>
      </c>
      <c r="J109" s="22" t="n">
        <v>157.55</v>
      </c>
      <c r="K109" s="21" t="n">
        <v>38629</v>
      </c>
      <c r="L109" s="22" t="n">
        <v>158.49</v>
      </c>
      <c r="M109" s="8" t="s">
        <v>73</v>
      </c>
      <c r="N109" s="4" t="n">
        <v>2</v>
      </c>
      <c r="O109" s="6" t="n">
        <f aca="false">IF(C109="롱",(J109-E109)/E109,(E109-J109)/E109)</f>
        <v>-0.00837109768378641</v>
      </c>
    </row>
    <row r="110" customFormat="false" ht="17.15" hidden="false" customHeight="false" outlineLevel="0" collapsed="false">
      <c r="A110" s="4" t="n">
        <v>2</v>
      </c>
      <c r="B110" s="4" t="s">
        <v>14</v>
      </c>
      <c r="C110" s="8" t="s">
        <v>72</v>
      </c>
      <c r="D110" s="21" t="n">
        <v>38644</v>
      </c>
      <c r="E110" s="22" t="n">
        <v>148.11</v>
      </c>
      <c r="F110" s="21" t="n">
        <v>38645</v>
      </c>
      <c r="G110" s="22" t="n">
        <v>150.39</v>
      </c>
      <c r="H110" s="22" t="n">
        <v>133.3</v>
      </c>
      <c r="I110" s="21" t="n">
        <v>38658</v>
      </c>
      <c r="J110" s="22" t="n">
        <v>155.6</v>
      </c>
      <c r="K110" s="21" t="n">
        <v>38659</v>
      </c>
      <c r="L110" s="22" t="n">
        <v>157.21</v>
      </c>
      <c r="M110" s="8" t="s">
        <v>73</v>
      </c>
      <c r="N110" s="4" t="n">
        <v>10</v>
      </c>
      <c r="O110" s="6" t="n">
        <f aca="false">IF(C110="롱",(J110-E110)/E110,(E110-J110)/E110)</f>
        <v>0.0505705219093915</v>
      </c>
    </row>
    <row r="111" customFormat="false" ht="17.15" hidden="false" customHeight="false" outlineLevel="0" collapsed="false">
      <c r="A111" s="4" t="n">
        <v>3</v>
      </c>
      <c r="B111" s="4" t="s">
        <v>16</v>
      </c>
      <c r="C111" s="8" t="s">
        <v>72</v>
      </c>
      <c r="D111" s="21" t="n">
        <v>38657</v>
      </c>
      <c r="E111" s="22" t="n">
        <v>152.98</v>
      </c>
      <c r="F111" s="21" t="n">
        <v>38658</v>
      </c>
      <c r="G111" s="22" t="n">
        <v>153.8</v>
      </c>
      <c r="H111" s="22" t="n">
        <v>137.68</v>
      </c>
      <c r="I111" s="21" t="n">
        <v>38713</v>
      </c>
      <c r="J111" s="22" t="n">
        <v>177.2</v>
      </c>
      <c r="K111" s="21" t="n">
        <v>38714</v>
      </c>
      <c r="L111" s="22" t="n">
        <v>174.94</v>
      </c>
      <c r="M111" s="8" t="s">
        <v>73</v>
      </c>
      <c r="N111" s="4" t="n">
        <v>40</v>
      </c>
      <c r="O111" s="6" t="n">
        <f aca="false">IF(C111="롱",(J111-E111)/E111,(E111-J111)/E111)</f>
        <v>0.158321349195973</v>
      </c>
    </row>
    <row r="112" customFormat="false" ht="17.15" hidden="false" customHeight="false" outlineLevel="0" collapsed="false">
      <c r="A112" s="4" t="n">
        <v>5</v>
      </c>
      <c r="B112" s="4" t="s">
        <v>20</v>
      </c>
      <c r="C112" s="8" t="s">
        <v>72</v>
      </c>
      <c r="D112" s="21" t="n">
        <v>38657</v>
      </c>
      <c r="E112" s="22" t="n">
        <v>152.98</v>
      </c>
      <c r="F112" s="21" t="n">
        <v>38658</v>
      </c>
      <c r="G112" s="22" t="n">
        <v>153.8</v>
      </c>
      <c r="H112" s="22" t="n">
        <v>137.68</v>
      </c>
      <c r="I112" s="21" t="n">
        <v>38740</v>
      </c>
      <c r="J112" s="22" t="n">
        <v>168.04</v>
      </c>
      <c r="K112" s="21" t="n">
        <v>38741</v>
      </c>
      <c r="L112" s="22" t="n">
        <v>169.39</v>
      </c>
      <c r="M112" s="8" t="s">
        <v>73</v>
      </c>
      <c r="N112" s="4" t="n">
        <v>58</v>
      </c>
      <c r="O112" s="6" t="n">
        <f aca="false">IF(C112="롱",(J112-E112)/E112,(E112-J112)/E112)</f>
        <v>0.098444241077265</v>
      </c>
    </row>
    <row r="113" customFormat="false" ht="17.15" hidden="false" customHeight="false" outlineLevel="0" collapsed="false">
      <c r="A113" s="4" t="n">
        <v>1</v>
      </c>
      <c r="B113" s="4" t="s">
        <v>12</v>
      </c>
      <c r="C113" s="8" t="s">
        <v>72</v>
      </c>
      <c r="D113" s="21" t="n">
        <v>38659</v>
      </c>
      <c r="E113" s="22" t="n">
        <v>156.89</v>
      </c>
      <c r="F113" s="21" t="n">
        <v>38660</v>
      </c>
      <c r="G113" s="22" t="n">
        <v>157.53</v>
      </c>
      <c r="H113" s="22" t="n">
        <v>141.2</v>
      </c>
      <c r="I113" s="21" t="n">
        <v>38702</v>
      </c>
      <c r="J113" s="22" t="n">
        <v>169.45</v>
      </c>
      <c r="K113" s="21" t="n">
        <v>38705</v>
      </c>
      <c r="L113" s="22" t="n">
        <v>170.07</v>
      </c>
      <c r="M113" s="8" t="s">
        <v>73</v>
      </c>
      <c r="N113" s="4" t="n">
        <v>31</v>
      </c>
      <c r="O113" s="6" t="n">
        <f aca="false">IF(C113="롱",(J113-E113)/E113,(E113-J113)/E113)</f>
        <v>0.0800560902543183</v>
      </c>
    </row>
    <row r="114" customFormat="false" ht="17.15" hidden="false" customHeight="false" outlineLevel="0" collapsed="false">
      <c r="A114" s="4" t="n">
        <v>6</v>
      </c>
      <c r="B114" s="4" t="s">
        <v>22</v>
      </c>
      <c r="C114" s="8" t="s">
        <v>72</v>
      </c>
      <c r="D114" s="21" t="n">
        <v>38659</v>
      </c>
      <c r="E114" s="22" t="n">
        <v>156.89</v>
      </c>
      <c r="F114" s="21" t="n">
        <v>38660</v>
      </c>
      <c r="G114" s="22" t="n">
        <v>157.53</v>
      </c>
      <c r="H114" s="22" t="n">
        <v>141.2</v>
      </c>
      <c r="I114" s="21" t="n">
        <v>38678</v>
      </c>
      <c r="J114" s="22" t="n">
        <v>159.68</v>
      </c>
      <c r="K114" s="21" t="n">
        <v>38679</v>
      </c>
      <c r="L114" s="22" t="n">
        <v>160.61</v>
      </c>
      <c r="M114" s="8" t="s">
        <v>73</v>
      </c>
      <c r="N114" s="4" t="n">
        <v>13</v>
      </c>
      <c r="O114" s="6" t="n">
        <f aca="false">IF(C114="롱",(J114-E114)/E114,(E114-J114)/E114)</f>
        <v>0.0177831601759196</v>
      </c>
    </row>
    <row r="115" customFormat="false" ht="17.15" hidden="false" customHeight="false" outlineLevel="0" collapsed="false">
      <c r="A115" s="4" t="n">
        <v>4</v>
      </c>
      <c r="B115" s="4" t="s">
        <v>18</v>
      </c>
      <c r="C115" s="8" t="s">
        <v>72</v>
      </c>
      <c r="D115" s="21" t="n">
        <v>38660</v>
      </c>
      <c r="E115" s="22" t="n">
        <v>157.28</v>
      </c>
      <c r="F115" s="21" t="n">
        <v>38663</v>
      </c>
      <c r="G115" s="22" t="n">
        <v>157.88</v>
      </c>
      <c r="H115" s="22" t="n">
        <v>141.55</v>
      </c>
      <c r="I115" s="21" t="n">
        <v>38737</v>
      </c>
      <c r="J115" s="22" t="n">
        <v>170.6</v>
      </c>
      <c r="K115" s="21" t="n">
        <v>38740</v>
      </c>
      <c r="L115" s="22" t="n">
        <v>168.55</v>
      </c>
      <c r="M115" s="8" t="s">
        <v>73</v>
      </c>
      <c r="N115" s="4" t="n">
        <v>54</v>
      </c>
      <c r="O115" s="6" t="n">
        <f aca="false">IF(C115="롱",(J115-E115)/E115,(E115-J115)/E115)</f>
        <v>0.0846897253306205</v>
      </c>
    </row>
    <row r="116" customFormat="false" ht="17.15" hidden="false" customHeight="false" outlineLevel="0" collapsed="false">
      <c r="A116" s="4" t="n">
        <v>6</v>
      </c>
      <c r="B116" s="4" t="s">
        <v>22</v>
      </c>
      <c r="C116" s="8" t="s">
        <v>72</v>
      </c>
      <c r="D116" s="21" t="n">
        <v>38688</v>
      </c>
      <c r="E116" s="22" t="n">
        <v>167.56</v>
      </c>
      <c r="F116" s="21" t="n">
        <v>38691</v>
      </c>
      <c r="G116" s="22" t="n">
        <v>167.84</v>
      </c>
      <c r="H116" s="22" t="n">
        <v>155.26</v>
      </c>
      <c r="I116" s="21" t="n">
        <v>38695</v>
      </c>
      <c r="J116" s="22" t="n">
        <v>169.16</v>
      </c>
      <c r="K116" s="21" t="n">
        <v>38698</v>
      </c>
      <c r="L116" s="22" t="n">
        <v>169.7</v>
      </c>
      <c r="M116" s="8" t="s">
        <v>73</v>
      </c>
      <c r="N116" s="4" t="n">
        <v>5</v>
      </c>
      <c r="O116" s="6" t="n">
        <f aca="false">IF(C116="롱",(J116-E116)/E116,(E116-J116)/E116)</f>
        <v>0.00954881833373117</v>
      </c>
    </row>
    <row r="117" customFormat="false" ht="17.15" hidden="false" customHeight="false" outlineLevel="0" collapsed="false">
      <c r="A117" s="4" t="n">
        <v>1</v>
      </c>
      <c r="B117" s="4" t="s">
        <v>12</v>
      </c>
      <c r="C117" s="8" t="s">
        <v>72</v>
      </c>
      <c r="D117" s="21" t="n">
        <v>38709</v>
      </c>
      <c r="E117" s="22" t="n">
        <v>175.11</v>
      </c>
      <c r="F117" s="21" t="n">
        <v>38712</v>
      </c>
      <c r="G117" s="22" t="n">
        <v>175.74</v>
      </c>
      <c r="H117" s="22" t="n">
        <v>163.65</v>
      </c>
      <c r="I117" s="21" t="n">
        <v>38727</v>
      </c>
      <c r="J117" s="22" t="n">
        <v>178.98</v>
      </c>
      <c r="K117" s="21" t="n">
        <v>38728</v>
      </c>
      <c r="L117" s="22" t="n">
        <v>178.67</v>
      </c>
      <c r="M117" s="8" t="s">
        <v>73</v>
      </c>
      <c r="N117" s="4" t="n">
        <v>11</v>
      </c>
      <c r="O117" s="6" t="n">
        <f aca="false">IF(C117="롱",(J117-E117)/E117,(E117-J117)/E117)</f>
        <v>0.0221003940380331</v>
      </c>
    </row>
    <row r="118" customFormat="false" ht="17.15" hidden="false" customHeight="false" outlineLevel="0" collapsed="false">
      <c r="A118" s="4" t="n">
        <v>6</v>
      </c>
      <c r="B118" s="4" t="s">
        <v>22</v>
      </c>
      <c r="C118" s="8" t="s">
        <v>72</v>
      </c>
      <c r="D118" s="21" t="n">
        <v>38713</v>
      </c>
      <c r="E118" s="22" t="n">
        <v>177.2</v>
      </c>
      <c r="F118" s="21" t="n">
        <v>38714</v>
      </c>
      <c r="G118" s="22" t="n">
        <v>174.94</v>
      </c>
      <c r="H118" s="22" t="n">
        <v>166.11</v>
      </c>
      <c r="I118" s="21" t="n">
        <v>38727</v>
      </c>
      <c r="J118" s="22" t="n">
        <v>178.98</v>
      </c>
      <c r="K118" s="21" t="n">
        <v>38728</v>
      </c>
      <c r="L118" s="22" t="n">
        <v>178.67</v>
      </c>
      <c r="M118" s="8" t="s">
        <v>73</v>
      </c>
      <c r="N118" s="4" t="n">
        <v>9</v>
      </c>
      <c r="O118" s="6" t="n">
        <f aca="false">IF(C118="롱",(J118-E118)/E118,(E118-J118)/E118)</f>
        <v>0.0100451467268623</v>
      </c>
    </row>
    <row r="119" customFormat="false" ht="17.15" hidden="false" customHeight="false" outlineLevel="0" collapsed="false">
      <c r="A119" s="4" t="n">
        <v>2</v>
      </c>
      <c r="B119" s="4" t="s">
        <v>14</v>
      </c>
      <c r="C119" s="8" t="s">
        <v>72</v>
      </c>
      <c r="D119" s="21" t="n">
        <v>38737</v>
      </c>
      <c r="E119" s="22" t="n">
        <v>170.6</v>
      </c>
      <c r="F119" s="21" t="n">
        <v>38740</v>
      </c>
      <c r="G119" s="22" t="n">
        <v>168.55</v>
      </c>
      <c r="H119" s="22" t="n">
        <v>155.93</v>
      </c>
      <c r="I119" s="21" t="n">
        <v>38771</v>
      </c>
      <c r="J119" s="22" t="n">
        <v>176.18</v>
      </c>
      <c r="K119" s="21" t="n">
        <v>38772</v>
      </c>
      <c r="L119" s="22" t="n">
        <v>176.61</v>
      </c>
      <c r="M119" s="8" t="s">
        <v>73</v>
      </c>
      <c r="N119" s="4" t="n">
        <v>23</v>
      </c>
      <c r="O119" s="6" t="n">
        <f aca="false">IF(C119="롱",(J119-E119)/E119,(E119-J119)/E119)</f>
        <v>0.0327080890973037</v>
      </c>
    </row>
    <row r="120" customFormat="false" ht="17.15" hidden="false" customHeight="false" outlineLevel="0" collapsed="false">
      <c r="A120" s="4" t="n">
        <v>5</v>
      </c>
      <c r="B120" s="4" t="s">
        <v>20</v>
      </c>
      <c r="C120" s="8" t="s">
        <v>72</v>
      </c>
      <c r="D120" s="21" t="n">
        <v>38741</v>
      </c>
      <c r="E120" s="22" t="n">
        <v>171.79</v>
      </c>
      <c r="F120" s="21" t="n">
        <v>38742</v>
      </c>
      <c r="G120" s="22" t="n">
        <v>173.56</v>
      </c>
      <c r="H120" s="22" t="n">
        <v>155.66</v>
      </c>
      <c r="I120" s="21" t="n">
        <v>38756</v>
      </c>
      <c r="J120" s="22" t="n">
        <v>169.44</v>
      </c>
      <c r="K120" s="21" t="n">
        <v>38757</v>
      </c>
      <c r="L120" s="22" t="n">
        <v>171.5</v>
      </c>
      <c r="M120" s="8" t="s">
        <v>73</v>
      </c>
      <c r="N120" s="4" t="n">
        <v>10</v>
      </c>
      <c r="O120" s="6" t="n">
        <f aca="false">IF(C120="롱",(J120-E120)/E120,(E120-J120)/E120)</f>
        <v>-0.0136794924035159</v>
      </c>
    </row>
    <row r="121" customFormat="false" ht="17.15" hidden="false" customHeight="false" outlineLevel="0" collapsed="false">
      <c r="A121" s="4" t="n">
        <v>3</v>
      </c>
      <c r="B121" s="4" t="s">
        <v>16</v>
      </c>
      <c r="C121" s="8" t="s">
        <v>72</v>
      </c>
      <c r="D121" s="21" t="n">
        <v>38743</v>
      </c>
      <c r="E121" s="22" t="n">
        <v>174.71</v>
      </c>
      <c r="F121" s="21" t="n">
        <v>38744</v>
      </c>
      <c r="G121" s="22" t="n">
        <v>176.69</v>
      </c>
      <c r="H121" s="22" t="n">
        <v>158.1</v>
      </c>
      <c r="I121" s="21" t="n">
        <v>38755</v>
      </c>
      <c r="J121" s="22" t="n">
        <v>172.39</v>
      </c>
      <c r="K121" s="21" t="n">
        <v>38756</v>
      </c>
      <c r="L121" s="22" t="n">
        <v>171.5</v>
      </c>
      <c r="M121" s="8" t="s">
        <v>73</v>
      </c>
      <c r="N121" s="4" t="n">
        <v>7</v>
      </c>
      <c r="O121" s="6" t="n">
        <f aca="false">IF(C121="롱",(J121-E121)/E121,(E121-J121)/E121)</f>
        <v>-0.0132791483029021</v>
      </c>
    </row>
    <row r="122" customFormat="false" ht="17.15" hidden="false" customHeight="false" outlineLevel="0" collapsed="false">
      <c r="A122" s="4" t="n">
        <v>1</v>
      </c>
      <c r="B122" s="4" t="s">
        <v>12</v>
      </c>
      <c r="C122" s="8" t="s">
        <v>72</v>
      </c>
      <c r="D122" s="21" t="n">
        <v>38750</v>
      </c>
      <c r="E122" s="22" t="n">
        <v>177.92</v>
      </c>
      <c r="F122" s="21" t="n">
        <v>38751</v>
      </c>
      <c r="G122" s="22" t="n">
        <v>175.8</v>
      </c>
      <c r="H122" s="22" t="n">
        <v>160.13</v>
      </c>
      <c r="I122" s="21" t="n">
        <v>38751</v>
      </c>
      <c r="J122" s="22" t="n">
        <v>172.67</v>
      </c>
      <c r="K122" s="21" t="n">
        <v>38754</v>
      </c>
      <c r="L122" s="22" t="n">
        <v>171.77</v>
      </c>
      <c r="M122" s="8" t="s">
        <v>73</v>
      </c>
      <c r="N122" s="4" t="n">
        <v>1</v>
      </c>
      <c r="O122" s="6" t="n">
        <f aca="false">IF(C122="롱",(J122-E122)/E122,(E122-J122)/E122)</f>
        <v>-0.0295076438848921</v>
      </c>
    </row>
    <row r="123" customFormat="false" ht="17.15" hidden="false" customHeight="false" outlineLevel="0" collapsed="false">
      <c r="A123" s="4" t="n">
        <v>4</v>
      </c>
      <c r="B123" s="4" t="s">
        <v>18</v>
      </c>
      <c r="C123" s="8" t="s">
        <v>72</v>
      </c>
      <c r="D123" s="21" t="n">
        <v>38750</v>
      </c>
      <c r="E123" s="22" t="n">
        <v>177.92</v>
      </c>
      <c r="F123" s="21" t="n">
        <v>38751</v>
      </c>
      <c r="G123" s="22" t="n">
        <v>175.8</v>
      </c>
      <c r="H123" s="22" t="n">
        <v>160.13</v>
      </c>
      <c r="I123" s="21" t="n">
        <v>38754</v>
      </c>
      <c r="J123" s="22" t="n">
        <v>173.66</v>
      </c>
      <c r="K123" s="21" t="n">
        <v>38755</v>
      </c>
      <c r="L123" s="22" t="n">
        <v>173.66</v>
      </c>
      <c r="M123" s="8" t="s">
        <v>73</v>
      </c>
      <c r="N123" s="4" t="n">
        <v>2</v>
      </c>
      <c r="O123" s="6" t="n">
        <f aca="false">IF(C123="롱",(J123-E123)/E123,(E123-J123)/E123)</f>
        <v>-0.023943345323741</v>
      </c>
    </row>
    <row r="124" customFormat="false" ht="17.15" hidden="false" customHeight="false" outlineLevel="0" collapsed="false">
      <c r="A124" s="4" t="n">
        <v>5</v>
      </c>
      <c r="B124" s="4" t="s">
        <v>20</v>
      </c>
      <c r="C124" s="8" t="s">
        <v>72</v>
      </c>
      <c r="D124" s="21" t="n">
        <v>38758</v>
      </c>
      <c r="E124" s="22" t="n">
        <v>172.68</v>
      </c>
      <c r="F124" s="21" t="n">
        <v>38761</v>
      </c>
      <c r="G124" s="22" t="n">
        <v>173.15</v>
      </c>
      <c r="H124" s="22" t="n">
        <v>155.41</v>
      </c>
      <c r="I124" s="21" t="n">
        <v>38761</v>
      </c>
      <c r="J124" s="22" t="n">
        <v>170.61</v>
      </c>
      <c r="K124" s="21" t="n">
        <v>38762</v>
      </c>
      <c r="L124" s="22" t="n">
        <v>169.89</v>
      </c>
      <c r="M124" s="8" t="s">
        <v>73</v>
      </c>
      <c r="N124" s="4" t="n">
        <v>1</v>
      </c>
      <c r="O124" s="6" t="n">
        <f aca="false">IF(C124="롱",(J124-E124)/E124,(E124-J124)/E124)</f>
        <v>-0.0119874913134121</v>
      </c>
    </row>
    <row r="125" customFormat="false" ht="17.15" hidden="false" customHeight="false" outlineLevel="0" collapsed="false">
      <c r="A125" s="4" t="n">
        <v>3</v>
      </c>
      <c r="B125" s="4" t="s">
        <v>16</v>
      </c>
      <c r="C125" s="8" t="s">
        <v>72</v>
      </c>
      <c r="D125" s="21" t="n">
        <v>38768</v>
      </c>
      <c r="E125" s="22" t="n">
        <v>174.28</v>
      </c>
      <c r="F125" s="21" t="n">
        <v>38769</v>
      </c>
      <c r="G125" s="22" t="n">
        <v>174.56</v>
      </c>
      <c r="H125" s="22" t="n">
        <v>156.85</v>
      </c>
      <c r="I125" s="21" t="n">
        <v>38779</v>
      </c>
      <c r="J125" s="22" t="n">
        <v>171.67</v>
      </c>
      <c r="K125" s="21" t="n">
        <v>38782</v>
      </c>
      <c r="L125" s="22" t="n">
        <v>172.23</v>
      </c>
      <c r="M125" s="8" t="s">
        <v>73</v>
      </c>
      <c r="N125" s="4" t="n">
        <v>8</v>
      </c>
      <c r="O125" s="6" t="n">
        <f aca="false">IF(C125="롱",(J125-E125)/E125,(E125-J125)/E125)</f>
        <v>-0.0149759008492083</v>
      </c>
    </row>
    <row r="126" customFormat="false" ht="17.15" hidden="false" customHeight="false" outlineLevel="0" collapsed="false">
      <c r="A126" s="4" t="n">
        <v>5</v>
      </c>
      <c r="B126" s="4" t="s">
        <v>20</v>
      </c>
      <c r="C126" s="8" t="s">
        <v>72</v>
      </c>
      <c r="D126" s="21" t="n">
        <v>38768</v>
      </c>
      <c r="E126" s="22" t="n">
        <v>174.28</v>
      </c>
      <c r="F126" s="21" t="n">
        <v>38769</v>
      </c>
      <c r="G126" s="22" t="n">
        <v>174.56</v>
      </c>
      <c r="H126" s="22" t="n">
        <v>156.85</v>
      </c>
      <c r="I126" s="21" t="n">
        <v>38770</v>
      </c>
      <c r="J126" s="22" t="n">
        <v>173.26</v>
      </c>
      <c r="K126" s="21" t="n">
        <v>38771</v>
      </c>
      <c r="L126" s="22" t="n">
        <v>174.29</v>
      </c>
      <c r="M126" s="8" t="s">
        <v>73</v>
      </c>
      <c r="N126" s="4" t="n">
        <v>2</v>
      </c>
      <c r="O126" s="6" t="n">
        <f aca="false">IF(C126="롱",(J126-E126)/E126,(E126-J126)/E126)</f>
        <v>-0.00585265090658716</v>
      </c>
    </row>
    <row r="127" customFormat="false" ht="17.15" hidden="false" customHeight="false" outlineLevel="0" collapsed="false">
      <c r="A127" s="4" t="n">
        <v>1</v>
      </c>
      <c r="B127" s="4" t="s">
        <v>12</v>
      </c>
      <c r="C127" s="8" t="s">
        <v>72</v>
      </c>
      <c r="D127" s="21" t="n">
        <v>38769</v>
      </c>
      <c r="E127" s="22" t="n">
        <v>174.04</v>
      </c>
      <c r="F127" s="21" t="n">
        <v>38770</v>
      </c>
      <c r="G127" s="22" t="n">
        <v>173.85</v>
      </c>
      <c r="H127" s="22" t="n">
        <v>156.64</v>
      </c>
      <c r="I127" s="21" t="n">
        <v>38783</v>
      </c>
      <c r="J127" s="22" t="n">
        <v>170.13</v>
      </c>
      <c r="K127" s="21" t="n">
        <v>38784</v>
      </c>
      <c r="L127" s="22" t="n">
        <v>168.35</v>
      </c>
      <c r="M127" s="8" t="s">
        <v>73</v>
      </c>
      <c r="N127" s="4" t="n">
        <v>9</v>
      </c>
      <c r="O127" s="6" t="n">
        <f aca="false">IF(C127="롱",(J127-E127)/E127,(E127-J127)/E127)</f>
        <v>-0.0224660997471845</v>
      </c>
    </row>
    <row r="128" customFormat="false" ht="17.15" hidden="false" customHeight="false" outlineLevel="0" collapsed="false">
      <c r="A128" s="4" t="n">
        <v>11</v>
      </c>
      <c r="B128" s="4" t="s">
        <v>32</v>
      </c>
      <c r="C128" s="8" t="s">
        <v>74</v>
      </c>
      <c r="D128" s="21" t="n">
        <v>38770</v>
      </c>
      <c r="E128" s="22" t="n">
        <v>173.26</v>
      </c>
      <c r="F128" s="21" t="n">
        <v>38771</v>
      </c>
      <c r="G128" s="22" t="n">
        <v>174.29</v>
      </c>
      <c r="H128" s="22" t="n">
        <v>190.59</v>
      </c>
      <c r="I128" s="21" t="n">
        <v>38771</v>
      </c>
      <c r="J128" s="22" t="n">
        <v>176.18</v>
      </c>
      <c r="K128" s="21" t="n">
        <v>38772</v>
      </c>
      <c r="L128" s="22" t="n">
        <v>176.61</v>
      </c>
      <c r="M128" s="8" t="s">
        <v>73</v>
      </c>
      <c r="N128" s="4" t="n">
        <v>1</v>
      </c>
      <c r="O128" s="6" t="n">
        <f aca="false">IF(C128="롱",(J128-E128)/E128,(E128-J128)/E128)</f>
        <v>-0.016853284081727</v>
      </c>
    </row>
    <row r="129" customFormat="false" ht="17.15" hidden="false" customHeight="false" outlineLevel="0" collapsed="false">
      <c r="A129" s="4" t="n">
        <v>4</v>
      </c>
      <c r="B129" s="4" t="s">
        <v>18</v>
      </c>
      <c r="C129" s="8" t="s">
        <v>72</v>
      </c>
      <c r="D129" s="21" t="n">
        <v>38771</v>
      </c>
      <c r="E129" s="22" t="n">
        <v>176.18</v>
      </c>
      <c r="F129" s="21" t="n">
        <v>38772</v>
      </c>
      <c r="G129" s="22" t="n">
        <v>176.61</v>
      </c>
      <c r="H129" s="22" t="n">
        <v>158.56</v>
      </c>
      <c r="I129" s="21" t="n">
        <v>38784</v>
      </c>
      <c r="J129" s="22" t="n">
        <v>169.76</v>
      </c>
      <c r="K129" s="21" t="n">
        <v>38785</v>
      </c>
      <c r="L129" s="22" t="n">
        <v>169.72</v>
      </c>
      <c r="M129" s="8" t="s">
        <v>73</v>
      </c>
      <c r="N129" s="4" t="n">
        <v>8</v>
      </c>
      <c r="O129" s="6" t="n">
        <f aca="false">IF(C129="롱",(J129-E129)/E129,(E129-J129)/E129)</f>
        <v>-0.0364400045408106</v>
      </c>
    </row>
    <row r="130" customFormat="false" ht="17.15" hidden="false" customHeight="false" outlineLevel="0" collapsed="false">
      <c r="A130" s="4" t="n">
        <v>5</v>
      </c>
      <c r="B130" s="4" t="s">
        <v>20</v>
      </c>
      <c r="C130" s="8" t="s">
        <v>72</v>
      </c>
      <c r="D130" s="21" t="n">
        <v>38771</v>
      </c>
      <c r="E130" s="22" t="n">
        <v>176.18</v>
      </c>
      <c r="F130" s="21" t="n">
        <v>38772</v>
      </c>
      <c r="G130" s="22" t="n">
        <v>176.61</v>
      </c>
      <c r="H130" s="22" t="n">
        <v>158.56</v>
      </c>
      <c r="I130" s="21" t="n">
        <v>38779</v>
      </c>
      <c r="J130" s="22" t="n">
        <v>171.67</v>
      </c>
      <c r="K130" s="21" t="n">
        <v>38782</v>
      </c>
      <c r="L130" s="22" t="n">
        <v>172.23</v>
      </c>
      <c r="M130" s="8" t="s">
        <v>73</v>
      </c>
      <c r="N130" s="4" t="n">
        <v>5</v>
      </c>
      <c r="O130" s="6" t="n">
        <f aca="false">IF(C130="롱",(J130-E130)/E130,(E130-J130)/E130)</f>
        <v>-0.0255988193892611</v>
      </c>
    </row>
    <row r="131" customFormat="false" ht="17.15" hidden="false" customHeight="false" outlineLevel="0" collapsed="false">
      <c r="A131" s="4" t="n">
        <v>6</v>
      </c>
      <c r="B131" s="4" t="s">
        <v>22</v>
      </c>
      <c r="C131" s="8" t="s">
        <v>72</v>
      </c>
      <c r="D131" s="21" t="n">
        <v>38775</v>
      </c>
      <c r="E131" s="22" t="n">
        <v>178.1</v>
      </c>
      <c r="F131" s="21" t="n">
        <v>38776</v>
      </c>
      <c r="G131" s="22" t="n">
        <v>178.37</v>
      </c>
      <c r="H131" s="22" t="n">
        <v>160.43</v>
      </c>
      <c r="I131" s="21" t="n">
        <v>38778</v>
      </c>
      <c r="J131" s="22" t="n">
        <v>176.85</v>
      </c>
      <c r="K131" s="21" t="n">
        <v>38779</v>
      </c>
      <c r="L131" s="22" t="n">
        <v>176.52</v>
      </c>
      <c r="M131" s="8" t="s">
        <v>73</v>
      </c>
      <c r="N131" s="4" t="n">
        <v>2</v>
      </c>
      <c r="O131" s="6" t="n">
        <f aca="false">IF(C131="롱",(J131-E131)/E131,(E131-J131)/E131)</f>
        <v>-0.00701852891633914</v>
      </c>
    </row>
    <row r="132" customFormat="false" ht="17.15" hidden="false" customHeight="false" outlineLevel="0" collapsed="false">
      <c r="A132" s="4" t="n">
        <v>7</v>
      </c>
      <c r="B132" s="4" t="s">
        <v>24</v>
      </c>
      <c r="C132" s="8" t="s">
        <v>72</v>
      </c>
      <c r="D132" s="21" t="n">
        <v>38785</v>
      </c>
      <c r="E132" s="22" t="n">
        <v>169.17</v>
      </c>
      <c r="F132" s="21" t="n">
        <v>38786</v>
      </c>
      <c r="G132" s="22" t="n">
        <v>169.82</v>
      </c>
      <c r="H132" s="22" t="n">
        <v>153.18</v>
      </c>
      <c r="I132" s="21" t="n">
        <v>38807</v>
      </c>
      <c r="J132" s="22" t="n">
        <v>176.21</v>
      </c>
      <c r="K132" s="21" t="n">
        <v>38810</v>
      </c>
      <c r="L132" s="22" t="n">
        <v>176.45</v>
      </c>
      <c r="M132" s="8" t="s">
        <v>73</v>
      </c>
      <c r="N132" s="4" t="n">
        <v>16</v>
      </c>
      <c r="O132" s="6" t="n">
        <f aca="false">IF(C132="롱",(J132-E132)/E132,(E132-J132)/E132)</f>
        <v>0.0416149435479105</v>
      </c>
    </row>
    <row r="133" customFormat="false" ht="17.15" hidden="false" customHeight="false" outlineLevel="0" collapsed="false">
      <c r="A133" s="4" t="n">
        <v>1</v>
      </c>
      <c r="B133" s="4" t="s">
        <v>12</v>
      </c>
      <c r="C133" s="8" t="s">
        <v>72</v>
      </c>
      <c r="D133" s="21" t="n">
        <v>38793</v>
      </c>
      <c r="E133" s="22" t="n">
        <v>173.48</v>
      </c>
      <c r="F133" s="21" t="n">
        <v>38796</v>
      </c>
      <c r="G133" s="22" t="n">
        <v>173.36</v>
      </c>
      <c r="H133" s="22" t="n">
        <v>158.97</v>
      </c>
      <c r="I133" s="21" t="n">
        <v>38798</v>
      </c>
      <c r="J133" s="22" t="n">
        <v>169.28</v>
      </c>
      <c r="K133" s="21" t="n">
        <v>38799</v>
      </c>
      <c r="L133" s="22" t="n">
        <v>170.81</v>
      </c>
      <c r="M133" s="8" t="s">
        <v>73</v>
      </c>
      <c r="N133" s="4" t="n">
        <v>3</v>
      </c>
      <c r="O133" s="6" t="n">
        <f aca="false">IF(C133="롱",(J133-E133)/E133,(E133-J133)/E133)</f>
        <v>-0.0242102836061793</v>
      </c>
    </row>
    <row r="134" customFormat="false" ht="17.15" hidden="false" customHeight="false" outlineLevel="0" collapsed="false">
      <c r="A134" s="4" t="n">
        <v>6</v>
      </c>
      <c r="B134" s="4" t="s">
        <v>22</v>
      </c>
      <c r="C134" s="8" t="s">
        <v>72</v>
      </c>
      <c r="D134" s="21" t="n">
        <v>38793</v>
      </c>
      <c r="E134" s="22" t="n">
        <v>173.48</v>
      </c>
      <c r="F134" s="21" t="n">
        <v>38796</v>
      </c>
      <c r="G134" s="22" t="n">
        <v>173.36</v>
      </c>
      <c r="H134" s="22" t="n">
        <v>158.97</v>
      </c>
      <c r="I134" s="21" t="n">
        <v>38797</v>
      </c>
      <c r="J134" s="22" t="n">
        <v>172.87</v>
      </c>
      <c r="K134" s="21" t="n">
        <v>38798</v>
      </c>
      <c r="L134" s="22" t="n">
        <v>171.52</v>
      </c>
      <c r="M134" s="8" t="s">
        <v>73</v>
      </c>
      <c r="N134" s="4" t="n">
        <v>2</v>
      </c>
      <c r="O134" s="6" t="n">
        <f aca="false">IF(C134="롱",(J134-E134)/E134,(E134-J134)/E134)</f>
        <v>-0.00351625547613549</v>
      </c>
    </row>
    <row r="135" customFormat="false" ht="17.15" hidden="false" customHeight="false" outlineLevel="0" collapsed="false">
      <c r="A135" s="4" t="n">
        <v>3</v>
      </c>
      <c r="B135" s="4" t="s">
        <v>16</v>
      </c>
      <c r="C135" s="8" t="s">
        <v>72</v>
      </c>
      <c r="D135" s="21" t="n">
        <v>38803</v>
      </c>
      <c r="E135" s="22" t="n">
        <v>172.44</v>
      </c>
      <c r="F135" s="21" t="n">
        <v>38804</v>
      </c>
      <c r="G135" s="22" t="n">
        <v>172.14</v>
      </c>
      <c r="H135" s="22" t="n">
        <v>158.16</v>
      </c>
      <c r="I135" s="21" t="n">
        <v>38853</v>
      </c>
      <c r="J135" s="22" t="n">
        <v>179</v>
      </c>
      <c r="K135" s="21" t="n">
        <v>38854</v>
      </c>
      <c r="L135" s="22" t="n">
        <v>179.72</v>
      </c>
      <c r="M135" s="8" t="s">
        <v>73</v>
      </c>
      <c r="N135" s="4" t="n">
        <v>34</v>
      </c>
      <c r="O135" s="6" t="n">
        <f aca="false">IF(C135="롱",(J135-E135)/E135,(E135-J135)/E135)</f>
        <v>0.0380422175829274</v>
      </c>
    </row>
    <row r="136" customFormat="false" ht="17.15" hidden="false" customHeight="false" outlineLevel="0" collapsed="false">
      <c r="A136" s="4" t="n">
        <v>1</v>
      </c>
      <c r="B136" s="4" t="s">
        <v>12</v>
      </c>
      <c r="C136" s="8" t="s">
        <v>72</v>
      </c>
      <c r="D136" s="21" t="n">
        <v>38804</v>
      </c>
      <c r="E136" s="22" t="n">
        <v>172.77</v>
      </c>
      <c r="F136" s="21" t="n">
        <v>38805</v>
      </c>
      <c r="G136" s="22" t="n">
        <v>171.12</v>
      </c>
      <c r="H136" s="22" t="n">
        <v>158.57</v>
      </c>
      <c r="I136" s="21" t="n">
        <v>38835</v>
      </c>
      <c r="J136" s="22" t="n">
        <v>184.1</v>
      </c>
      <c r="K136" s="21" t="n">
        <v>38839</v>
      </c>
      <c r="L136" s="22" t="n">
        <v>184.13</v>
      </c>
      <c r="M136" s="8" t="s">
        <v>73</v>
      </c>
      <c r="N136" s="4" t="n">
        <v>23</v>
      </c>
      <c r="O136" s="6" t="n">
        <f aca="false">IF(C136="롱",(J136-E136)/E136,(E136-J136)/E136)</f>
        <v>0.065578514788447</v>
      </c>
    </row>
    <row r="137" customFormat="false" ht="17.15" hidden="false" customHeight="false" outlineLevel="0" collapsed="false">
      <c r="A137" s="4" t="n">
        <v>6</v>
      </c>
      <c r="B137" s="4" t="s">
        <v>22</v>
      </c>
      <c r="C137" s="8" t="s">
        <v>72</v>
      </c>
      <c r="D137" s="21" t="n">
        <v>38804</v>
      </c>
      <c r="E137" s="22" t="n">
        <v>172.77</v>
      </c>
      <c r="F137" s="21" t="n">
        <v>38805</v>
      </c>
      <c r="G137" s="22" t="n">
        <v>171.12</v>
      </c>
      <c r="H137" s="22" t="n">
        <v>158.57</v>
      </c>
      <c r="I137" s="21" t="n">
        <v>38818</v>
      </c>
      <c r="J137" s="22" t="n">
        <v>179.61</v>
      </c>
      <c r="K137" s="21" t="n">
        <v>38819</v>
      </c>
      <c r="L137" s="22" t="n">
        <v>178.23</v>
      </c>
      <c r="M137" s="8" t="s">
        <v>73</v>
      </c>
      <c r="N137" s="4" t="n">
        <v>10</v>
      </c>
      <c r="O137" s="6" t="n">
        <f aca="false">IF(C137="롱",(J137-E137)/E137,(E137-J137)/E137)</f>
        <v>0.039590206633096</v>
      </c>
    </row>
    <row r="138" customFormat="false" ht="17.15" hidden="false" customHeight="false" outlineLevel="0" collapsed="false">
      <c r="A138" s="4" t="n">
        <v>10</v>
      </c>
      <c r="B138" s="4" t="s">
        <v>30</v>
      </c>
      <c r="C138" s="8" t="s">
        <v>72</v>
      </c>
      <c r="D138" s="21" t="n">
        <v>38804</v>
      </c>
      <c r="E138" s="22" t="n">
        <v>172.77</v>
      </c>
      <c r="F138" s="21" t="n">
        <v>38805</v>
      </c>
      <c r="G138" s="22" t="n">
        <v>171.12</v>
      </c>
      <c r="H138" s="22" t="n">
        <v>158.57</v>
      </c>
      <c r="I138" s="21" t="n">
        <v>38852</v>
      </c>
      <c r="J138" s="22" t="n">
        <v>183.08</v>
      </c>
      <c r="K138" s="21" t="n">
        <v>38853</v>
      </c>
      <c r="L138" s="22" t="n">
        <v>183.32</v>
      </c>
      <c r="M138" s="8" t="s">
        <v>73</v>
      </c>
      <c r="N138" s="4" t="n">
        <v>32</v>
      </c>
      <c r="O138" s="6" t="n">
        <f aca="false">IF(C138="롱",(J138-E138)/E138,(E138-J138)/E138)</f>
        <v>0.0596747120449152</v>
      </c>
    </row>
    <row r="139" customFormat="false" ht="17.15" hidden="false" customHeight="false" outlineLevel="0" collapsed="false">
      <c r="A139" s="4" t="n">
        <v>7</v>
      </c>
      <c r="B139" s="4" t="s">
        <v>24</v>
      </c>
      <c r="C139" s="8" t="s">
        <v>72</v>
      </c>
      <c r="D139" s="21" t="n">
        <v>38819</v>
      </c>
      <c r="E139" s="22" t="n">
        <v>179.13</v>
      </c>
      <c r="F139" s="21" t="n">
        <v>38820</v>
      </c>
      <c r="G139" s="22" t="n">
        <v>179.11</v>
      </c>
      <c r="H139" s="22" t="n">
        <v>166.76</v>
      </c>
      <c r="I139" s="21" t="n">
        <v>38821</v>
      </c>
      <c r="J139" s="22" t="n">
        <v>185.67</v>
      </c>
      <c r="K139" s="21" t="n">
        <v>38824</v>
      </c>
      <c r="L139" s="22" t="n">
        <v>185.95</v>
      </c>
      <c r="M139" s="8" t="s">
        <v>73</v>
      </c>
      <c r="N139" s="4" t="n">
        <v>2</v>
      </c>
      <c r="O139" s="6" t="n">
        <f aca="false">IF(C139="롱",(J139-E139)/E139,(E139-J139)/E139)</f>
        <v>0.036509797353877</v>
      </c>
    </row>
    <row r="140" customFormat="false" ht="17.15" hidden="false" customHeight="false" outlineLevel="0" collapsed="false">
      <c r="A140" s="4" t="n">
        <v>6</v>
      </c>
      <c r="B140" s="4" t="s">
        <v>22</v>
      </c>
      <c r="C140" s="8" t="s">
        <v>72</v>
      </c>
      <c r="D140" s="21" t="n">
        <v>38834</v>
      </c>
      <c r="E140" s="22" t="n">
        <v>188.4</v>
      </c>
      <c r="F140" s="21" t="n">
        <v>38835</v>
      </c>
      <c r="G140" s="22" t="n">
        <v>187.1</v>
      </c>
      <c r="H140" s="22" t="n">
        <v>175.15</v>
      </c>
      <c r="I140" s="21" t="n">
        <v>38835</v>
      </c>
      <c r="J140" s="22" t="n">
        <v>184.1</v>
      </c>
      <c r="K140" s="21" t="n">
        <v>38839</v>
      </c>
      <c r="L140" s="22" t="n">
        <v>184.13</v>
      </c>
      <c r="M140" s="8" t="s">
        <v>73</v>
      </c>
      <c r="N140" s="4" t="n">
        <v>1</v>
      </c>
      <c r="O140" s="6" t="n">
        <f aca="false">IF(C140="롱",(J140-E140)/E140,(E140-J140)/E140)</f>
        <v>-0.022823779193206</v>
      </c>
    </row>
    <row r="141" customFormat="false" ht="17.15" hidden="false" customHeight="false" outlineLevel="0" collapsed="false">
      <c r="A141" s="4" t="n">
        <v>2</v>
      </c>
      <c r="B141" s="4" t="s">
        <v>14</v>
      </c>
      <c r="C141" s="8" t="s">
        <v>72</v>
      </c>
      <c r="D141" s="21" t="n">
        <v>38853</v>
      </c>
      <c r="E141" s="22" t="n">
        <v>179</v>
      </c>
      <c r="F141" s="21" t="n">
        <v>38854</v>
      </c>
      <c r="G141" s="22" t="n">
        <v>179.72</v>
      </c>
      <c r="H141" s="22" t="n">
        <v>163.13</v>
      </c>
      <c r="I141" s="21" t="n">
        <v>38876</v>
      </c>
      <c r="J141" s="22" t="n">
        <v>163.13</v>
      </c>
      <c r="K141" s="21" t="n">
        <v>38877</v>
      </c>
      <c r="L141" s="22" t="n">
        <v>159.92</v>
      </c>
      <c r="M141" s="8" t="s">
        <v>75</v>
      </c>
      <c r="N141" s="4" t="n">
        <v>15</v>
      </c>
      <c r="O141" s="6" t="n">
        <f aca="false">IF(C141="롱",(J141-E141)/E141,(E141-J141)/E141)</f>
        <v>-0.088659217877095</v>
      </c>
    </row>
    <row r="142" customFormat="false" ht="17.15" hidden="false" customHeight="false" outlineLevel="0" collapsed="false">
      <c r="A142" s="4" t="n">
        <v>8</v>
      </c>
      <c r="B142" s="4" t="s">
        <v>26</v>
      </c>
      <c r="C142" s="8" t="s">
        <v>72</v>
      </c>
      <c r="D142" s="21" t="n">
        <v>38881</v>
      </c>
      <c r="E142" s="22" t="n">
        <v>155.43</v>
      </c>
      <c r="F142" s="21" t="n">
        <v>38882</v>
      </c>
      <c r="G142" s="22" t="n">
        <v>154.15</v>
      </c>
      <c r="H142" s="22" t="n">
        <v>139.89</v>
      </c>
      <c r="I142" s="21" t="n">
        <v>38884</v>
      </c>
      <c r="J142" s="22" t="n">
        <v>163.05</v>
      </c>
      <c r="K142" s="21" t="n">
        <v>38887</v>
      </c>
      <c r="L142" s="22" t="n">
        <v>162.11</v>
      </c>
      <c r="M142" s="8" t="s">
        <v>73</v>
      </c>
      <c r="N142" s="4" t="n">
        <v>3</v>
      </c>
      <c r="O142" s="6" t="n">
        <f aca="false">IF(C142="롱",(J142-E142)/E142,(E142-J142)/E142)</f>
        <v>0.0490252846940745</v>
      </c>
    </row>
    <row r="143" customFormat="false" ht="17.15" hidden="false" customHeight="false" outlineLevel="0" collapsed="false">
      <c r="A143" s="4" t="n">
        <v>8</v>
      </c>
      <c r="B143" s="4" t="s">
        <v>26</v>
      </c>
      <c r="C143" s="8" t="s">
        <v>72</v>
      </c>
      <c r="D143" s="21" t="n">
        <v>38888</v>
      </c>
      <c r="E143" s="22" t="n">
        <v>158.48</v>
      </c>
      <c r="F143" s="21" t="n">
        <v>38889</v>
      </c>
      <c r="G143" s="22" t="n">
        <v>158.91</v>
      </c>
      <c r="H143" s="22" t="n">
        <v>142.63</v>
      </c>
      <c r="I143" s="21" t="n">
        <v>38895</v>
      </c>
      <c r="J143" s="22" t="n">
        <v>161.36</v>
      </c>
      <c r="K143" s="21" t="n">
        <v>38896</v>
      </c>
      <c r="L143" s="22" t="n">
        <v>158.61</v>
      </c>
      <c r="M143" s="8" t="s">
        <v>73</v>
      </c>
      <c r="N143" s="4" t="n">
        <v>5</v>
      </c>
      <c r="O143" s="6" t="n">
        <f aca="false">IF(C143="롱",(J143-E143)/E143,(E143-J143)/E143)</f>
        <v>0.0181726400807674</v>
      </c>
    </row>
    <row r="144" customFormat="false" ht="17.15" hidden="false" customHeight="false" outlineLevel="0" collapsed="false">
      <c r="A144" s="4" t="n">
        <v>7</v>
      </c>
      <c r="B144" s="4" t="s">
        <v>24</v>
      </c>
      <c r="C144" s="8" t="s">
        <v>72</v>
      </c>
      <c r="D144" s="21" t="n">
        <v>38903</v>
      </c>
      <c r="E144" s="22" t="n">
        <v>165.51</v>
      </c>
      <c r="F144" s="21" t="n">
        <v>38904</v>
      </c>
      <c r="G144" s="22" t="n">
        <v>164.3</v>
      </c>
      <c r="H144" s="22" t="n">
        <v>148.96</v>
      </c>
      <c r="I144" s="21" t="n">
        <v>38946</v>
      </c>
      <c r="J144" s="22" t="n">
        <v>172.65</v>
      </c>
      <c r="K144" s="21" t="n">
        <v>38947</v>
      </c>
      <c r="L144" s="22" t="n">
        <v>172.94</v>
      </c>
      <c r="M144" s="8" t="s">
        <v>73</v>
      </c>
      <c r="N144" s="4" t="n">
        <v>29</v>
      </c>
      <c r="O144" s="6" t="n">
        <f aca="false">IF(C144="롱",(J144-E144)/E144,(E144-J144)/E144)</f>
        <v>0.0431393873481966</v>
      </c>
    </row>
    <row r="145" customFormat="false" ht="17.15" hidden="false" customHeight="false" outlineLevel="0" collapsed="false">
      <c r="A145" s="4" t="n">
        <v>8</v>
      </c>
      <c r="B145" s="4" t="s">
        <v>26</v>
      </c>
      <c r="C145" s="8" t="s">
        <v>72</v>
      </c>
      <c r="D145" s="21" t="n">
        <v>38916</v>
      </c>
      <c r="E145" s="22" t="n">
        <v>159.69</v>
      </c>
      <c r="F145" s="21" t="n">
        <v>38917</v>
      </c>
      <c r="G145" s="22" t="n">
        <v>160.06</v>
      </c>
      <c r="H145" s="22" t="n">
        <v>143.84</v>
      </c>
      <c r="I145" s="21" t="n">
        <v>38918</v>
      </c>
      <c r="J145" s="22" t="n">
        <v>165.11</v>
      </c>
      <c r="K145" s="21" t="n">
        <v>38919</v>
      </c>
      <c r="L145" s="22" t="n">
        <v>163.46</v>
      </c>
      <c r="M145" s="8" t="s">
        <v>73</v>
      </c>
      <c r="N145" s="4" t="n">
        <v>2</v>
      </c>
      <c r="O145" s="6" t="n">
        <f aca="false">IF(C145="롱",(J145-E145)/E145,(E145-J145)/E145)</f>
        <v>0.033940760222932</v>
      </c>
    </row>
    <row r="146" customFormat="false" ht="17.15" hidden="false" customHeight="false" outlineLevel="0" collapsed="false">
      <c r="A146" s="4" t="n">
        <v>11</v>
      </c>
      <c r="B146" s="4" t="s">
        <v>32</v>
      </c>
      <c r="C146" s="8" t="s">
        <v>74</v>
      </c>
      <c r="D146" s="21" t="n">
        <v>38922</v>
      </c>
      <c r="E146" s="22" t="n">
        <v>163.93</v>
      </c>
      <c r="F146" s="21" t="n">
        <v>38923</v>
      </c>
      <c r="G146" s="22" t="n">
        <v>165.8</v>
      </c>
      <c r="H146" s="22" t="n">
        <v>179.78</v>
      </c>
      <c r="I146" s="21" t="n">
        <v>38923</v>
      </c>
      <c r="J146" s="22" t="n">
        <v>166.25</v>
      </c>
      <c r="K146" s="21" t="n">
        <v>38924</v>
      </c>
      <c r="L146" s="22" t="n">
        <v>166.88</v>
      </c>
      <c r="M146" s="8" t="s">
        <v>73</v>
      </c>
      <c r="N146" s="4" t="n">
        <v>1</v>
      </c>
      <c r="O146" s="6" t="n">
        <f aca="false">IF(C146="롱",(J146-E146)/E146,(E146-J146)/E146)</f>
        <v>-0.014152382114317</v>
      </c>
    </row>
    <row r="147" customFormat="false" ht="17.15" hidden="false" customHeight="false" outlineLevel="0" collapsed="false">
      <c r="A147" s="4" t="n">
        <v>3</v>
      </c>
      <c r="B147" s="4" t="s">
        <v>16</v>
      </c>
      <c r="C147" s="8" t="s">
        <v>72</v>
      </c>
      <c r="D147" s="21" t="n">
        <v>38973</v>
      </c>
      <c r="E147" s="22" t="n">
        <v>172.93</v>
      </c>
      <c r="F147" s="21" t="n">
        <v>38974</v>
      </c>
      <c r="G147" s="22" t="n">
        <v>172.96</v>
      </c>
      <c r="H147" s="22" t="n">
        <v>163.14</v>
      </c>
      <c r="I147" s="21" t="n">
        <v>38999</v>
      </c>
      <c r="J147" s="22" t="n">
        <v>171.78</v>
      </c>
      <c r="K147" s="21" t="n">
        <v>39000</v>
      </c>
      <c r="L147" s="22" t="n">
        <v>172.31</v>
      </c>
      <c r="M147" s="8" t="s">
        <v>73</v>
      </c>
      <c r="N147" s="4" t="n">
        <v>15</v>
      </c>
      <c r="O147" s="6" t="n">
        <f aca="false">IF(C147="롱",(J147-E147)/E147,(E147-J147)/E147)</f>
        <v>-0.00665008963164289</v>
      </c>
    </row>
    <row r="148" customFormat="false" ht="17.15" hidden="false" customHeight="false" outlineLevel="0" collapsed="false">
      <c r="A148" s="4" t="n">
        <v>4</v>
      </c>
      <c r="B148" s="4" t="s">
        <v>18</v>
      </c>
      <c r="C148" s="8" t="s">
        <v>72</v>
      </c>
      <c r="D148" s="21" t="n">
        <v>38978</v>
      </c>
      <c r="E148" s="22" t="n">
        <v>178.28</v>
      </c>
      <c r="F148" s="21" t="n">
        <v>38979</v>
      </c>
      <c r="G148" s="22" t="n">
        <v>178.41</v>
      </c>
      <c r="H148" s="22" t="n">
        <v>168.29</v>
      </c>
      <c r="I148" s="21" t="n">
        <v>39000</v>
      </c>
      <c r="J148" s="22" t="n">
        <v>172.78</v>
      </c>
      <c r="K148" s="21" t="n">
        <v>39001</v>
      </c>
      <c r="L148" s="22" t="n">
        <v>171.47</v>
      </c>
      <c r="M148" s="8" t="s">
        <v>73</v>
      </c>
      <c r="N148" s="4" t="n">
        <v>13</v>
      </c>
      <c r="O148" s="6" t="n">
        <f aca="false">IF(C148="롱",(J148-E148)/E148,(E148-J148)/E148)</f>
        <v>-0.0308503477675567</v>
      </c>
    </row>
    <row r="149" customFormat="false" ht="17.15" hidden="false" customHeight="false" outlineLevel="0" collapsed="false">
      <c r="A149" s="4" t="n">
        <v>1</v>
      </c>
      <c r="B149" s="4" t="s">
        <v>12</v>
      </c>
      <c r="C149" s="8" t="s">
        <v>72</v>
      </c>
      <c r="D149" s="21" t="n">
        <v>38979</v>
      </c>
      <c r="E149" s="22" t="n">
        <v>178.32</v>
      </c>
      <c r="F149" s="21" t="n">
        <v>38980</v>
      </c>
      <c r="G149" s="22" t="n">
        <v>177.3</v>
      </c>
      <c r="H149" s="22" t="n">
        <v>168.56</v>
      </c>
      <c r="I149" s="21" t="n">
        <v>38982</v>
      </c>
      <c r="J149" s="22" t="n">
        <v>175</v>
      </c>
      <c r="K149" s="21" t="n">
        <v>38985</v>
      </c>
      <c r="L149" s="22" t="n">
        <v>175.04</v>
      </c>
      <c r="M149" s="8" t="s">
        <v>73</v>
      </c>
      <c r="N149" s="4" t="n">
        <v>3</v>
      </c>
      <c r="O149" s="6" t="n">
        <f aca="false">IF(C149="롱",(J149-E149)/E149,(E149-J149)/E149)</f>
        <v>-0.0186182144459398</v>
      </c>
    </row>
    <row r="150" customFormat="false" ht="17.15" hidden="false" customHeight="false" outlineLevel="0" collapsed="false">
      <c r="A150" s="4" t="n">
        <v>6</v>
      </c>
      <c r="B150" s="4" t="s">
        <v>22</v>
      </c>
      <c r="C150" s="8" t="s">
        <v>72</v>
      </c>
      <c r="D150" s="21" t="n">
        <v>38979</v>
      </c>
      <c r="E150" s="22" t="n">
        <v>178.32</v>
      </c>
      <c r="F150" s="21" t="n">
        <v>38980</v>
      </c>
      <c r="G150" s="22" t="n">
        <v>177.3</v>
      </c>
      <c r="H150" s="22" t="n">
        <v>168.56</v>
      </c>
      <c r="I150" s="21" t="n">
        <v>38980</v>
      </c>
      <c r="J150" s="22" t="n">
        <v>177.34</v>
      </c>
      <c r="K150" s="21" t="n">
        <v>38981</v>
      </c>
      <c r="L150" s="22" t="n">
        <v>178.24</v>
      </c>
      <c r="M150" s="8" t="s">
        <v>73</v>
      </c>
      <c r="N150" s="4" t="n">
        <v>1</v>
      </c>
      <c r="O150" s="6" t="n">
        <f aca="false">IF(C150="롱",(J150-E150)/E150,(E150-J150)/E150)</f>
        <v>-0.00549573799910268</v>
      </c>
    </row>
    <row r="151" customFormat="false" ht="17.15" hidden="false" customHeight="false" outlineLevel="0" collapsed="false">
      <c r="A151" s="4" t="n">
        <v>3</v>
      </c>
      <c r="B151" s="4" t="s">
        <v>16</v>
      </c>
      <c r="C151" s="8" t="s">
        <v>72</v>
      </c>
      <c r="D151" s="21" t="n">
        <v>39003</v>
      </c>
      <c r="E151" s="22" t="n">
        <v>175.42</v>
      </c>
      <c r="F151" s="21" t="n">
        <v>39006</v>
      </c>
      <c r="G151" s="22" t="n">
        <v>176.47</v>
      </c>
      <c r="H151" s="22" t="n">
        <v>162.56</v>
      </c>
      <c r="I151" s="21" t="n">
        <v>39059</v>
      </c>
      <c r="J151" s="22" t="n">
        <v>179.49</v>
      </c>
      <c r="K151" s="21" t="n">
        <v>39062</v>
      </c>
      <c r="L151" s="22" t="n">
        <v>179.45</v>
      </c>
      <c r="M151" s="8" t="s">
        <v>73</v>
      </c>
      <c r="N151" s="4" t="n">
        <v>40</v>
      </c>
      <c r="O151" s="6" t="n">
        <f aca="false">IF(C151="롱",(J151-E151)/E151,(E151-J151)/E151)</f>
        <v>0.0232014593546917</v>
      </c>
    </row>
    <row r="152" customFormat="false" ht="17.15" hidden="false" customHeight="false" outlineLevel="0" collapsed="false">
      <c r="A152" s="4" t="n">
        <v>4</v>
      </c>
      <c r="B152" s="4" t="s">
        <v>18</v>
      </c>
      <c r="C152" s="8" t="s">
        <v>72</v>
      </c>
      <c r="D152" s="21" t="n">
        <v>39009</v>
      </c>
      <c r="E152" s="22" t="n">
        <v>176.11</v>
      </c>
      <c r="F152" s="21" t="n">
        <v>39010</v>
      </c>
      <c r="G152" s="22" t="n">
        <v>176.49</v>
      </c>
      <c r="H152" s="22" t="n">
        <v>163.85</v>
      </c>
      <c r="I152" s="21" t="n">
        <v>39059</v>
      </c>
      <c r="J152" s="22" t="n">
        <v>179.49</v>
      </c>
      <c r="K152" s="21" t="n">
        <v>39062</v>
      </c>
      <c r="L152" s="22" t="n">
        <v>179.45</v>
      </c>
      <c r="M152" s="8" t="s">
        <v>73</v>
      </c>
      <c r="N152" s="4" t="n">
        <v>36</v>
      </c>
      <c r="O152" s="6" t="n">
        <f aca="false">IF(C152="롱",(J152-E152)/E152,(E152-J152)/E152)</f>
        <v>0.0191925501107262</v>
      </c>
    </row>
    <row r="153" customFormat="false" ht="17.15" hidden="false" customHeight="false" outlineLevel="0" collapsed="false">
      <c r="A153" s="4" t="n">
        <v>1</v>
      </c>
      <c r="B153" s="4" t="s">
        <v>12</v>
      </c>
      <c r="C153" s="8" t="s">
        <v>72</v>
      </c>
      <c r="D153" s="21" t="n">
        <v>39010</v>
      </c>
      <c r="E153" s="22" t="n">
        <v>177.35</v>
      </c>
      <c r="F153" s="21" t="n">
        <v>39013</v>
      </c>
      <c r="G153" s="22" t="n">
        <v>177.66</v>
      </c>
      <c r="H153" s="22" t="n">
        <v>164.96</v>
      </c>
      <c r="I153" s="21" t="n">
        <v>39050</v>
      </c>
      <c r="J153" s="22" t="n">
        <v>183.8</v>
      </c>
      <c r="K153" s="21" t="n">
        <v>39051</v>
      </c>
      <c r="L153" s="22" t="n">
        <v>184.47</v>
      </c>
      <c r="M153" s="8" t="s">
        <v>73</v>
      </c>
      <c r="N153" s="4" t="n">
        <v>28</v>
      </c>
      <c r="O153" s="6" t="n">
        <f aca="false">IF(C153="롱",(J153-E153)/E153,(E153-J153)/E153)</f>
        <v>0.0363687623343672</v>
      </c>
    </row>
    <row r="154" customFormat="false" ht="17.15" hidden="false" customHeight="false" outlineLevel="0" collapsed="false">
      <c r="A154" s="4" t="n">
        <v>6</v>
      </c>
      <c r="B154" s="4" t="s">
        <v>22</v>
      </c>
      <c r="C154" s="8" t="s">
        <v>72</v>
      </c>
      <c r="D154" s="21" t="n">
        <v>39014</v>
      </c>
      <c r="E154" s="22" t="n">
        <v>177.49</v>
      </c>
      <c r="F154" s="21" t="n">
        <v>39015</v>
      </c>
      <c r="G154" s="22" t="n">
        <v>177.78</v>
      </c>
      <c r="H154" s="22" t="n">
        <v>165.54</v>
      </c>
      <c r="I154" s="21" t="n">
        <v>39017</v>
      </c>
      <c r="J154" s="22" t="n">
        <v>177.85</v>
      </c>
      <c r="K154" s="21" t="n">
        <v>39020</v>
      </c>
      <c r="L154" s="22" t="n">
        <v>177.05</v>
      </c>
      <c r="M154" s="8" t="s">
        <v>73</v>
      </c>
      <c r="N154" s="4" t="n">
        <v>3</v>
      </c>
      <c r="O154" s="6" t="n">
        <f aca="false">IF(C154="롱",(J154-E154)/E154,(E154-J154)/E154)</f>
        <v>0.00202828328356519</v>
      </c>
    </row>
    <row r="155" customFormat="false" ht="17.15" hidden="false" customHeight="false" outlineLevel="0" collapsed="false">
      <c r="A155" s="4" t="n">
        <v>6</v>
      </c>
      <c r="B155" s="4" t="s">
        <v>22</v>
      </c>
      <c r="C155" s="8" t="s">
        <v>72</v>
      </c>
      <c r="D155" s="21" t="n">
        <v>39023</v>
      </c>
      <c r="E155" s="22" t="n">
        <v>179.22</v>
      </c>
      <c r="F155" s="21" t="n">
        <v>39024</v>
      </c>
      <c r="G155" s="22" t="n">
        <v>179.34</v>
      </c>
      <c r="H155" s="22" t="n">
        <v>168.06</v>
      </c>
      <c r="I155" s="21" t="n">
        <v>39029</v>
      </c>
      <c r="J155" s="22" t="n">
        <v>178.61</v>
      </c>
      <c r="K155" s="21" t="n">
        <v>39030</v>
      </c>
      <c r="L155" s="22" t="n">
        <v>178.93</v>
      </c>
      <c r="M155" s="8" t="s">
        <v>73</v>
      </c>
      <c r="N155" s="4" t="n">
        <v>4</v>
      </c>
      <c r="O155" s="6" t="n">
        <f aca="false">IF(C155="롱",(J155-E155)/E155,(E155-J155)/E155)</f>
        <v>-0.00340363798683174</v>
      </c>
    </row>
    <row r="156" customFormat="false" ht="17.15" hidden="false" customHeight="false" outlineLevel="0" collapsed="false">
      <c r="A156" s="4" t="n">
        <v>6</v>
      </c>
      <c r="B156" s="4" t="s">
        <v>22</v>
      </c>
      <c r="C156" s="8" t="s">
        <v>72</v>
      </c>
      <c r="D156" s="21" t="n">
        <v>39036</v>
      </c>
      <c r="E156" s="22" t="n">
        <v>182.9</v>
      </c>
      <c r="F156" s="21" t="n">
        <v>39037</v>
      </c>
      <c r="G156" s="22" t="n">
        <v>183.56</v>
      </c>
      <c r="H156" s="22" t="n">
        <v>174.66</v>
      </c>
      <c r="I156" s="21" t="n">
        <v>39041</v>
      </c>
      <c r="J156" s="22" t="n">
        <v>181.6</v>
      </c>
      <c r="K156" s="21" t="n">
        <v>39042</v>
      </c>
      <c r="L156" s="22" t="n">
        <v>181.76</v>
      </c>
      <c r="M156" s="8" t="s">
        <v>73</v>
      </c>
      <c r="N156" s="4" t="n">
        <v>3</v>
      </c>
      <c r="O156" s="6" t="n">
        <f aca="false">IF(C156="롱",(J156-E156)/E156,(E156-J156)/E156)</f>
        <v>-0.00710770913067256</v>
      </c>
    </row>
    <row r="157" customFormat="false" ht="17.15" hidden="false" customHeight="false" outlineLevel="0" collapsed="false">
      <c r="A157" s="4" t="n">
        <v>1</v>
      </c>
      <c r="B157" s="4" t="s">
        <v>12</v>
      </c>
      <c r="C157" s="8" t="s">
        <v>72</v>
      </c>
      <c r="D157" s="21" t="n">
        <v>39051</v>
      </c>
      <c r="E157" s="22" t="n">
        <v>184.96</v>
      </c>
      <c r="F157" s="21" t="n">
        <v>39052</v>
      </c>
      <c r="G157" s="22" t="n">
        <v>185.12</v>
      </c>
      <c r="H157" s="22" t="n">
        <v>176.69</v>
      </c>
      <c r="I157" s="21" t="n">
        <v>39056</v>
      </c>
      <c r="J157" s="22" t="n">
        <v>183.53</v>
      </c>
      <c r="K157" s="21" t="n">
        <v>39057</v>
      </c>
      <c r="L157" s="22" t="n">
        <v>183.8</v>
      </c>
      <c r="M157" s="8" t="s">
        <v>73</v>
      </c>
      <c r="N157" s="4" t="n">
        <v>3</v>
      </c>
      <c r="O157" s="6" t="n">
        <f aca="false">IF(C157="롱",(J157-E157)/E157,(E157-J157)/E157)</f>
        <v>-0.00773140138408308</v>
      </c>
    </row>
    <row r="158" customFormat="false" ht="17.15" hidden="false" customHeight="false" outlineLevel="0" collapsed="false">
      <c r="A158" s="4" t="n">
        <v>6</v>
      </c>
      <c r="B158" s="4" t="s">
        <v>22</v>
      </c>
      <c r="C158" s="8" t="s">
        <v>72</v>
      </c>
      <c r="D158" s="21" t="n">
        <v>39052</v>
      </c>
      <c r="E158" s="22" t="n">
        <v>185.28</v>
      </c>
      <c r="F158" s="21" t="n">
        <v>39055</v>
      </c>
      <c r="G158" s="22" t="n">
        <v>184.83</v>
      </c>
      <c r="H158" s="22" t="n">
        <v>176.95</v>
      </c>
      <c r="I158" s="21" t="n">
        <v>39056</v>
      </c>
      <c r="J158" s="22" t="n">
        <v>183.53</v>
      </c>
      <c r="K158" s="21" t="n">
        <v>39057</v>
      </c>
      <c r="L158" s="22" t="n">
        <v>183.8</v>
      </c>
      <c r="M158" s="8" t="s">
        <v>73</v>
      </c>
      <c r="N158" s="4" t="n">
        <v>2</v>
      </c>
      <c r="O158" s="6" t="n">
        <f aca="false">IF(C158="롱",(J158-E158)/E158,(E158-J158)/E158)</f>
        <v>-0.00944516407599309</v>
      </c>
    </row>
    <row r="159" customFormat="false" ht="17.15" hidden="false" customHeight="false" outlineLevel="0" collapsed="false">
      <c r="A159" s="4" t="n">
        <v>2</v>
      </c>
      <c r="B159" s="4" t="s">
        <v>14</v>
      </c>
      <c r="C159" s="8" t="s">
        <v>72</v>
      </c>
      <c r="D159" s="21" t="n">
        <v>39059</v>
      </c>
      <c r="E159" s="22" t="n">
        <v>179.49</v>
      </c>
      <c r="F159" s="21" t="n">
        <v>39062</v>
      </c>
      <c r="G159" s="22" t="n">
        <v>179.45</v>
      </c>
      <c r="H159" s="22" t="n">
        <v>171.02</v>
      </c>
      <c r="I159" s="21" t="n">
        <v>39071</v>
      </c>
      <c r="J159" s="22" t="n">
        <v>186.54</v>
      </c>
      <c r="K159" s="21" t="n">
        <v>39072</v>
      </c>
      <c r="L159" s="22" t="n">
        <v>186.8</v>
      </c>
      <c r="M159" s="8" t="s">
        <v>73</v>
      </c>
      <c r="N159" s="4" t="n">
        <v>8</v>
      </c>
      <c r="O159" s="6" t="n">
        <f aca="false">IF(C159="롱",(J159-E159)/E159,(E159-J159)/E159)</f>
        <v>0.0392779542035767</v>
      </c>
    </row>
    <row r="160" customFormat="false" ht="17.15" hidden="false" customHeight="false" outlineLevel="0" collapsed="false">
      <c r="A160" s="4" t="n">
        <v>3</v>
      </c>
      <c r="B160" s="4" t="s">
        <v>16</v>
      </c>
      <c r="C160" s="8" t="s">
        <v>72</v>
      </c>
      <c r="D160" s="21" t="n">
        <v>39065</v>
      </c>
      <c r="E160" s="22" t="n">
        <v>183.57</v>
      </c>
      <c r="F160" s="21" t="n">
        <v>39066</v>
      </c>
      <c r="G160" s="22" t="n">
        <v>183.51</v>
      </c>
      <c r="H160" s="22" t="n">
        <v>173.71</v>
      </c>
      <c r="I160" s="21" t="n">
        <v>39086</v>
      </c>
      <c r="J160" s="22" t="n">
        <v>180.52</v>
      </c>
      <c r="K160" s="21" t="n">
        <v>39087</v>
      </c>
      <c r="L160" s="22" t="n">
        <v>180.71</v>
      </c>
      <c r="M160" s="8" t="s">
        <v>73</v>
      </c>
      <c r="N160" s="4" t="n">
        <v>12</v>
      </c>
      <c r="O160" s="6" t="n">
        <f aca="false">IF(C160="롱",(J160-E160)/E160,(E160-J160)/E160)</f>
        <v>-0.0166149152911695</v>
      </c>
    </row>
    <row r="161" customFormat="false" ht="17.15" hidden="false" customHeight="false" outlineLevel="0" collapsed="false">
      <c r="A161" s="4" t="n">
        <v>5</v>
      </c>
      <c r="B161" s="4" t="s">
        <v>20</v>
      </c>
      <c r="C161" s="8" t="s">
        <v>72</v>
      </c>
      <c r="D161" s="21" t="n">
        <v>39065</v>
      </c>
      <c r="E161" s="22" t="n">
        <v>183.57</v>
      </c>
      <c r="F161" s="21" t="n">
        <v>39066</v>
      </c>
      <c r="G161" s="22" t="n">
        <v>183.51</v>
      </c>
      <c r="H161" s="22" t="n">
        <v>173.71</v>
      </c>
      <c r="I161" s="21" t="n">
        <v>39086</v>
      </c>
      <c r="J161" s="22" t="n">
        <v>180.52</v>
      </c>
      <c r="K161" s="21" t="n">
        <v>39087</v>
      </c>
      <c r="L161" s="22" t="n">
        <v>180.71</v>
      </c>
      <c r="M161" s="8" t="s">
        <v>73</v>
      </c>
      <c r="N161" s="4" t="n">
        <v>12</v>
      </c>
      <c r="O161" s="6" t="n">
        <f aca="false">IF(C161="롱",(J161-E161)/E161,(E161-J161)/E161)</f>
        <v>-0.0166149152911695</v>
      </c>
    </row>
    <row r="162" customFormat="false" ht="17.15" hidden="false" customHeight="false" outlineLevel="0" collapsed="false">
      <c r="A162" s="4" t="n">
        <v>1</v>
      </c>
      <c r="B162" s="4" t="s">
        <v>12</v>
      </c>
      <c r="C162" s="8" t="s">
        <v>72</v>
      </c>
      <c r="D162" s="21" t="n">
        <v>39070</v>
      </c>
      <c r="E162" s="22" t="n">
        <v>184.63</v>
      </c>
      <c r="F162" s="21" t="n">
        <v>39071</v>
      </c>
      <c r="G162" s="22" t="n">
        <v>184.92</v>
      </c>
      <c r="H162" s="22" t="n">
        <v>174.38</v>
      </c>
      <c r="I162" s="21" t="n">
        <v>39085</v>
      </c>
      <c r="J162" s="22" t="n">
        <v>182.13</v>
      </c>
      <c r="K162" s="21" t="n">
        <v>39086</v>
      </c>
      <c r="L162" s="22" t="n">
        <v>182.26</v>
      </c>
      <c r="M162" s="8" t="s">
        <v>73</v>
      </c>
      <c r="N162" s="4" t="n">
        <v>8</v>
      </c>
      <c r="O162" s="6" t="n">
        <f aca="false">IF(C162="롱",(J162-E162)/E162,(E162-J162)/E162)</f>
        <v>-0.0135405947029194</v>
      </c>
    </row>
    <row r="163" customFormat="false" ht="17.15" hidden="false" customHeight="false" outlineLevel="0" collapsed="false">
      <c r="A163" s="4" t="n">
        <v>4</v>
      </c>
      <c r="B163" s="4" t="s">
        <v>18</v>
      </c>
      <c r="C163" s="8" t="s">
        <v>72</v>
      </c>
      <c r="D163" s="21" t="n">
        <v>39070</v>
      </c>
      <c r="E163" s="22" t="n">
        <v>184.63</v>
      </c>
      <c r="F163" s="21" t="n">
        <v>39071</v>
      </c>
      <c r="G163" s="22" t="n">
        <v>184.92</v>
      </c>
      <c r="H163" s="22" t="n">
        <v>174.38</v>
      </c>
      <c r="I163" s="21" t="n">
        <v>39087</v>
      </c>
      <c r="J163" s="22" t="n">
        <v>179.1</v>
      </c>
      <c r="K163" s="21" t="n">
        <v>39090</v>
      </c>
      <c r="L163" s="22" t="n">
        <v>177.8</v>
      </c>
      <c r="M163" s="8" t="s">
        <v>73</v>
      </c>
      <c r="N163" s="4" t="n">
        <v>10</v>
      </c>
      <c r="O163" s="6" t="n">
        <f aca="false">IF(C163="롱",(J163-E163)/E163,(E163-J163)/E163)</f>
        <v>-0.0299517954828576</v>
      </c>
    </row>
    <row r="164" customFormat="false" ht="17.15" hidden="false" customHeight="false" outlineLevel="0" collapsed="false">
      <c r="A164" s="4" t="n">
        <v>2</v>
      </c>
      <c r="B164" s="4" t="s">
        <v>14</v>
      </c>
      <c r="C164" s="8" t="s">
        <v>72</v>
      </c>
      <c r="D164" s="21" t="n">
        <v>39090</v>
      </c>
      <c r="E164" s="22" t="n">
        <v>177.08</v>
      </c>
      <c r="F164" s="21" t="n">
        <v>39091</v>
      </c>
      <c r="G164" s="22" t="n">
        <v>177.91</v>
      </c>
      <c r="H164" s="22" t="n">
        <v>165.42</v>
      </c>
      <c r="I164" s="21" t="n">
        <v>39115</v>
      </c>
      <c r="J164" s="22" t="n">
        <v>183.2</v>
      </c>
      <c r="K164" s="21" t="n">
        <v>39118</v>
      </c>
      <c r="L164" s="22" t="n">
        <v>183.21</v>
      </c>
      <c r="M164" s="8" t="s">
        <v>73</v>
      </c>
      <c r="N164" s="4" t="n">
        <v>19</v>
      </c>
      <c r="O164" s="6" t="n">
        <f aca="false">IF(C164="롱",(J164-E164)/E164,(E164-J164)/E164)</f>
        <v>0.034560650553422</v>
      </c>
    </row>
    <row r="165" customFormat="false" ht="17.15" hidden="false" customHeight="false" outlineLevel="0" collapsed="false">
      <c r="A165" s="4" t="n">
        <v>1</v>
      </c>
      <c r="B165" s="4" t="s">
        <v>12</v>
      </c>
      <c r="C165" s="8" t="s">
        <v>72</v>
      </c>
      <c r="D165" s="21" t="n">
        <v>39107</v>
      </c>
      <c r="E165" s="22" t="n">
        <v>179.12</v>
      </c>
      <c r="F165" s="21" t="n">
        <v>39108</v>
      </c>
      <c r="G165" s="22" t="n">
        <v>177.83</v>
      </c>
      <c r="H165" s="22" t="n">
        <v>166.64</v>
      </c>
      <c r="I165" s="21" t="n">
        <v>39111</v>
      </c>
      <c r="J165" s="22" t="n">
        <v>176.41</v>
      </c>
      <c r="K165" s="21" t="n">
        <v>39112</v>
      </c>
      <c r="L165" s="22" t="n">
        <v>176.7</v>
      </c>
      <c r="M165" s="8" t="s">
        <v>73</v>
      </c>
      <c r="N165" s="4" t="n">
        <v>2</v>
      </c>
      <c r="O165" s="6" t="n">
        <f aca="false">IF(C165="롱",(J165-E165)/E165,(E165-J165)/E165)</f>
        <v>-0.015129522108084</v>
      </c>
    </row>
    <row r="166" customFormat="false" ht="17.15" hidden="false" customHeight="false" outlineLevel="0" collapsed="false">
      <c r="A166" s="4" t="n">
        <v>7</v>
      </c>
      <c r="B166" s="4" t="s">
        <v>24</v>
      </c>
      <c r="C166" s="8" t="s">
        <v>72</v>
      </c>
      <c r="D166" s="21" t="n">
        <v>39111</v>
      </c>
      <c r="E166" s="22" t="n">
        <v>176.41</v>
      </c>
      <c r="F166" s="21" t="n">
        <v>39112</v>
      </c>
      <c r="G166" s="22" t="n">
        <v>176.7</v>
      </c>
      <c r="H166" s="22" t="n">
        <v>163.73</v>
      </c>
      <c r="I166" s="21" t="n">
        <v>39115</v>
      </c>
      <c r="J166" s="22" t="n">
        <v>183.2</v>
      </c>
      <c r="K166" s="21" t="n">
        <v>39118</v>
      </c>
      <c r="L166" s="22" t="n">
        <v>183.21</v>
      </c>
      <c r="M166" s="8" t="s">
        <v>73</v>
      </c>
      <c r="N166" s="4" t="n">
        <v>4</v>
      </c>
      <c r="O166" s="6" t="n">
        <f aca="false">IF(C166="롱",(J166-E166)/E166,(E166-J166)/E166)</f>
        <v>0.0384898815259905</v>
      </c>
    </row>
    <row r="167" customFormat="false" ht="17.15" hidden="false" customHeight="false" outlineLevel="0" collapsed="false">
      <c r="A167" s="4" t="n">
        <v>1</v>
      </c>
      <c r="B167" s="4" t="s">
        <v>12</v>
      </c>
      <c r="C167" s="8" t="s">
        <v>72</v>
      </c>
      <c r="D167" s="21" t="n">
        <v>39114</v>
      </c>
      <c r="E167" s="22" t="n">
        <v>179.1</v>
      </c>
      <c r="F167" s="21" t="n">
        <v>39115</v>
      </c>
      <c r="G167" s="22" t="n">
        <v>179.58</v>
      </c>
      <c r="H167" s="22" t="n">
        <v>166.68</v>
      </c>
      <c r="I167" s="21" t="n">
        <v>39141</v>
      </c>
      <c r="J167" s="22" t="n">
        <v>183.2</v>
      </c>
      <c r="K167" s="21" t="n">
        <v>39143</v>
      </c>
      <c r="L167" s="22" t="n">
        <v>181.87</v>
      </c>
      <c r="M167" s="8" t="s">
        <v>73</v>
      </c>
      <c r="N167" s="4" t="n">
        <v>18</v>
      </c>
      <c r="O167" s="6" t="n">
        <f aca="false">IF(C167="롱",(J167-E167)/E167,(E167-J167)/E167)</f>
        <v>0.022892238972641</v>
      </c>
    </row>
    <row r="168" customFormat="false" ht="17.15" hidden="false" customHeight="false" outlineLevel="0" collapsed="false">
      <c r="A168" s="4" t="n">
        <v>10</v>
      </c>
      <c r="B168" s="4" t="s">
        <v>30</v>
      </c>
      <c r="C168" s="8" t="s">
        <v>72</v>
      </c>
      <c r="D168" s="21" t="n">
        <v>39114</v>
      </c>
      <c r="E168" s="22" t="n">
        <v>179.1</v>
      </c>
      <c r="F168" s="21" t="n">
        <v>39115</v>
      </c>
      <c r="G168" s="22" t="n">
        <v>179.58</v>
      </c>
      <c r="H168" s="22" t="n">
        <v>166.68</v>
      </c>
      <c r="I168" s="21" t="n">
        <v>39141</v>
      </c>
      <c r="J168" s="22" t="n">
        <v>183.2</v>
      </c>
      <c r="K168" s="21" t="n">
        <v>39143</v>
      </c>
      <c r="L168" s="22" t="n">
        <v>181.87</v>
      </c>
      <c r="M168" s="8" t="s">
        <v>73</v>
      </c>
      <c r="N168" s="4" t="n">
        <v>18</v>
      </c>
      <c r="O168" s="6" t="n">
        <f aca="false">IF(C168="롱",(J168-E168)/E168,(E168-J168)/E168)</f>
        <v>0.022892238972641</v>
      </c>
    </row>
    <row r="169" customFormat="false" ht="17.15" hidden="false" customHeight="false" outlineLevel="0" collapsed="false">
      <c r="A169" s="4" t="n">
        <v>4</v>
      </c>
      <c r="B169" s="4" t="s">
        <v>18</v>
      </c>
      <c r="C169" s="8" t="s">
        <v>72</v>
      </c>
      <c r="D169" s="21" t="n">
        <v>39115</v>
      </c>
      <c r="E169" s="22" t="n">
        <v>183.2</v>
      </c>
      <c r="F169" s="21" t="n">
        <v>39118</v>
      </c>
      <c r="G169" s="22" t="n">
        <v>183.21</v>
      </c>
      <c r="H169" s="22" t="n">
        <v>170.66</v>
      </c>
      <c r="I169" s="21" t="n">
        <v>39146</v>
      </c>
      <c r="J169" s="22" t="n">
        <v>177.69</v>
      </c>
      <c r="K169" s="21" t="n">
        <v>39147</v>
      </c>
      <c r="L169" s="22" t="n">
        <v>178.66</v>
      </c>
      <c r="M169" s="8" t="s">
        <v>73</v>
      </c>
      <c r="N169" s="4" t="n">
        <v>19</v>
      </c>
      <c r="O169" s="6" t="n">
        <f aca="false">IF(C169="롱",(J169-E169)/E169,(E169-J169)/E169)</f>
        <v>-0.0300764192139738</v>
      </c>
    </row>
    <row r="170" customFormat="false" ht="17.15" hidden="false" customHeight="false" outlineLevel="0" collapsed="false">
      <c r="A170" s="4" t="n">
        <v>5</v>
      </c>
      <c r="B170" s="4" t="s">
        <v>20</v>
      </c>
      <c r="C170" s="8" t="s">
        <v>72</v>
      </c>
      <c r="D170" s="21" t="n">
        <v>39115</v>
      </c>
      <c r="E170" s="22" t="n">
        <v>183.2</v>
      </c>
      <c r="F170" s="21" t="n">
        <v>39118</v>
      </c>
      <c r="G170" s="22" t="n">
        <v>183.21</v>
      </c>
      <c r="H170" s="22" t="n">
        <v>170.66</v>
      </c>
      <c r="I170" s="21" t="n">
        <v>39146</v>
      </c>
      <c r="J170" s="22" t="n">
        <v>177.69</v>
      </c>
      <c r="K170" s="21" t="n">
        <v>39147</v>
      </c>
      <c r="L170" s="22" t="n">
        <v>178.66</v>
      </c>
      <c r="M170" s="8" t="s">
        <v>73</v>
      </c>
      <c r="N170" s="4" t="n">
        <v>19</v>
      </c>
      <c r="O170" s="6" t="n">
        <f aca="false">IF(C170="롱",(J170-E170)/E170,(E170-J170)/E170)</f>
        <v>-0.0300764192139738</v>
      </c>
    </row>
    <row r="171" customFormat="false" ht="17.15" hidden="false" customHeight="false" outlineLevel="0" collapsed="false">
      <c r="A171" s="4" t="n">
        <v>6</v>
      </c>
      <c r="B171" s="4" t="s">
        <v>22</v>
      </c>
      <c r="C171" s="8" t="s">
        <v>72</v>
      </c>
      <c r="D171" s="21" t="n">
        <v>39118</v>
      </c>
      <c r="E171" s="22" t="n">
        <v>183.73</v>
      </c>
      <c r="F171" s="21" t="n">
        <v>39119</v>
      </c>
      <c r="G171" s="22" t="n">
        <v>183.46</v>
      </c>
      <c r="H171" s="22" t="n">
        <v>171.48</v>
      </c>
      <c r="I171" s="21" t="n">
        <v>39125</v>
      </c>
      <c r="J171" s="22" t="n">
        <v>182.8</v>
      </c>
      <c r="K171" s="21" t="n">
        <v>39126</v>
      </c>
      <c r="L171" s="22" t="n">
        <v>182.59</v>
      </c>
      <c r="M171" s="8" t="s">
        <v>73</v>
      </c>
      <c r="N171" s="4" t="n">
        <v>5</v>
      </c>
      <c r="O171" s="6" t="n">
        <f aca="false">IF(C171="롱",(J171-E171)/E171,(E171-J171)/E171)</f>
        <v>-0.00506177543133935</v>
      </c>
    </row>
    <row r="172" customFormat="false" ht="17.15" hidden="false" customHeight="false" outlineLevel="0" collapsed="false">
      <c r="A172" s="4" t="n">
        <v>6</v>
      </c>
      <c r="B172" s="4" t="s">
        <v>22</v>
      </c>
      <c r="C172" s="8" t="s">
        <v>72</v>
      </c>
      <c r="D172" s="21" t="n">
        <v>39128</v>
      </c>
      <c r="E172" s="22" t="n">
        <v>186.82</v>
      </c>
      <c r="F172" s="21" t="n">
        <v>39129</v>
      </c>
      <c r="G172" s="22" t="n">
        <v>186.9</v>
      </c>
      <c r="H172" s="22" t="n">
        <v>175.06</v>
      </c>
      <c r="I172" s="21" t="n">
        <v>39140</v>
      </c>
      <c r="J172" s="22" t="n">
        <v>188.15</v>
      </c>
      <c r="K172" s="21" t="n">
        <v>39141</v>
      </c>
      <c r="L172" s="22" t="n">
        <v>180.5</v>
      </c>
      <c r="M172" s="8" t="s">
        <v>73</v>
      </c>
      <c r="N172" s="4" t="n">
        <v>7</v>
      </c>
      <c r="O172" s="6" t="n">
        <f aca="false">IF(C172="롱",(J172-E172)/E172,(E172-J172)/E172)</f>
        <v>0.00711915212504021</v>
      </c>
    </row>
    <row r="173" customFormat="false" ht="17.15" hidden="false" customHeight="false" outlineLevel="0" collapsed="false">
      <c r="A173" s="4" t="n">
        <v>7</v>
      </c>
      <c r="B173" s="4" t="s">
        <v>24</v>
      </c>
      <c r="C173" s="8" t="s">
        <v>72</v>
      </c>
      <c r="D173" s="21" t="n">
        <v>39141</v>
      </c>
      <c r="E173" s="22" t="n">
        <v>183.2</v>
      </c>
      <c r="F173" s="21" t="n">
        <v>39143</v>
      </c>
      <c r="G173" s="22" t="n">
        <v>181.87</v>
      </c>
      <c r="H173" s="22" t="n">
        <v>171.06</v>
      </c>
      <c r="I173" s="21" t="n">
        <v>39176</v>
      </c>
      <c r="J173" s="22" t="n">
        <v>191.77</v>
      </c>
      <c r="K173" s="21" t="n">
        <v>39177</v>
      </c>
      <c r="L173" s="22" t="n">
        <v>192</v>
      </c>
      <c r="M173" s="8" t="s">
        <v>73</v>
      </c>
      <c r="N173" s="4" t="n">
        <v>24</v>
      </c>
      <c r="O173" s="6" t="n">
        <f aca="false">IF(C173="롱",(J173-E173)/E173,(E173-J173)/E173)</f>
        <v>0.0467794759825329</v>
      </c>
    </row>
    <row r="174" customFormat="false" ht="17.15" hidden="false" customHeight="false" outlineLevel="0" collapsed="false">
      <c r="A174" s="4" t="n">
        <v>8</v>
      </c>
      <c r="B174" s="4" t="s">
        <v>26</v>
      </c>
      <c r="C174" s="8" t="s">
        <v>72</v>
      </c>
      <c r="D174" s="21" t="n">
        <v>39146</v>
      </c>
      <c r="E174" s="22" t="n">
        <v>177.69</v>
      </c>
      <c r="F174" s="21" t="n">
        <v>39147</v>
      </c>
      <c r="G174" s="22" t="n">
        <v>178.66</v>
      </c>
      <c r="H174" s="22" t="n">
        <v>165.04</v>
      </c>
      <c r="I174" s="21" t="n">
        <v>39147</v>
      </c>
      <c r="J174" s="22" t="n">
        <v>181.23</v>
      </c>
      <c r="K174" s="21" t="n">
        <v>39148</v>
      </c>
      <c r="L174" s="22" t="n">
        <v>182.9</v>
      </c>
      <c r="M174" s="8" t="s">
        <v>73</v>
      </c>
      <c r="N174" s="4" t="n">
        <v>1</v>
      </c>
      <c r="O174" s="6" t="n">
        <f aca="false">IF(C174="롱",(J174-E174)/E174,(E174-J174)/E174)</f>
        <v>0.0199223366537227</v>
      </c>
    </row>
    <row r="175" customFormat="false" ht="17.15" hidden="false" customHeight="false" outlineLevel="0" collapsed="false">
      <c r="A175" s="4" t="n">
        <v>5</v>
      </c>
      <c r="B175" s="4" t="s">
        <v>20</v>
      </c>
      <c r="C175" s="8" t="s">
        <v>72</v>
      </c>
      <c r="D175" s="21" t="n">
        <v>39148</v>
      </c>
      <c r="E175" s="22" t="n">
        <v>182.36</v>
      </c>
      <c r="F175" s="21" t="n">
        <v>39149</v>
      </c>
      <c r="G175" s="22" t="n">
        <v>182.07</v>
      </c>
      <c r="H175" s="22" t="n">
        <v>169.57</v>
      </c>
      <c r="I175" s="21" t="n">
        <v>39155</v>
      </c>
      <c r="J175" s="22" t="n">
        <v>181.81</v>
      </c>
      <c r="K175" s="21" t="n">
        <v>39156</v>
      </c>
      <c r="L175" s="22" t="n">
        <v>183.35</v>
      </c>
      <c r="M175" s="8" t="s">
        <v>73</v>
      </c>
      <c r="N175" s="4" t="n">
        <v>5</v>
      </c>
      <c r="O175" s="6" t="n">
        <f aca="false">IF(C175="롱",(J175-E175)/E175,(E175-J175)/E175)</f>
        <v>-0.00301601228339554</v>
      </c>
    </row>
    <row r="176" customFormat="false" ht="17.15" hidden="false" customHeight="false" outlineLevel="0" collapsed="false">
      <c r="A176" s="4" t="n">
        <v>3</v>
      </c>
      <c r="B176" s="4" t="s">
        <v>16</v>
      </c>
      <c r="C176" s="8" t="s">
        <v>72</v>
      </c>
      <c r="D176" s="21" t="n">
        <v>39149</v>
      </c>
      <c r="E176" s="22" t="n">
        <v>183.94</v>
      </c>
      <c r="F176" s="21" t="n">
        <v>39150</v>
      </c>
      <c r="G176" s="22" t="n">
        <v>185.24</v>
      </c>
      <c r="H176" s="22" t="n">
        <v>170.79</v>
      </c>
      <c r="I176" s="21" t="n">
        <v>39212</v>
      </c>
      <c r="J176" s="22" t="n">
        <v>205.51</v>
      </c>
      <c r="K176" s="21" t="n">
        <v>39213</v>
      </c>
      <c r="L176" s="22" t="n">
        <v>204.14</v>
      </c>
      <c r="M176" s="8" t="s">
        <v>73</v>
      </c>
      <c r="N176" s="4" t="n">
        <v>44</v>
      </c>
      <c r="O176" s="6" t="n">
        <f aca="false">IF(C176="롱",(J176-E176)/E176,(E176-J176)/E176)</f>
        <v>0.117266499945634</v>
      </c>
    </row>
    <row r="177" customFormat="false" ht="17.15" hidden="false" customHeight="false" outlineLevel="0" collapsed="false">
      <c r="A177" s="4" t="n">
        <v>5</v>
      </c>
      <c r="B177" s="4" t="s">
        <v>20</v>
      </c>
      <c r="C177" s="8" t="s">
        <v>72</v>
      </c>
      <c r="D177" s="21" t="n">
        <v>39156</v>
      </c>
      <c r="E177" s="22" t="n">
        <v>184.41</v>
      </c>
      <c r="F177" s="21" t="n">
        <v>39157</v>
      </c>
      <c r="G177" s="22" t="n">
        <v>184.59</v>
      </c>
      <c r="H177" s="22" t="n">
        <v>170.52</v>
      </c>
      <c r="I177" s="21" t="n">
        <v>39310</v>
      </c>
      <c r="J177" s="22" t="n">
        <v>215.67</v>
      </c>
      <c r="K177" s="21" t="n">
        <v>39311</v>
      </c>
      <c r="L177" s="22" t="n">
        <v>217.05</v>
      </c>
      <c r="M177" s="8" t="s">
        <v>73</v>
      </c>
      <c r="N177" s="4" t="n">
        <v>105</v>
      </c>
      <c r="O177" s="6" t="n">
        <f aca="false">IF(C177="롱",(J177-E177)/E177,(E177-J177)/E177)</f>
        <v>0.169513583862046</v>
      </c>
    </row>
    <row r="178" customFormat="false" ht="17.15" hidden="false" customHeight="false" outlineLevel="0" collapsed="false">
      <c r="A178" s="4" t="n">
        <v>10</v>
      </c>
      <c r="B178" s="4" t="s">
        <v>30</v>
      </c>
      <c r="C178" s="8" t="s">
        <v>72</v>
      </c>
      <c r="D178" s="21" t="n">
        <v>39160</v>
      </c>
      <c r="E178" s="22" t="n">
        <v>186.31</v>
      </c>
      <c r="F178" s="21" t="n">
        <v>39161</v>
      </c>
      <c r="G178" s="22" t="n">
        <v>187.02</v>
      </c>
      <c r="H178" s="22" t="n">
        <v>172.36</v>
      </c>
      <c r="I178" s="21" t="n">
        <v>39260</v>
      </c>
      <c r="J178" s="22" t="n">
        <v>220.35</v>
      </c>
      <c r="K178" s="21" t="n">
        <v>39261</v>
      </c>
      <c r="L178" s="22" t="n">
        <v>221.93</v>
      </c>
      <c r="M178" s="8" t="s">
        <v>73</v>
      </c>
      <c r="N178" s="4" t="n">
        <v>69</v>
      </c>
      <c r="O178" s="6" t="n">
        <f aca="false">IF(C178="롱",(J178-E178)/E178,(E178-J178)/E178)</f>
        <v>0.182706242284365</v>
      </c>
    </row>
    <row r="179" customFormat="false" ht="17.15" hidden="false" customHeight="false" outlineLevel="0" collapsed="false">
      <c r="A179" s="4" t="n">
        <v>1</v>
      </c>
      <c r="B179" s="4" t="s">
        <v>12</v>
      </c>
      <c r="C179" s="8" t="s">
        <v>72</v>
      </c>
      <c r="D179" s="21" t="n">
        <v>39161</v>
      </c>
      <c r="E179" s="22" t="n">
        <v>186.34</v>
      </c>
      <c r="F179" s="21" t="n">
        <v>39162</v>
      </c>
      <c r="G179" s="22" t="n">
        <v>186.58</v>
      </c>
      <c r="H179" s="22" t="n">
        <v>172.44</v>
      </c>
      <c r="I179" s="21" t="n">
        <v>39202</v>
      </c>
      <c r="J179" s="22" t="n">
        <v>198.55</v>
      </c>
      <c r="K179" s="21" t="n">
        <v>39204</v>
      </c>
      <c r="L179" s="22" t="n">
        <v>199.76</v>
      </c>
      <c r="M179" s="8" t="s">
        <v>73</v>
      </c>
      <c r="N179" s="4" t="n">
        <v>29</v>
      </c>
      <c r="O179" s="6" t="n">
        <f aca="false">IF(C179="롱",(J179-E179)/E179,(E179-J179)/E179)</f>
        <v>0.0655253837072019</v>
      </c>
    </row>
    <row r="180" customFormat="false" ht="17.15" hidden="false" customHeight="false" outlineLevel="0" collapsed="false">
      <c r="A180" s="4" t="n">
        <v>6</v>
      </c>
      <c r="B180" s="4" t="s">
        <v>22</v>
      </c>
      <c r="C180" s="8" t="s">
        <v>72</v>
      </c>
      <c r="D180" s="21" t="n">
        <v>39161</v>
      </c>
      <c r="E180" s="22" t="n">
        <v>186.34</v>
      </c>
      <c r="F180" s="21" t="n">
        <v>39162</v>
      </c>
      <c r="G180" s="22" t="n">
        <v>186.58</v>
      </c>
      <c r="H180" s="22" t="n">
        <v>172.44</v>
      </c>
      <c r="I180" s="21" t="n">
        <v>39169</v>
      </c>
      <c r="J180" s="22" t="n">
        <v>185.96</v>
      </c>
      <c r="K180" s="21" t="n">
        <v>39170</v>
      </c>
      <c r="L180" s="22" t="n">
        <v>185.32</v>
      </c>
      <c r="M180" s="8" t="s">
        <v>73</v>
      </c>
      <c r="N180" s="4" t="n">
        <v>6</v>
      </c>
      <c r="O180" s="6" t="n">
        <f aca="false">IF(C180="롱",(J180-E180)/E180,(E180-J180)/E180)</f>
        <v>-0.00203928303101854</v>
      </c>
    </row>
    <row r="181" customFormat="false" ht="17.15" hidden="false" customHeight="false" outlineLevel="0" collapsed="false">
      <c r="A181" s="4" t="n">
        <v>4</v>
      </c>
      <c r="B181" s="4" t="s">
        <v>18</v>
      </c>
      <c r="C181" s="8" t="s">
        <v>72</v>
      </c>
      <c r="D181" s="21" t="n">
        <v>39162</v>
      </c>
      <c r="E181" s="22" t="n">
        <v>186.24</v>
      </c>
      <c r="F181" s="21" t="n">
        <v>39163</v>
      </c>
      <c r="G181" s="22" t="n">
        <v>187.48</v>
      </c>
      <c r="H181" s="22" t="n">
        <v>172.11</v>
      </c>
      <c r="I181" s="21" t="n">
        <v>39262</v>
      </c>
      <c r="J181" s="22" t="n">
        <v>221.31</v>
      </c>
      <c r="K181" s="21" t="n">
        <v>39265</v>
      </c>
      <c r="L181" s="22" t="n">
        <v>220.88</v>
      </c>
      <c r="M181" s="8" t="s">
        <v>73</v>
      </c>
      <c r="N181" s="4" t="n">
        <v>69</v>
      </c>
      <c r="O181" s="6" t="n">
        <f aca="false">IF(C181="롱",(J181-E181)/E181,(E181-J181)/E181)</f>
        <v>0.188305412371134</v>
      </c>
    </row>
    <row r="182" customFormat="false" ht="17.15" hidden="false" customHeight="false" outlineLevel="0" collapsed="false">
      <c r="A182" s="4" t="n">
        <v>6</v>
      </c>
      <c r="B182" s="4" t="s">
        <v>22</v>
      </c>
      <c r="C182" s="8" t="s">
        <v>72</v>
      </c>
      <c r="D182" s="21" t="n">
        <v>39174</v>
      </c>
      <c r="E182" s="22" t="n">
        <v>188.56</v>
      </c>
      <c r="F182" s="21" t="n">
        <v>39175</v>
      </c>
      <c r="G182" s="22" t="n">
        <v>189.1</v>
      </c>
      <c r="H182" s="22" t="n">
        <v>176.51</v>
      </c>
      <c r="I182" s="21" t="n">
        <v>39191</v>
      </c>
      <c r="J182" s="22" t="n">
        <v>194.59</v>
      </c>
      <c r="K182" s="21" t="n">
        <v>39192</v>
      </c>
      <c r="L182" s="22" t="n">
        <v>195.27</v>
      </c>
      <c r="M182" s="8" t="s">
        <v>73</v>
      </c>
      <c r="N182" s="4" t="n">
        <v>13</v>
      </c>
      <c r="O182" s="6" t="n">
        <f aca="false">IF(C182="롱",(J182-E182)/E182,(E182-J182)/E182)</f>
        <v>0.0319792108612643</v>
      </c>
    </row>
    <row r="183" customFormat="false" ht="17.15" hidden="false" customHeight="false" outlineLevel="0" collapsed="false">
      <c r="A183" s="4" t="n">
        <v>6</v>
      </c>
      <c r="B183" s="4" t="s">
        <v>22</v>
      </c>
      <c r="C183" s="8" t="s">
        <v>72</v>
      </c>
      <c r="D183" s="21" t="n">
        <v>39196</v>
      </c>
      <c r="E183" s="22" t="n">
        <v>200.02</v>
      </c>
      <c r="F183" s="21" t="n">
        <v>39197</v>
      </c>
      <c r="G183" s="22" t="n">
        <v>200.16</v>
      </c>
      <c r="H183" s="22" t="n">
        <v>189.07</v>
      </c>
      <c r="I183" s="21" t="n">
        <v>39199</v>
      </c>
      <c r="J183" s="22" t="n">
        <v>198.28</v>
      </c>
      <c r="K183" s="21" t="n">
        <v>39202</v>
      </c>
      <c r="L183" s="22" t="n">
        <v>197.9</v>
      </c>
      <c r="M183" s="8" t="s">
        <v>73</v>
      </c>
      <c r="N183" s="4" t="n">
        <v>3</v>
      </c>
      <c r="O183" s="6" t="n">
        <f aca="false">IF(C183="롱",(J183-E183)/E183,(E183-J183)/E183)</f>
        <v>-0.00869913008699135</v>
      </c>
    </row>
    <row r="184" customFormat="false" ht="17.15" hidden="false" customHeight="false" outlineLevel="0" collapsed="false">
      <c r="A184" s="4" t="n">
        <v>1</v>
      </c>
      <c r="B184" s="4" t="s">
        <v>12</v>
      </c>
      <c r="C184" s="8" t="s">
        <v>72</v>
      </c>
      <c r="D184" s="21" t="n">
        <v>39206</v>
      </c>
      <c r="E184" s="22" t="n">
        <v>201.56</v>
      </c>
      <c r="F184" s="21" t="n">
        <v>39209</v>
      </c>
      <c r="G184" s="22" t="n">
        <v>202.45</v>
      </c>
      <c r="H184" s="22" t="n">
        <v>190.7</v>
      </c>
      <c r="I184" s="21" t="n">
        <v>39246</v>
      </c>
      <c r="J184" s="22" t="n">
        <v>218.59</v>
      </c>
      <c r="K184" s="21" t="n">
        <v>39247</v>
      </c>
      <c r="L184" s="22" t="n">
        <v>221.05</v>
      </c>
      <c r="M184" s="8" t="s">
        <v>73</v>
      </c>
      <c r="N184" s="4" t="n">
        <v>26</v>
      </c>
      <c r="O184" s="6" t="n">
        <f aca="false">IF(C184="롱",(J184-E184)/E184,(E184-J184)/E184)</f>
        <v>0.084490970430641</v>
      </c>
    </row>
    <row r="185" customFormat="false" ht="17.15" hidden="false" customHeight="false" outlineLevel="0" collapsed="false">
      <c r="A185" s="4" t="n">
        <v>6</v>
      </c>
      <c r="B185" s="4" t="s">
        <v>22</v>
      </c>
      <c r="C185" s="8" t="s">
        <v>72</v>
      </c>
      <c r="D185" s="21" t="n">
        <v>39206</v>
      </c>
      <c r="E185" s="22" t="n">
        <v>201.56</v>
      </c>
      <c r="F185" s="21" t="n">
        <v>39209</v>
      </c>
      <c r="G185" s="22" t="n">
        <v>202.45</v>
      </c>
      <c r="H185" s="22" t="n">
        <v>190.7</v>
      </c>
      <c r="I185" s="21" t="n">
        <v>39217</v>
      </c>
      <c r="J185" s="22" t="n">
        <v>204.22</v>
      </c>
      <c r="K185" s="21" t="n">
        <v>39218</v>
      </c>
      <c r="L185" s="22" t="n">
        <v>204.42</v>
      </c>
      <c r="M185" s="8" t="s">
        <v>73</v>
      </c>
      <c r="N185" s="4" t="n">
        <v>7</v>
      </c>
      <c r="O185" s="6" t="n">
        <f aca="false">IF(C185="롱",(J185-E185)/E185,(E185-J185)/E185)</f>
        <v>0.0131970629093074</v>
      </c>
    </row>
    <row r="186" customFormat="false" ht="17.15" hidden="false" customHeight="false" outlineLevel="0" collapsed="false">
      <c r="A186" s="4" t="n">
        <v>6</v>
      </c>
      <c r="B186" s="4" t="s">
        <v>22</v>
      </c>
      <c r="C186" s="8" t="s">
        <v>72</v>
      </c>
      <c r="D186" s="21" t="n">
        <v>39225</v>
      </c>
      <c r="E186" s="22" t="n">
        <v>211.15</v>
      </c>
      <c r="F186" s="21" t="n">
        <v>39227</v>
      </c>
      <c r="G186" s="22" t="n">
        <v>208.83</v>
      </c>
      <c r="H186" s="22" t="n">
        <v>199.72</v>
      </c>
      <c r="I186" s="21" t="n">
        <v>39241</v>
      </c>
      <c r="J186" s="22" t="n">
        <v>219.8</v>
      </c>
      <c r="K186" s="21" t="n">
        <v>39244</v>
      </c>
      <c r="L186" s="22" t="n">
        <v>221.38</v>
      </c>
      <c r="M186" s="8" t="s">
        <v>73</v>
      </c>
      <c r="N186" s="4" t="n">
        <v>10</v>
      </c>
      <c r="O186" s="6" t="n">
        <f aca="false">IF(C186="롱",(J186-E186)/E186,(E186-J186)/E186)</f>
        <v>0.040966137816718</v>
      </c>
    </row>
    <row r="187" customFormat="false" ht="17.15" hidden="false" customHeight="false" outlineLevel="0" collapsed="false">
      <c r="A187" s="4" t="n">
        <v>1</v>
      </c>
      <c r="B187" s="4" t="s">
        <v>12</v>
      </c>
      <c r="C187" s="8" t="s">
        <v>72</v>
      </c>
      <c r="D187" s="21" t="n">
        <v>39247</v>
      </c>
      <c r="E187" s="22" t="n">
        <v>224.46</v>
      </c>
      <c r="F187" s="21" t="n">
        <v>39248</v>
      </c>
      <c r="G187" s="22" t="n">
        <v>224.85</v>
      </c>
      <c r="H187" s="22" t="n">
        <v>208.37</v>
      </c>
      <c r="I187" s="21" t="n">
        <v>39255</v>
      </c>
      <c r="J187" s="22" t="n">
        <v>224.95</v>
      </c>
      <c r="K187" s="21" t="n">
        <v>39258</v>
      </c>
      <c r="L187" s="22" t="n">
        <v>222.73</v>
      </c>
      <c r="M187" s="8" t="s">
        <v>73</v>
      </c>
      <c r="N187" s="4" t="n">
        <v>6</v>
      </c>
      <c r="O187" s="6" t="n">
        <f aca="false">IF(C187="롱",(J187-E187)/E187,(E187-J187)/E187)</f>
        <v>0.00218301701862239</v>
      </c>
    </row>
    <row r="188" customFormat="false" ht="17.15" hidden="false" customHeight="false" outlineLevel="0" collapsed="false">
      <c r="A188" s="4" t="n">
        <v>6</v>
      </c>
      <c r="B188" s="4" t="s">
        <v>22</v>
      </c>
      <c r="C188" s="8" t="s">
        <v>72</v>
      </c>
      <c r="D188" s="21" t="n">
        <v>39251</v>
      </c>
      <c r="E188" s="22" t="n">
        <v>228.8</v>
      </c>
      <c r="F188" s="21" t="n">
        <v>39252</v>
      </c>
      <c r="G188" s="22" t="n">
        <v>229.75</v>
      </c>
      <c r="H188" s="22" t="n">
        <v>212.16</v>
      </c>
      <c r="I188" s="21" t="n">
        <v>39253</v>
      </c>
      <c r="J188" s="22" t="n">
        <v>226.58</v>
      </c>
      <c r="K188" s="21" t="n">
        <v>39254</v>
      </c>
      <c r="L188" s="22" t="n">
        <v>225.65</v>
      </c>
      <c r="M188" s="8" t="s">
        <v>73</v>
      </c>
      <c r="N188" s="4" t="n">
        <v>2</v>
      </c>
      <c r="O188" s="6" t="n">
        <f aca="false">IF(C188="롱",(J188-E188)/E188,(E188-J188)/E188)</f>
        <v>-0.0097027972027972</v>
      </c>
    </row>
    <row r="189" customFormat="false" ht="17.15" hidden="false" customHeight="false" outlineLevel="0" collapsed="false">
      <c r="A189" s="4" t="n">
        <v>4</v>
      </c>
      <c r="B189" s="4" t="s">
        <v>18</v>
      </c>
      <c r="C189" s="8" t="s">
        <v>72</v>
      </c>
      <c r="D189" s="21" t="n">
        <v>39266</v>
      </c>
      <c r="E189" s="22" t="n">
        <v>229.29</v>
      </c>
      <c r="F189" s="21" t="n">
        <v>39267</v>
      </c>
      <c r="G189" s="22" t="n">
        <v>230.61</v>
      </c>
      <c r="H189" s="22" t="n">
        <v>210.29</v>
      </c>
      <c r="I189" s="21" t="n">
        <v>39295</v>
      </c>
      <c r="J189" s="22" t="n">
        <v>234.36</v>
      </c>
      <c r="K189" s="21" t="n">
        <v>39296</v>
      </c>
      <c r="L189" s="22" t="n">
        <v>236.5</v>
      </c>
      <c r="M189" s="8" t="s">
        <v>73</v>
      </c>
      <c r="N189" s="4" t="n">
        <v>20</v>
      </c>
      <c r="O189" s="6" t="n">
        <f aca="false">IF(C189="롱",(J189-E189)/E189,(E189-J189)/E189)</f>
        <v>0.0221117362292295</v>
      </c>
    </row>
    <row r="190" customFormat="false" ht="17.15" hidden="false" customHeight="false" outlineLevel="0" collapsed="false">
      <c r="A190" s="4" t="n">
        <v>1</v>
      </c>
      <c r="B190" s="4" t="s">
        <v>12</v>
      </c>
      <c r="C190" s="8" t="s">
        <v>72</v>
      </c>
      <c r="D190" s="21" t="n">
        <v>39268</v>
      </c>
      <c r="E190" s="22" t="n">
        <v>234.75</v>
      </c>
      <c r="F190" s="21" t="n">
        <v>39269</v>
      </c>
      <c r="G190" s="22" t="n">
        <v>235.5</v>
      </c>
      <c r="H190" s="22" t="n">
        <v>215.65</v>
      </c>
      <c r="I190" s="21" t="n">
        <v>39290</v>
      </c>
      <c r="J190" s="22" t="n">
        <v>238.34</v>
      </c>
      <c r="K190" s="21" t="n">
        <v>39293</v>
      </c>
      <c r="L190" s="22" t="n">
        <v>237.31</v>
      </c>
      <c r="M190" s="8" t="s">
        <v>73</v>
      </c>
      <c r="N190" s="4" t="n">
        <v>15</v>
      </c>
      <c r="O190" s="6" t="n">
        <f aca="false">IF(C190="롱",(J190-E190)/E190,(E190-J190)/E190)</f>
        <v>0.0152928647497338</v>
      </c>
    </row>
    <row r="191" customFormat="false" ht="17.15" hidden="false" customHeight="false" outlineLevel="0" collapsed="false">
      <c r="A191" s="4" t="n">
        <v>6</v>
      </c>
      <c r="B191" s="4" t="s">
        <v>22</v>
      </c>
      <c r="C191" s="8" t="s">
        <v>72</v>
      </c>
      <c r="D191" s="21" t="n">
        <v>39268</v>
      </c>
      <c r="E191" s="22" t="n">
        <v>234.75</v>
      </c>
      <c r="F191" s="21" t="n">
        <v>39269</v>
      </c>
      <c r="G191" s="22" t="n">
        <v>235.5</v>
      </c>
      <c r="H191" s="22" t="n">
        <v>215.65</v>
      </c>
      <c r="I191" s="21" t="n">
        <v>39281</v>
      </c>
      <c r="J191" s="22" t="n">
        <v>244.92</v>
      </c>
      <c r="K191" s="21" t="n">
        <v>39282</v>
      </c>
      <c r="L191" s="22" t="n">
        <v>245.43</v>
      </c>
      <c r="M191" s="8" t="s">
        <v>73</v>
      </c>
      <c r="N191" s="4" t="n">
        <v>8</v>
      </c>
      <c r="O191" s="6" t="n">
        <f aca="false">IF(C191="롱",(J191-E191)/E191,(E191-J191)/E191)</f>
        <v>0.0433226837060702</v>
      </c>
    </row>
    <row r="192" customFormat="false" ht="17.15" hidden="false" customHeight="false" outlineLevel="0" collapsed="false">
      <c r="A192" s="4" t="n">
        <v>6</v>
      </c>
      <c r="B192" s="4" t="s">
        <v>22</v>
      </c>
      <c r="C192" s="8" t="s">
        <v>72</v>
      </c>
      <c r="D192" s="21" t="n">
        <v>39286</v>
      </c>
      <c r="E192" s="22" t="n">
        <v>252.28</v>
      </c>
      <c r="F192" s="21" t="n">
        <v>39287</v>
      </c>
      <c r="G192" s="22" t="n">
        <v>253.18</v>
      </c>
      <c r="H192" s="22" t="n">
        <v>231.71</v>
      </c>
      <c r="I192" s="21" t="n">
        <v>39289</v>
      </c>
      <c r="J192" s="22" t="n">
        <v>248.75</v>
      </c>
      <c r="K192" s="21" t="n">
        <v>39290</v>
      </c>
      <c r="L192" s="22" t="n">
        <v>243.56</v>
      </c>
      <c r="M192" s="8" t="s">
        <v>73</v>
      </c>
      <c r="N192" s="4" t="n">
        <v>3</v>
      </c>
      <c r="O192" s="6" t="n">
        <f aca="false">IF(C192="롱",(J192-E192)/E192,(E192-J192)/E192)</f>
        <v>-0.0139923894085936</v>
      </c>
    </row>
    <row r="193" customFormat="false" ht="17.15" hidden="false" customHeight="false" outlineLevel="0" collapsed="false">
      <c r="A193" s="4" t="n">
        <v>3</v>
      </c>
      <c r="B193" s="4" t="s">
        <v>16</v>
      </c>
      <c r="C193" s="8" t="s">
        <v>72</v>
      </c>
      <c r="D193" s="21" t="n">
        <v>39293</v>
      </c>
      <c r="E193" s="22" t="n">
        <v>241.39</v>
      </c>
      <c r="F193" s="21" t="n">
        <v>39294</v>
      </c>
      <c r="G193" s="22" t="n">
        <v>242.46</v>
      </c>
      <c r="H193" s="22" t="n">
        <v>217.25</v>
      </c>
      <c r="I193" s="21" t="n">
        <v>39296</v>
      </c>
      <c r="J193" s="22" t="n">
        <v>233.84</v>
      </c>
      <c r="K193" s="21" t="n">
        <v>39297</v>
      </c>
      <c r="L193" s="22" t="n">
        <v>236.57</v>
      </c>
      <c r="M193" s="8" t="s">
        <v>73</v>
      </c>
      <c r="N193" s="4" t="n">
        <v>3</v>
      </c>
      <c r="O193" s="6" t="n">
        <f aca="false">IF(C193="롱",(J193-E193)/E193,(E193-J193)/E193)</f>
        <v>-0.0312771862960354</v>
      </c>
    </row>
    <row r="194" customFormat="false" ht="17.15" hidden="false" customHeight="false" outlineLevel="0" collapsed="false">
      <c r="A194" s="4" t="n">
        <v>3</v>
      </c>
      <c r="B194" s="4" t="s">
        <v>16</v>
      </c>
      <c r="C194" s="8" t="s">
        <v>72</v>
      </c>
      <c r="D194" s="21" t="n">
        <v>39302</v>
      </c>
      <c r="E194" s="22" t="n">
        <v>240.07</v>
      </c>
      <c r="F194" s="21" t="n">
        <v>39303</v>
      </c>
      <c r="G194" s="22" t="n">
        <v>242.85</v>
      </c>
      <c r="H194" s="22" t="n">
        <v>216.06</v>
      </c>
      <c r="I194" s="21" t="n">
        <v>39304</v>
      </c>
      <c r="J194" s="22" t="n">
        <v>230.68</v>
      </c>
      <c r="K194" s="21" t="n">
        <v>39307</v>
      </c>
      <c r="L194" s="22" t="n">
        <v>232.19</v>
      </c>
      <c r="M194" s="8" t="s">
        <v>73</v>
      </c>
      <c r="N194" s="4" t="n">
        <v>2</v>
      </c>
      <c r="O194" s="6" t="n">
        <f aca="false">IF(C194="롱",(J194-E194)/E194,(E194-J194)/E194)</f>
        <v>-0.0391135918690381</v>
      </c>
    </row>
    <row r="195" customFormat="false" ht="17.15" hidden="false" customHeight="false" outlineLevel="0" collapsed="false">
      <c r="A195" s="4" t="n">
        <v>2</v>
      </c>
      <c r="B195" s="4" t="s">
        <v>14</v>
      </c>
      <c r="C195" s="8" t="s">
        <v>72</v>
      </c>
      <c r="D195" s="21" t="n">
        <v>39310</v>
      </c>
      <c r="E195" s="22" t="n">
        <v>215.67</v>
      </c>
      <c r="F195" s="21" t="n">
        <v>39311</v>
      </c>
      <c r="G195" s="22" t="n">
        <v>217.05</v>
      </c>
      <c r="H195" s="22" t="n">
        <v>194.1</v>
      </c>
      <c r="I195" s="21" t="n">
        <v>39324</v>
      </c>
      <c r="J195" s="22" t="n">
        <v>234.22</v>
      </c>
      <c r="K195" s="21" t="n">
        <v>39325</v>
      </c>
      <c r="L195" s="22" t="n">
        <v>234.38</v>
      </c>
      <c r="M195" s="8" t="s">
        <v>73</v>
      </c>
      <c r="N195" s="4" t="n">
        <v>10</v>
      </c>
      <c r="O195" s="6" t="n">
        <f aca="false">IF(C195="롱",(J195-E195)/E195,(E195-J195)/E195)</f>
        <v>0.0860110353781241</v>
      </c>
    </row>
    <row r="196" customFormat="false" ht="17.15" hidden="false" customHeight="false" outlineLevel="0" collapsed="false">
      <c r="A196" s="4" t="n">
        <v>7</v>
      </c>
      <c r="B196" s="4" t="s">
        <v>24</v>
      </c>
      <c r="C196" s="8" t="s">
        <v>72</v>
      </c>
      <c r="D196" s="21" t="n">
        <v>39311</v>
      </c>
      <c r="E196" s="22" t="n">
        <v>208.57</v>
      </c>
      <c r="F196" s="21" t="n">
        <v>39314</v>
      </c>
      <c r="G196" s="22" t="n">
        <v>216.42</v>
      </c>
      <c r="H196" s="22" t="n">
        <v>187.71</v>
      </c>
      <c r="I196" s="21" t="n">
        <v>39324</v>
      </c>
      <c r="J196" s="22" t="n">
        <v>234.22</v>
      </c>
      <c r="K196" s="21" t="n">
        <v>39325</v>
      </c>
      <c r="L196" s="22" t="n">
        <v>234.38</v>
      </c>
      <c r="M196" s="8" t="s">
        <v>73</v>
      </c>
      <c r="N196" s="4" t="n">
        <v>9</v>
      </c>
      <c r="O196" s="6" t="n">
        <f aca="false">IF(C196="롱",(J196-E196)/E196,(E196-J196)/E196)</f>
        <v>0.122980294385578</v>
      </c>
    </row>
    <row r="197" customFormat="false" ht="17.15" hidden="false" customHeight="false" outlineLevel="0" collapsed="false">
      <c r="A197" s="4" t="n">
        <v>8</v>
      </c>
      <c r="B197" s="4" t="s">
        <v>26</v>
      </c>
      <c r="C197" s="8" t="s">
        <v>72</v>
      </c>
      <c r="D197" s="21" t="n">
        <v>39311</v>
      </c>
      <c r="E197" s="22" t="n">
        <v>208.57</v>
      </c>
      <c r="F197" s="21" t="n">
        <v>39314</v>
      </c>
      <c r="G197" s="22" t="n">
        <v>216.42</v>
      </c>
      <c r="H197" s="22" t="n">
        <v>187.71</v>
      </c>
      <c r="I197" s="21" t="n">
        <v>39317</v>
      </c>
      <c r="J197" s="22" t="n">
        <v>228.6</v>
      </c>
      <c r="K197" s="21" t="n">
        <v>39318</v>
      </c>
      <c r="L197" s="22" t="n">
        <v>227.67</v>
      </c>
      <c r="M197" s="8" t="s">
        <v>73</v>
      </c>
      <c r="N197" s="4" t="n">
        <v>4</v>
      </c>
      <c r="O197" s="6" t="n">
        <f aca="false">IF(C197="롱",(J197-E197)/E197,(E197-J197)/E197)</f>
        <v>0.0960349043486599</v>
      </c>
    </row>
    <row r="198" customFormat="false" ht="17.15" hidden="false" customHeight="false" outlineLevel="0" collapsed="false">
      <c r="A198" s="4" t="n">
        <v>1</v>
      </c>
      <c r="B198" s="4" t="s">
        <v>12</v>
      </c>
      <c r="C198" s="8" t="s">
        <v>72</v>
      </c>
      <c r="D198" s="21" t="n">
        <v>39322</v>
      </c>
      <c r="E198" s="22" t="n">
        <v>232.38</v>
      </c>
      <c r="F198" s="21" t="n">
        <v>39323</v>
      </c>
      <c r="G198" s="22" t="n">
        <v>225.41</v>
      </c>
      <c r="H198" s="22" t="n">
        <v>209.14</v>
      </c>
      <c r="I198" s="21" t="n">
        <v>39372</v>
      </c>
      <c r="J198" s="22" t="n">
        <v>250.48</v>
      </c>
      <c r="K198" s="21" t="n">
        <v>39373</v>
      </c>
      <c r="L198" s="22" t="n">
        <v>251.08</v>
      </c>
      <c r="M198" s="8" t="s">
        <v>73</v>
      </c>
      <c r="N198" s="4" t="n">
        <v>32</v>
      </c>
      <c r="O198" s="6" t="n">
        <f aca="false">IF(C198="롱",(J198-E198)/E198,(E198-J198)/E198)</f>
        <v>0.0778896634822274</v>
      </c>
    </row>
    <row r="199" customFormat="false" ht="17.15" hidden="false" customHeight="false" outlineLevel="0" collapsed="false">
      <c r="A199" s="4" t="n">
        <v>5</v>
      </c>
      <c r="B199" s="4" t="s">
        <v>20</v>
      </c>
      <c r="C199" s="8" t="s">
        <v>72</v>
      </c>
      <c r="D199" s="21" t="n">
        <v>39322</v>
      </c>
      <c r="E199" s="22" t="n">
        <v>232.38</v>
      </c>
      <c r="F199" s="21" t="n">
        <v>39323</v>
      </c>
      <c r="G199" s="22" t="n">
        <v>225.41</v>
      </c>
      <c r="H199" s="22" t="n">
        <v>209.14</v>
      </c>
      <c r="I199" s="21" t="n">
        <v>39335</v>
      </c>
      <c r="J199" s="22" t="n">
        <v>232.44</v>
      </c>
      <c r="K199" s="21" t="n">
        <v>39336</v>
      </c>
      <c r="L199" s="22" t="n">
        <v>233.42</v>
      </c>
      <c r="M199" s="8" t="s">
        <v>73</v>
      </c>
      <c r="N199" s="4" t="n">
        <v>9</v>
      </c>
      <c r="O199" s="6" t="n">
        <f aca="false">IF(C199="롱",(J199-E199)/E199,(E199-J199)/E199)</f>
        <v>0.000258197779499106</v>
      </c>
    </row>
    <row r="200" customFormat="false" ht="17.15" hidden="false" customHeight="false" outlineLevel="0" collapsed="false">
      <c r="A200" s="4" t="n">
        <v>4</v>
      </c>
      <c r="B200" s="4" t="s">
        <v>18</v>
      </c>
      <c r="C200" s="8" t="s">
        <v>72</v>
      </c>
      <c r="D200" s="21" t="n">
        <v>39324</v>
      </c>
      <c r="E200" s="22" t="n">
        <v>234.22</v>
      </c>
      <c r="F200" s="21" t="n">
        <v>39325</v>
      </c>
      <c r="G200" s="22" t="n">
        <v>234.38</v>
      </c>
      <c r="H200" s="22" t="n">
        <v>210.8</v>
      </c>
      <c r="I200" s="21" t="n">
        <v>39377</v>
      </c>
      <c r="J200" s="22" t="n">
        <v>239.94</v>
      </c>
      <c r="K200" s="21" t="n">
        <v>39378</v>
      </c>
      <c r="L200" s="22" t="n">
        <v>243.9</v>
      </c>
      <c r="M200" s="8" t="s">
        <v>73</v>
      </c>
      <c r="N200" s="4" t="n">
        <v>33</v>
      </c>
      <c r="O200" s="6" t="n">
        <f aca="false">IF(C200="롱",(J200-E200)/E200,(E200-J200)/E200)</f>
        <v>0.0244214840748015</v>
      </c>
    </row>
    <row r="201" customFormat="false" ht="17.15" hidden="false" customHeight="false" outlineLevel="0" collapsed="false">
      <c r="A201" s="4" t="n">
        <v>6</v>
      </c>
      <c r="B201" s="4" t="s">
        <v>22</v>
      </c>
      <c r="C201" s="8" t="s">
        <v>72</v>
      </c>
      <c r="D201" s="21" t="n">
        <v>39328</v>
      </c>
      <c r="E201" s="22" t="n">
        <v>238.72</v>
      </c>
      <c r="F201" s="21" t="n">
        <v>39329</v>
      </c>
      <c r="G201" s="22" t="n">
        <v>238.7</v>
      </c>
      <c r="H201" s="22" t="n">
        <v>214.85</v>
      </c>
      <c r="I201" s="21" t="n">
        <v>39330</v>
      </c>
      <c r="J201" s="22" t="n">
        <v>236.61</v>
      </c>
      <c r="K201" s="21" t="n">
        <v>39331</v>
      </c>
      <c r="L201" s="22" t="n">
        <v>236.19</v>
      </c>
      <c r="M201" s="8" t="s">
        <v>73</v>
      </c>
      <c r="N201" s="4" t="n">
        <v>2</v>
      </c>
      <c r="O201" s="6" t="n">
        <f aca="false">IF(C201="롱",(J201-E201)/E201,(E201-J201)/E201)</f>
        <v>-0.00883880697050932</v>
      </c>
    </row>
    <row r="202" customFormat="false" ht="17.15" hidden="false" customHeight="false" outlineLevel="0" collapsed="false">
      <c r="A202" s="4" t="n">
        <v>5</v>
      </c>
      <c r="B202" s="4" t="s">
        <v>20</v>
      </c>
      <c r="C202" s="8" t="s">
        <v>72</v>
      </c>
      <c r="D202" s="21" t="n">
        <v>39336</v>
      </c>
      <c r="E202" s="22" t="n">
        <v>234.12</v>
      </c>
      <c r="F202" s="21" t="n">
        <v>39337</v>
      </c>
      <c r="G202" s="22" t="n">
        <v>234.76</v>
      </c>
      <c r="H202" s="22" t="n">
        <v>210.71</v>
      </c>
      <c r="I202" s="21" t="n">
        <v>39337</v>
      </c>
      <c r="J202" s="22" t="n">
        <v>229.44</v>
      </c>
      <c r="K202" s="21" t="n">
        <v>39338</v>
      </c>
      <c r="L202" s="22" t="n">
        <v>230.02</v>
      </c>
      <c r="M202" s="8" t="s">
        <v>73</v>
      </c>
      <c r="N202" s="4" t="n">
        <v>1</v>
      </c>
      <c r="O202" s="6" t="n">
        <f aca="false">IF(C202="롱",(J202-E202)/E202,(E202-J202)/E202)</f>
        <v>-0.0199897488467453</v>
      </c>
    </row>
    <row r="203" customFormat="false" ht="17.15" hidden="false" customHeight="false" outlineLevel="0" collapsed="false">
      <c r="A203" s="4" t="n">
        <v>5</v>
      </c>
      <c r="B203" s="4" t="s">
        <v>20</v>
      </c>
      <c r="C203" s="8" t="s">
        <v>72</v>
      </c>
      <c r="D203" s="21" t="n">
        <v>39339</v>
      </c>
      <c r="E203" s="22" t="n">
        <v>236.54</v>
      </c>
      <c r="F203" s="21" t="n">
        <v>39342</v>
      </c>
      <c r="G203" s="22" t="n">
        <v>236.82</v>
      </c>
      <c r="H203" s="22" t="n">
        <v>212.89</v>
      </c>
      <c r="I203" s="21" t="n">
        <v>39343</v>
      </c>
      <c r="J203" s="22" t="n">
        <v>232.42</v>
      </c>
      <c r="K203" s="21" t="n">
        <v>39344</v>
      </c>
      <c r="L203" s="22" t="n">
        <v>239.51</v>
      </c>
      <c r="M203" s="8" t="s">
        <v>73</v>
      </c>
      <c r="N203" s="4" t="n">
        <v>2</v>
      </c>
      <c r="O203" s="6" t="n">
        <f aca="false">IF(C203="롱",(J203-E203)/E203,(E203-J203)/E203)</f>
        <v>-0.0174177728925341</v>
      </c>
    </row>
    <row r="204" customFormat="false" ht="17.15" hidden="false" customHeight="false" outlineLevel="0" collapsed="false">
      <c r="A204" s="4" t="n">
        <v>6</v>
      </c>
      <c r="B204" s="4" t="s">
        <v>22</v>
      </c>
      <c r="C204" s="8" t="s">
        <v>72</v>
      </c>
      <c r="D204" s="21" t="n">
        <v>39342</v>
      </c>
      <c r="E204" s="22" t="n">
        <v>236.72</v>
      </c>
      <c r="F204" s="21" t="n">
        <v>39343</v>
      </c>
      <c r="G204" s="22" t="n">
        <v>236.19</v>
      </c>
      <c r="H204" s="22" t="n">
        <v>213.05</v>
      </c>
      <c r="I204" s="21" t="n">
        <v>39343</v>
      </c>
      <c r="J204" s="22" t="n">
        <v>232.42</v>
      </c>
      <c r="K204" s="21" t="n">
        <v>39344</v>
      </c>
      <c r="L204" s="22" t="n">
        <v>239.51</v>
      </c>
      <c r="M204" s="8" t="s">
        <v>73</v>
      </c>
      <c r="N204" s="4" t="n">
        <v>1</v>
      </c>
      <c r="O204" s="6" t="n">
        <f aca="false">IF(C204="롱",(J204-E204)/E204,(E204-J204)/E204)</f>
        <v>-0.0181649205812775</v>
      </c>
    </row>
    <row r="205" customFormat="false" ht="17.15" hidden="false" customHeight="false" outlineLevel="0" collapsed="false">
      <c r="A205" s="4" t="n">
        <v>5</v>
      </c>
      <c r="B205" s="4" t="s">
        <v>20</v>
      </c>
      <c r="C205" s="8" t="s">
        <v>72</v>
      </c>
      <c r="D205" s="21" t="n">
        <v>39344</v>
      </c>
      <c r="E205" s="22" t="n">
        <v>241.08</v>
      </c>
      <c r="F205" s="21" t="n">
        <v>39345</v>
      </c>
      <c r="G205" s="22" t="n">
        <v>241.04</v>
      </c>
      <c r="H205" s="22" t="n">
        <v>216.97</v>
      </c>
      <c r="I205" s="21" t="n">
        <v>39377</v>
      </c>
      <c r="J205" s="22" t="n">
        <v>239.94</v>
      </c>
      <c r="K205" s="21" t="n">
        <v>39378</v>
      </c>
      <c r="L205" s="22" t="n">
        <v>243.9</v>
      </c>
      <c r="M205" s="8" t="s">
        <v>73</v>
      </c>
      <c r="N205" s="4" t="n">
        <v>19</v>
      </c>
      <c r="O205" s="6" t="n">
        <f aca="false">IF(C205="롱",(J205-E205)/E205,(E205-J205)/E205)</f>
        <v>-0.00472872075659538</v>
      </c>
    </row>
    <row r="206" customFormat="false" ht="17.15" hidden="false" customHeight="false" outlineLevel="0" collapsed="false">
      <c r="A206" s="4" t="n">
        <v>6</v>
      </c>
      <c r="B206" s="4" t="s">
        <v>22</v>
      </c>
      <c r="C206" s="8" t="s">
        <v>72</v>
      </c>
      <c r="D206" s="21" t="n">
        <v>39346</v>
      </c>
      <c r="E206" s="22" t="n">
        <v>243.45</v>
      </c>
      <c r="F206" s="21" t="n">
        <v>39352</v>
      </c>
      <c r="G206" s="22" t="n">
        <v>246.59</v>
      </c>
      <c r="H206" s="22" t="n">
        <v>219.1</v>
      </c>
      <c r="I206" s="21" t="n">
        <v>39367</v>
      </c>
      <c r="J206" s="22" t="n">
        <v>257.31</v>
      </c>
      <c r="K206" s="21" t="n">
        <v>39370</v>
      </c>
      <c r="L206" s="22" t="n">
        <v>259.24</v>
      </c>
      <c r="M206" s="8" t="s">
        <v>73</v>
      </c>
      <c r="N206" s="4" t="n">
        <v>11</v>
      </c>
      <c r="O206" s="6" t="n">
        <f aca="false">IF(C206="롱",(J206-E206)/E206,(E206-J206)/E206)</f>
        <v>0.0569316081330869</v>
      </c>
    </row>
    <row r="207" customFormat="false" ht="17.15" hidden="false" customHeight="false" outlineLevel="0" collapsed="false">
      <c r="A207" s="4" t="n">
        <v>8</v>
      </c>
      <c r="B207" s="4" t="s">
        <v>26</v>
      </c>
      <c r="C207" s="8" t="s">
        <v>72</v>
      </c>
      <c r="D207" s="21" t="n">
        <v>39377</v>
      </c>
      <c r="E207" s="22" t="n">
        <v>239.94</v>
      </c>
      <c r="F207" s="21" t="n">
        <v>39378</v>
      </c>
      <c r="G207" s="22" t="n">
        <v>243.9</v>
      </c>
      <c r="H207" s="22" t="n">
        <v>215.95</v>
      </c>
      <c r="I207" s="21" t="n">
        <v>39378</v>
      </c>
      <c r="J207" s="22" t="n">
        <v>244.9</v>
      </c>
      <c r="K207" s="21" t="n">
        <v>39379</v>
      </c>
      <c r="L207" s="22" t="n">
        <v>247.03</v>
      </c>
      <c r="M207" s="8" t="s">
        <v>73</v>
      </c>
      <c r="N207" s="4" t="n">
        <v>1</v>
      </c>
      <c r="O207" s="6" t="n">
        <f aca="false">IF(C207="롱",(J207-E207)/E207,(E207-J207)/E207)</f>
        <v>0.020671834625323</v>
      </c>
    </row>
    <row r="208" customFormat="false" ht="17.15" hidden="false" customHeight="false" outlineLevel="0" collapsed="false">
      <c r="A208" s="4" t="n">
        <v>5</v>
      </c>
      <c r="B208" s="4" t="s">
        <v>20</v>
      </c>
      <c r="C208" s="8" t="s">
        <v>72</v>
      </c>
      <c r="D208" s="21" t="n">
        <v>39378</v>
      </c>
      <c r="E208" s="22" t="n">
        <v>244.9</v>
      </c>
      <c r="F208" s="21" t="n">
        <v>39379</v>
      </c>
      <c r="G208" s="22" t="n">
        <v>247.03</v>
      </c>
      <c r="H208" s="22" t="n">
        <v>221.54</v>
      </c>
      <c r="I208" s="21" t="n">
        <v>39402</v>
      </c>
      <c r="J208" s="22" t="n">
        <v>244.13</v>
      </c>
      <c r="K208" s="21" t="n">
        <v>39405</v>
      </c>
      <c r="L208" s="22" t="n">
        <v>245.42</v>
      </c>
      <c r="M208" s="8" t="s">
        <v>73</v>
      </c>
      <c r="N208" s="4" t="n">
        <v>18</v>
      </c>
      <c r="O208" s="6" t="n">
        <f aca="false">IF(C208="롱",(J208-E208)/E208,(E208-J208)/E208)</f>
        <v>-0.00314414046549616</v>
      </c>
    </row>
    <row r="209" customFormat="false" ht="17.15" hidden="false" customHeight="false" outlineLevel="0" collapsed="false">
      <c r="A209" s="4" t="n">
        <v>3</v>
      </c>
      <c r="B209" s="4" t="s">
        <v>16</v>
      </c>
      <c r="C209" s="8" t="s">
        <v>72</v>
      </c>
      <c r="D209" s="21" t="n">
        <v>39380</v>
      </c>
      <c r="E209" s="22" t="n">
        <v>248.8</v>
      </c>
      <c r="F209" s="21" t="n">
        <v>39381</v>
      </c>
      <c r="G209" s="22" t="n">
        <v>249.95</v>
      </c>
      <c r="H209" s="22" t="n">
        <v>223.92</v>
      </c>
      <c r="I209" s="21" t="n">
        <v>39398</v>
      </c>
      <c r="J209" s="22" t="n">
        <v>243.89</v>
      </c>
      <c r="K209" s="21" t="n">
        <v>39399</v>
      </c>
      <c r="L209" s="22" t="n">
        <v>244.21</v>
      </c>
      <c r="M209" s="8" t="s">
        <v>73</v>
      </c>
      <c r="N209" s="4" t="n">
        <v>12</v>
      </c>
      <c r="O209" s="6" t="n">
        <f aca="false">IF(C209="롱",(J209-E209)/E209,(E209-J209)/E209)</f>
        <v>-0.019734726688103</v>
      </c>
    </row>
    <row r="210" customFormat="false" ht="17.15" hidden="false" customHeight="false" outlineLevel="0" collapsed="false">
      <c r="A210" s="4" t="n">
        <v>1</v>
      </c>
      <c r="B210" s="4" t="s">
        <v>12</v>
      </c>
      <c r="C210" s="8" t="s">
        <v>72</v>
      </c>
      <c r="D210" s="21" t="n">
        <v>39385</v>
      </c>
      <c r="E210" s="22" t="n">
        <v>258.87</v>
      </c>
      <c r="F210" s="21" t="n">
        <v>39386</v>
      </c>
      <c r="G210" s="22" t="n">
        <v>258.78</v>
      </c>
      <c r="H210" s="22" t="n">
        <v>232.98</v>
      </c>
      <c r="I210" s="21" t="n">
        <v>39391</v>
      </c>
      <c r="J210" s="22" t="n">
        <v>253.91</v>
      </c>
      <c r="K210" s="21" t="n">
        <v>39392</v>
      </c>
      <c r="L210" s="22" t="n">
        <v>254.72</v>
      </c>
      <c r="M210" s="8" t="s">
        <v>73</v>
      </c>
      <c r="N210" s="4" t="n">
        <v>4</v>
      </c>
      <c r="O210" s="6" t="n">
        <f aca="false">IF(C210="롱",(J210-E210)/E210,(E210-J210)/E210)</f>
        <v>-0.0191601962374938</v>
      </c>
    </row>
    <row r="211" customFormat="false" ht="17.15" hidden="false" customHeight="false" outlineLevel="0" collapsed="false">
      <c r="A211" s="4" t="n">
        <v>4</v>
      </c>
      <c r="B211" s="4" t="s">
        <v>18</v>
      </c>
      <c r="C211" s="8" t="s">
        <v>72</v>
      </c>
      <c r="D211" s="21" t="n">
        <v>39385</v>
      </c>
      <c r="E211" s="22" t="n">
        <v>258.87</v>
      </c>
      <c r="F211" s="21" t="n">
        <v>39386</v>
      </c>
      <c r="G211" s="22" t="n">
        <v>258.78</v>
      </c>
      <c r="H211" s="22" t="n">
        <v>232.98</v>
      </c>
      <c r="I211" s="21" t="n">
        <v>39399</v>
      </c>
      <c r="J211" s="22" t="n">
        <v>244.73</v>
      </c>
      <c r="K211" s="21" t="n">
        <v>39400</v>
      </c>
      <c r="L211" s="22" t="n">
        <v>251.01</v>
      </c>
      <c r="M211" s="8" t="s">
        <v>73</v>
      </c>
      <c r="N211" s="4" t="n">
        <v>10</v>
      </c>
      <c r="O211" s="6" t="n">
        <f aca="false">IF(C211="롱",(J211-E211)/E211,(E211-J211)/E211)</f>
        <v>-0.0546220110480164</v>
      </c>
    </row>
    <row r="212" customFormat="false" ht="17.15" hidden="false" customHeight="false" outlineLevel="0" collapsed="false">
      <c r="A212" s="4" t="n">
        <v>1</v>
      </c>
      <c r="B212" s="4" t="s">
        <v>12</v>
      </c>
      <c r="C212" s="8" t="s">
        <v>72</v>
      </c>
      <c r="D212" s="21" t="n">
        <v>39392</v>
      </c>
      <c r="E212" s="22" t="n">
        <v>259.24</v>
      </c>
      <c r="F212" s="21" t="n">
        <v>39393</v>
      </c>
      <c r="G212" s="22" t="n">
        <v>261.78</v>
      </c>
      <c r="H212" s="22" t="n">
        <v>233.32</v>
      </c>
      <c r="I212" s="21" t="n">
        <v>39394</v>
      </c>
      <c r="J212" s="22" t="n">
        <v>249.97</v>
      </c>
      <c r="K212" s="21" t="n">
        <v>39395</v>
      </c>
      <c r="L212" s="22" t="n">
        <v>252.83</v>
      </c>
      <c r="M212" s="8" t="s">
        <v>73</v>
      </c>
      <c r="N212" s="4" t="n">
        <v>2</v>
      </c>
      <c r="O212" s="6" t="n">
        <f aca="false">IF(C212="롱",(J212-E212)/E212,(E212-J212)/E212)</f>
        <v>-0.0357583706218177</v>
      </c>
    </row>
    <row r="213" customFormat="false" ht="17.15" hidden="false" customHeight="false" outlineLevel="0" collapsed="false">
      <c r="A213" s="4" t="n">
        <v>8</v>
      </c>
      <c r="B213" s="4" t="s">
        <v>26</v>
      </c>
      <c r="C213" s="8" t="s">
        <v>72</v>
      </c>
      <c r="D213" s="21" t="n">
        <v>39405</v>
      </c>
      <c r="E213" s="22" t="n">
        <v>239.78</v>
      </c>
      <c r="F213" s="21" t="n">
        <v>39406</v>
      </c>
      <c r="G213" s="22" t="n">
        <v>234.58</v>
      </c>
      <c r="H213" s="22" t="n">
        <v>215.8</v>
      </c>
      <c r="I213" s="21" t="n">
        <v>39420</v>
      </c>
      <c r="J213" s="22" t="n">
        <v>244.04</v>
      </c>
      <c r="K213" s="21" t="n">
        <v>39421</v>
      </c>
      <c r="L213" s="22" t="n">
        <v>243.24</v>
      </c>
      <c r="M213" s="8" t="s">
        <v>73</v>
      </c>
      <c r="N213" s="4" t="n">
        <v>11</v>
      </c>
      <c r="O213" s="6" t="n">
        <f aca="false">IF(C213="롱",(J213-E213)/E213,(E213-J213)/E213)</f>
        <v>0.0177662857619484</v>
      </c>
    </row>
    <row r="214" customFormat="false" ht="17.15" hidden="false" customHeight="false" outlineLevel="0" collapsed="false">
      <c r="A214" s="4" t="n">
        <v>2</v>
      </c>
      <c r="B214" s="4" t="s">
        <v>14</v>
      </c>
      <c r="C214" s="8" t="s">
        <v>72</v>
      </c>
      <c r="D214" s="21" t="n">
        <v>39406</v>
      </c>
      <c r="E214" s="22" t="n">
        <v>236.91</v>
      </c>
      <c r="F214" s="21" t="n">
        <v>39407</v>
      </c>
      <c r="G214" s="22" t="n">
        <v>235.96</v>
      </c>
      <c r="H214" s="22" t="n">
        <v>213.22</v>
      </c>
      <c r="I214" s="21" t="n">
        <v>39421</v>
      </c>
      <c r="J214" s="22" t="n">
        <v>247.03</v>
      </c>
      <c r="K214" s="21" t="n">
        <v>39422</v>
      </c>
      <c r="L214" s="22" t="n">
        <v>250.8</v>
      </c>
      <c r="M214" s="8" t="s">
        <v>73</v>
      </c>
      <c r="N214" s="4" t="n">
        <v>11</v>
      </c>
      <c r="O214" s="6" t="n">
        <f aca="false">IF(C214="롱",(J214-E214)/E214,(E214-J214)/E214)</f>
        <v>0.0427166434510996</v>
      </c>
    </row>
    <row r="215" customFormat="false" ht="17.15" hidden="false" customHeight="false" outlineLevel="0" collapsed="false">
      <c r="A215" s="4" t="n">
        <v>7</v>
      </c>
      <c r="B215" s="4" t="s">
        <v>24</v>
      </c>
      <c r="C215" s="8" t="s">
        <v>72</v>
      </c>
      <c r="D215" s="21" t="n">
        <v>39409</v>
      </c>
      <c r="E215" s="22" t="n">
        <v>225.54</v>
      </c>
      <c r="F215" s="21" t="n">
        <v>39412</v>
      </c>
      <c r="G215" s="22" t="n">
        <v>229.43</v>
      </c>
      <c r="H215" s="22" t="n">
        <v>202.99</v>
      </c>
      <c r="I215" s="21" t="n">
        <v>39421</v>
      </c>
      <c r="J215" s="22" t="n">
        <v>247.03</v>
      </c>
      <c r="K215" s="21" t="n">
        <v>39422</v>
      </c>
      <c r="L215" s="22" t="n">
        <v>250.8</v>
      </c>
      <c r="M215" s="8" t="s">
        <v>73</v>
      </c>
      <c r="N215" s="4" t="n">
        <v>8</v>
      </c>
      <c r="O215" s="6" t="n">
        <f aca="false">IF(C215="롱",(J215-E215)/E215,(E215-J215)/E215)</f>
        <v>0.0952824332712601</v>
      </c>
    </row>
    <row r="216" customFormat="false" ht="17.15" hidden="false" customHeight="false" outlineLevel="0" collapsed="false">
      <c r="A216" s="4" t="n">
        <v>1</v>
      </c>
      <c r="B216" s="4" t="s">
        <v>12</v>
      </c>
      <c r="C216" s="8" t="s">
        <v>72</v>
      </c>
      <c r="D216" s="21" t="n">
        <v>39419</v>
      </c>
      <c r="E216" s="22" t="n">
        <v>241.61</v>
      </c>
      <c r="F216" s="21" t="n">
        <v>39420</v>
      </c>
      <c r="G216" s="22" t="n">
        <v>241.88</v>
      </c>
      <c r="H216" s="22" t="n">
        <v>217.45</v>
      </c>
      <c r="I216" s="21" t="n">
        <v>39433</v>
      </c>
      <c r="J216" s="22" t="n">
        <v>234.33</v>
      </c>
      <c r="K216" s="21" t="n">
        <v>39434</v>
      </c>
      <c r="L216" s="22" t="n">
        <v>231.79</v>
      </c>
      <c r="M216" s="8" t="s">
        <v>73</v>
      </c>
      <c r="N216" s="4" t="n">
        <v>10</v>
      </c>
      <c r="O216" s="6" t="n">
        <f aca="false">IF(C216="롱",(J216-E216)/E216,(E216-J216)/E216)</f>
        <v>-0.0301312031786764</v>
      </c>
    </row>
    <row r="217" customFormat="false" ht="17.15" hidden="false" customHeight="false" outlineLevel="0" collapsed="false">
      <c r="A217" s="4" t="n">
        <v>4</v>
      </c>
      <c r="B217" s="4" t="s">
        <v>18</v>
      </c>
      <c r="C217" s="8" t="s">
        <v>72</v>
      </c>
      <c r="D217" s="21" t="n">
        <v>39421</v>
      </c>
      <c r="E217" s="22" t="n">
        <v>247.03</v>
      </c>
      <c r="F217" s="21" t="n">
        <v>39422</v>
      </c>
      <c r="G217" s="22" t="n">
        <v>250.8</v>
      </c>
      <c r="H217" s="22" t="n">
        <v>222.33</v>
      </c>
      <c r="I217" s="21" t="n">
        <v>39436</v>
      </c>
      <c r="J217" s="22" t="n">
        <v>234.4</v>
      </c>
      <c r="K217" s="21" t="n">
        <v>39437</v>
      </c>
      <c r="L217" s="22" t="n">
        <v>235.77</v>
      </c>
      <c r="M217" s="8" t="s">
        <v>73</v>
      </c>
      <c r="N217" s="4" t="n">
        <v>10</v>
      </c>
      <c r="O217" s="6" t="n">
        <f aca="false">IF(C217="롱",(J217-E217)/E217,(E217-J217)/E217)</f>
        <v>-0.0511273934339959</v>
      </c>
    </row>
    <row r="218" customFormat="false" ht="17.15" hidden="false" customHeight="false" outlineLevel="0" collapsed="false">
      <c r="A218" s="4" t="n">
        <v>5</v>
      </c>
      <c r="B218" s="4" t="s">
        <v>20</v>
      </c>
      <c r="C218" s="8" t="s">
        <v>72</v>
      </c>
      <c r="D218" s="21" t="n">
        <v>39421</v>
      </c>
      <c r="E218" s="22" t="n">
        <v>247.03</v>
      </c>
      <c r="F218" s="21" t="n">
        <v>39422</v>
      </c>
      <c r="G218" s="22" t="n">
        <v>250.8</v>
      </c>
      <c r="H218" s="22" t="n">
        <v>222.33</v>
      </c>
      <c r="I218" s="21" t="n">
        <v>39426</v>
      </c>
      <c r="J218" s="22" t="n">
        <v>244.25</v>
      </c>
      <c r="K218" s="21" t="n">
        <v>39427</v>
      </c>
      <c r="L218" s="22" t="n">
        <v>246.22</v>
      </c>
      <c r="M218" s="8" t="s">
        <v>73</v>
      </c>
      <c r="N218" s="4" t="n">
        <v>3</v>
      </c>
      <c r="O218" s="6" t="n">
        <f aca="false">IF(C218="롱",(J218-E218)/E218,(E218-J218)/E218)</f>
        <v>-0.011253693883334</v>
      </c>
    </row>
    <row r="219" customFormat="false" ht="17.15" hidden="false" customHeight="false" outlineLevel="0" collapsed="false">
      <c r="A219" s="4" t="n">
        <v>6</v>
      </c>
      <c r="B219" s="4" t="s">
        <v>22</v>
      </c>
      <c r="C219" s="8" t="s">
        <v>72</v>
      </c>
      <c r="D219" s="21" t="n">
        <v>39422</v>
      </c>
      <c r="E219" s="22" t="n">
        <v>249.63</v>
      </c>
      <c r="F219" s="21" t="n">
        <v>39423</v>
      </c>
      <c r="G219" s="22" t="n">
        <v>251.69</v>
      </c>
      <c r="H219" s="22" t="n">
        <v>224.67</v>
      </c>
      <c r="I219" s="21" t="n">
        <v>39426</v>
      </c>
      <c r="J219" s="22" t="n">
        <v>244.25</v>
      </c>
      <c r="K219" s="21" t="n">
        <v>39427</v>
      </c>
      <c r="L219" s="22" t="n">
        <v>246.22</v>
      </c>
      <c r="M219" s="8" t="s">
        <v>73</v>
      </c>
      <c r="N219" s="4" t="n">
        <v>2</v>
      </c>
      <c r="O219" s="6" t="n">
        <f aca="false">IF(C219="롱",(J219-E219)/E219,(E219-J219)/E219)</f>
        <v>-0.0215518968072747</v>
      </c>
    </row>
    <row r="220" customFormat="false" ht="17.15" hidden="false" customHeight="false" outlineLevel="0" collapsed="false">
      <c r="A220" s="4" t="n">
        <v>5</v>
      </c>
      <c r="B220" s="4" t="s">
        <v>20</v>
      </c>
      <c r="C220" s="8" t="s">
        <v>72</v>
      </c>
      <c r="D220" s="21" t="n">
        <v>39427</v>
      </c>
      <c r="E220" s="22" t="n">
        <v>246.85</v>
      </c>
      <c r="F220" s="21" t="n">
        <v>39428</v>
      </c>
      <c r="G220" s="22" t="n">
        <v>241.93</v>
      </c>
      <c r="H220" s="22" t="n">
        <v>222.16</v>
      </c>
      <c r="I220" s="21" t="n">
        <v>39429</v>
      </c>
      <c r="J220" s="22" t="n">
        <v>245.21</v>
      </c>
      <c r="K220" s="21" t="n">
        <v>39430</v>
      </c>
      <c r="L220" s="22" t="n">
        <v>244.51</v>
      </c>
      <c r="M220" s="8" t="s">
        <v>73</v>
      </c>
      <c r="N220" s="4" t="n">
        <v>2</v>
      </c>
      <c r="O220" s="6" t="n">
        <f aca="false">IF(C220="롱",(J220-E220)/E220,(E220-J220)/E220)</f>
        <v>-0.00664371075551949</v>
      </c>
    </row>
    <row r="221" customFormat="false" ht="17.15" hidden="false" customHeight="false" outlineLevel="0" collapsed="false">
      <c r="A221" s="4" t="n">
        <v>1</v>
      </c>
      <c r="B221" s="4" t="s">
        <v>12</v>
      </c>
      <c r="C221" s="8" t="s">
        <v>72</v>
      </c>
      <c r="D221" s="21" t="n">
        <v>39440</v>
      </c>
      <c r="E221" s="22" t="n">
        <v>245.14</v>
      </c>
      <c r="F221" s="21" t="n">
        <v>39442</v>
      </c>
      <c r="G221" s="22" t="n">
        <v>245.87</v>
      </c>
      <c r="H221" s="22" t="n">
        <v>220.63</v>
      </c>
      <c r="I221" s="21" t="n">
        <v>39449</v>
      </c>
      <c r="J221" s="22" t="n">
        <v>235.3</v>
      </c>
      <c r="K221" s="21" t="n">
        <v>39450</v>
      </c>
      <c r="L221" s="22" t="n">
        <v>232.94</v>
      </c>
      <c r="M221" s="8" t="s">
        <v>73</v>
      </c>
      <c r="N221" s="4" t="n">
        <v>4</v>
      </c>
      <c r="O221" s="6" t="n">
        <f aca="false">IF(C221="롱",(J221-E221)/E221,(E221-J221)/E221)</f>
        <v>-0.0401403279758504</v>
      </c>
    </row>
    <row r="222" customFormat="false" ht="17.15" hidden="false" customHeight="false" outlineLevel="0" collapsed="false">
      <c r="A222" s="4" t="n">
        <v>4</v>
      </c>
      <c r="B222" s="4" t="s">
        <v>18</v>
      </c>
      <c r="C222" s="8" t="s">
        <v>72</v>
      </c>
      <c r="D222" s="21" t="n">
        <v>39444</v>
      </c>
      <c r="E222" s="22" t="n">
        <v>241.27</v>
      </c>
      <c r="F222" s="21" t="n">
        <v>39449</v>
      </c>
      <c r="G222" s="22" t="n">
        <v>240.47</v>
      </c>
      <c r="H222" s="22" t="n">
        <v>217.14</v>
      </c>
      <c r="I222" s="21" t="n">
        <v>39449</v>
      </c>
      <c r="J222" s="22" t="n">
        <v>235.3</v>
      </c>
      <c r="K222" s="21" t="n">
        <v>39450</v>
      </c>
      <c r="L222" s="22" t="n">
        <v>232.94</v>
      </c>
      <c r="M222" s="8" t="s">
        <v>73</v>
      </c>
      <c r="N222" s="4" t="n">
        <v>1</v>
      </c>
      <c r="O222" s="6" t="n">
        <f aca="false">IF(C222="롱",(J222-E222)/E222,(E222-J222)/E222)</f>
        <v>-0.0247440626683798</v>
      </c>
    </row>
    <row r="223" customFormat="false" ht="17.15" hidden="false" customHeight="false" outlineLevel="0" collapsed="false">
      <c r="A223" s="4" t="n">
        <v>7</v>
      </c>
      <c r="B223" s="4" t="s">
        <v>24</v>
      </c>
      <c r="C223" s="8" t="s">
        <v>72</v>
      </c>
      <c r="D223" s="21" t="n">
        <v>39444</v>
      </c>
      <c r="E223" s="22" t="n">
        <v>241.27</v>
      </c>
      <c r="F223" s="21" t="n">
        <v>39449</v>
      </c>
      <c r="G223" s="22" t="n">
        <v>240.47</v>
      </c>
      <c r="H223" s="22" t="n">
        <v>217.14</v>
      </c>
      <c r="I223" s="21" t="n">
        <v>39457</v>
      </c>
      <c r="J223" s="22" t="n">
        <v>229.47</v>
      </c>
      <c r="K223" s="21" t="n">
        <v>39458</v>
      </c>
      <c r="L223" s="22" t="n">
        <v>232.12</v>
      </c>
      <c r="M223" s="8" t="s">
        <v>73</v>
      </c>
      <c r="N223" s="4" t="n">
        <v>7</v>
      </c>
      <c r="O223" s="6" t="n">
        <f aca="false">IF(C223="롱",(J223-E223)/E223,(E223-J223)/E223)</f>
        <v>-0.0489078625606168</v>
      </c>
    </row>
    <row r="224" customFormat="false" ht="17.15" hidden="false" customHeight="false" outlineLevel="0" collapsed="false">
      <c r="A224" s="4" t="n">
        <v>11</v>
      </c>
      <c r="B224" s="4" t="s">
        <v>32</v>
      </c>
      <c r="C224" s="8" t="s">
        <v>74</v>
      </c>
      <c r="D224" s="21" t="n">
        <v>39444</v>
      </c>
      <c r="E224" s="22" t="n">
        <v>241.27</v>
      </c>
      <c r="F224" s="21" t="n">
        <v>39449</v>
      </c>
      <c r="G224" s="22" t="n">
        <v>240.47</v>
      </c>
      <c r="H224" s="22" t="n">
        <v>265.4</v>
      </c>
      <c r="I224" s="21" t="n">
        <v>39483</v>
      </c>
      <c r="J224" s="22" t="n">
        <v>216.91</v>
      </c>
      <c r="K224" s="21" t="n">
        <v>39489</v>
      </c>
      <c r="L224" s="22" t="n">
        <v>210.41</v>
      </c>
      <c r="M224" s="8" t="s">
        <v>73</v>
      </c>
      <c r="N224" s="4" t="n">
        <v>25</v>
      </c>
      <c r="O224" s="6" t="n">
        <f aca="false">IF(C224="롱",(J224-E224)/E224,(E224-J224)/E224)</f>
        <v>0.100965723048866</v>
      </c>
    </row>
    <row r="225" customFormat="false" ht="17.15" hidden="false" customHeight="false" outlineLevel="0" collapsed="false">
      <c r="A225" s="4" t="n">
        <v>7</v>
      </c>
      <c r="B225" s="4" t="s">
        <v>24</v>
      </c>
      <c r="C225" s="8" t="s">
        <v>72</v>
      </c>
      <c r="D225" s="21" t="n">
        <v>39461</v>
      </c>
      <c r="E225" s="22" t="n">
        <v>222.81</v>
      </c>
      <c r="F225" s="21" t="n">
        <v>39462</v>
      </c>
      <c r="G225" s="22" t="n">
        <v>224.78</v>
      </c>
      <c r="H225" s="22" t="n">
        <v>200.53</v>
      </c>
      <c r="I225" s="21" t="n">
        <v>39462</v>
      </c>
      <c r="J225" s="22" t="n">
        <v>220.91</v>
      </c>
      <c r="K225" s="21" t="n">
        <v>39463</v>
      </c>
      <c r="L225" s="22" t="n">
        <v>216.9</v>
      </c>
      <c r="M225" s="8" t="s">
        <v>73</v>
      </c>
      <c r="N225" s="4" t="n">
        <v>1</v>
      </c>
      <c r="O225" s="6" t="n">
        <f aca="false">IF(C225="롱",(J225-E225)/E225,(E225-J225)/E225)</f>
        <v>-0.00852744490821779</v>
      </c>
    </row>
    <row r="226" customFormat="false" ht="17.15" hidden="false" customHeight="false" outlineLevel="0" collapsed="false">
      <c r="A226" s="4" t="n">
        <v>9</v>
      </c>
      <c r="B226" s="4" t="s">
        <v>28</v>
      </c>
      <c r="C226" s="8" t="s">
        <v>72</v>
      </c>
      <c r="D226" s="21" t="n">
        <v>39462</v>
      </c>
      <c r="E226" s="22" t="n">
        <v>220.91</v>
      </c>
      <c r="F226" s="21" t="n">
        <v>39463</v>
      </c>
      <c r="G226" s="22" t="n">
        <v>216.9</v>
      </c>
      <c r="H226" s="22" t="n">
        <v>198.82</v>
      </c>
      <c r="I226" s="21" t="n">
        <v>39524</v>
      </c>
      <c r="J226" s="22" t="n">
        <v>198.82</v>
      </c>
      <c r="K226" s="21" t="n">
        <v>39525</v>
      </c>
      <c r="L226" s="22" t="n">
        <v>201.19</v>
      </c>
      <c r="M226" s="8" t="s">
        <v>75</v>
      </c>
      <c r="N226" s="4" t="n">
        <v>41</v>
      </c>
      <c r="O226" s="6" t="n">
        <f aca="false">IF(C226="롱",(J226-E226)/E226,(E226-J226)/E226)</f>
        <v>-0.0999954732696573</v>
      </c>
    </row>
    <row r="227" customFormat="false" ht="17.15" hidden="false" customHeight="false" outlineLevel="0" collapsed="false">
      <c r="A227" s="4" t="n">
        <v>10</v>
      </c>
      <c r="B227" s="4" t="s">
        <v>30</v>
      </c>
      <c r="C227" s="8" t="s">
        <v>72</v>
      </c>
      <c r="D227" s="21" t="n">
        <v>39513</v>
      </c>
      <c r="E227" s="22" t="n">
        <v>214.92</v>
      </c>
      <c r="F227" s="21" t="n">
        <v>39514</v>
      </c>
      <c r="G227" s="22" t="n">
        <v>212.84</v>
      </c>
      <c r="H227" s="22" t="n">
        <v>193.43</v>
      </c>
      <c r="I227" s="21" t="n">
        <v>39514</v>
      </c>
      <c r="J227" s="22" t="n">
        <v>210.57</v>
      </c>
      <c r="K227" s="21" t="n">
        <v>39517</v>
      </c>
      <c r="L227" s="22" t="n">
        <v>206.7</v>
      </c>
      <c r="M227" s="8" t="s">
        <v>73</v>
      </c>
      <c r="N227" s="4" t="n">
        <v>1</v>
      </c>
      <c r="O227" s="6" t="n">
        <f aca="false">IF(C227="롱",(J227-E227)/E227,(E227-J227)/E227)</f>
        <v>-0.0202400893355667</v>
      </c>
    </row>
    <row r="228" customFormat="false" ht="17.15" hidden="false" customHeight="false" outlineLevel="0" collapsed="false">
      <c r="A228" s="4" t="n">
        <v>6</v>
      </c>
      <c r="B228" s="4" t="s">
        <v>22</v>
      </c>
      <c r="C228" s="8" t="s">
        <v>72</v>
      </c>
      <c r="D228" s="21" t="n">
        <v>39563</v>
      </c>
      <c r="E228" s="22" t="n">
        <v>234.56</v>
      </c>
      <c r="F228" s="21" t="n">
        <v>39566</v>
      </c>
      <c r="G228" s="22" t="n">
        <v>235.19</v>
      </c>
      <c r="H228" s="22" t="n">
        <v>217.09</v>
      </c>
      <c r="I228" s="21" t="n">
        <v>39576</v>
      </c>
      <c r="J228" s="22" t="n">
        <v>237.37</v>
      </c>
      <c r="K228" s="21" t="n">
        <v>39577</v>
      </c>
      <c r="L228" s="22" t="n">
        <v>238.07</v>
      </c>
      <c r="M228" s="8" t="s">
        <v>73</v>
      </c>
      <c r="N228" s="4" t="n">
        <v>7</v>
      </c>
      <c r="O228" s="6" t="n">
        <f aca="false">IF(C228="롱",(J228-E228)/E228,(E228-J228)/E228)</f>
        <v>0.0119798772169168</v>
      </c>
    </row>
    <row r="229" customFormat="false" ht="17.15" hidden="false" customHeight="false" outlineLevel="0" collapsed="false">
      <c r="A229" s="4" t="n">
        <v>1</v>
      </c>
      <c r="B229" s="4" t="s">
        <v>12</v>
      </c>
      <c r="C229" s="8" t="s">
        <v>72</v>
      </c>
      <c r="D229" s="21" t="n">
        <v>39583</v>
      </c>
      <c r="E229" s="22" t="n">
        <v>243.11</v>
      </c>
      <c r="F229" s="21" t="n">
        <v>39584</v>
      </c>
      <c r="G229" s="22" t="n">
        <v>244.16</v>
      </c>
      <c r="H229" s="22" t="n">
        <v>225.95</v>
      </c>
      <c r="I229" s="21" t="n">
        <v>39589</v>
      </c>
      <c r="J229" s="22" t="n">
        <v>237.15</v>
      </c>
      <c r="K229" s="21" t="n">
        <v>39590</v>
      </c>
      <c r="L229" s="22" t="n">
        <v>234.3</v>
      </c>
      <c r="M229" s="8" t="s">
        <v>73</v>
      </c>
      <c r="N229" s="4" t="n">
        <v>4</v>
      </c>
      <c r="O229" s="6" t="n">
        <f aca="false">IF(C229="롱",(J229-E229)/E229,(E229-J229)/E229)</f>
        <v>-0.0245156513512402</v>
      </c>
    </row>
    <row r="230" customFormat="false" ht="17.15" hidden="false" customHeight="false" outlineLevel="0" collapsed="false">
      <c r="A230" s="4" t="n">
        <v>6</v>
      </c>
      <c r="B230" s="4" t="s">
        <v>22</v>
      </c>
      <c r="C230" s="8" t="s">
        <v>72</v>
      </c>
      <c r="D230" s="21" t="n">
        <v>39583</v>
      </c>
      <c r="E230" s="22" t="n">
        <v>243.11</v>
      </c>
      <c r="F230" s="21" t="n">
        <v>39584</v>
      </c>
      <c r="G230" s="22" t="n">
        <v>244.16</v>
      </c>
      <c r="H230" s="22" t="n">
        <v>225.95</v>
      </c>
      <c r="I230" s="21" t="n">
        <v>39588</v>
      </c>
      <c r="J230" s="22" t="n">
        <v>240.62</v>
      </c>
      <c r="K230" s="21" t="n">
        <v>39589</v>
      </c>
      <c r="L230" s="22" t="n">
        <v>237.29</v>
      </c>
      <c r="M230" s="8" t="s">
        <v>73</v>
      </c>
      <c r="N230" s="4" t="n">
        <v>3</v>
      </c>
      <c r="O230" s="6" t="n">
        <f aca="false">IF(C230="롱",(J230-E230)/E230,(E230-J230)/E230)</f>
        <v>-0.010242277158488</v>
      </c>
    </row>
    <row r="231" customFormat="false" ht="17.15" hidden="false" customHeight="false" outlineLevel="0" collapsed="false">
      <c r="A231" s="4" t="n">
        <v>3</v>
      </c>
      <c r="B231" s="4" t="s">
        <v>16</v>
      </c>
      <c r="C231" s="8" t="s">
        <v>72</v>
      </c>
      <c r="D231" s="21" t="n">
        <v>39595</v>
      </c>
      <c r="E231" s="22" t="n">
        <v>233.97</v>
      </c>
      <c r="F231" s="21" t="n">
        <v>39596</v>
      </c>
      <c r="G231" s="22" t="n">
        <v>235.43</v>
      </c>
      <c r="H231" s="22" t="n">
        <v>215.11</v>
      </c>
      <c r="I231" s="21" t="n">
        <v>39609</v>
      </c>
      <c r="J231" s="22" t="n">
        <v>226.56</v>
      </c>
      <c r="K231" s="21" t="n">
        <v>39610</v>
      </c>
      <c r="L231" s="22" t="n">
        <v>227.36</v>
      </c>
      <c r="M231" s="8" t="s">
        <v>73</v>
      </c>
      <c r="N231" s="4" t="n">
        <v>9</v>
      </c>
      <c r="O231" s="6" t="n">
        <f aca="false">IF(C231="롱",(J231-E231)/E231,(E231-J231)/E231)</f>
        <v>-0.0316707270162841</v>
      </c>
    </row>
    <row r="232" customFormat="false" ht="17.15" hidden="false" customHeight="false" outlineLevel="0" collapsed="false">
      <c r="A232" s="4" t="n">
        <v>11</v>
      </c>
      <c r="B232" s="4" t="s">
        <v>32</v>
      </c>
      <c r="C232" s="8" t="s">
        <v>74</v>
      </c>
      <c r="D232" s="21" t="n">
        <v>39601</v>
      </c>
      <c r="E232" s="22" t="n">
        <v>236.78</v>
      </c>
      <c r="F232" s="21" t="n">
        <v>39602</v>
      </c>
      <c r="G232" s="22" t="n">
        <v>234.83</v>
      </c>
      <c r="H232" s="22" t="n">
        <v>256.47</v>
      </c>
      <c r="I232" s="21" t="n">
        <v>39652</v>
      </c>
      <c r="J232" s="22" t="n">
        <v>203.64</v>
      </c>
      <c r="K232" s="21" t="n">
        <v>39653</v>
      </c>
      <c r="L232" s="22" t="n">
        <v>205.12</v>
      </c>
      <c r="M232" s="8" t="s">
        <v>73</v>
      </c>
      <c r="N232" s="4" t="n">
        <v>36</v>
      </c>
      <c r="O232" s="6" t="n">
        <f aca="false">IF(C232="롱",(J232-E232)/E232,(E232-J232)/E232)</f>
        <v>0.139961145367007</v>
      </c>
    </row>
    <row r="233" customFormat="false" ht="17.15" hidden="false" customHeight="false" outlineLevel="0" collapsed="false">
      <c r="A233" s="4" t="n">
        <v>2</v>
      </c>
      <c r="B233" s="4" t="s">
        <v>14</v>
      </c>
      <c r="C233" s="8" t="s">
        <v>72</v>
      </c>
      <c r="D233" s="21" t="n">
        <v>39609</v>
      </c>
      <c r="E233" s="22" t="n">
        <v>226.56</v>
      </c>
      <c r="F233" s="21" t="n">
        <v>39610</v>
      </c>
      <c r="G233" s="22" t="n">
        <v>227.36</v>
      </c>
      <c r="H233" s="22" t="n">
        <v>205.79</v>
      </c>
      <c r="I233" s="21" t="n">
        <v>39632</v>
      </c>
      <c r="J233" s="22" t="n">
        <v>203.73</v>
      </c>
      <c r="K233" s="21" t="n">
        <v>39633</v>
      </c>
      <c r="L233" s="22" t="n">
        <v>205.45</v>
      </c>
      <c r="M233" s="8" t="s">
        <v>76</v>
      </c>
      <c r="N233" s="4" t="n">
        <v>17</v>
      </c>
      <c r="O233" s="6" t="n">
        <f aca="false">IF(C233="롱",(J233-E233)/E233,(E233-J233)/E233)</f>
        <v>-0.100768008474576</v>
      </c>
    </row>
    <row r="234" customFormat="false" ht="17.15" hidden="false" customHeight="false" outlineLevel="0" collapsed="false">
      <c r="A234" s="4" t="n">
        <v>11</v>
      </c>
      <c r="B234" s="4" t="s">
        <v>32</v>
      </c>
      <c r="C234" s="8" t="s">
        <v>74</v>
      </c>
      <c r="D234" s="21" t="n">
        <v>39678</v>
      </c>
      <c r="E234" s="22" t="n">
        <v>200.97</v>
      </c>
      <c r="F234" s="21" t="n">
        <v>39679</v>
      </c>
      <c r="G234" s="22" t="n">
        <v>199.24</v>
      </c>
      <c r="H234" s="22" t="n">
        <v>221.07</v>
      </c>
      <c r="I234" s="21" t="n">
        <v>39710</v>
      </c>
      <c r="J234" s="22" t="n">
        <v>188.31</v>
      </c>
      <c r="K234" s="21" t="n">
        <v>39713</v>
      </c>
      <c r="L234" s="22" t="n">
        <v>190.4</v>
      </c>
      <c r="M234" s="8" t="s">
        <v>73</v>
      </c>
      <c r="N234" s="4" t="n">
        <v>23</v>
      </c>
      <c r="O234" s="6" t="n">
        <f aca="false">IF(C234="롱",(J234-E234)/E234,(E234-J234)/E234)</f>
        <v>0.0629944767875802</v>
      </c>
    </row>
    <row r="235" customFormat="false" ht="17.15" hidden="false" customHeight="false" outlineLevel="0" collapsed="false">
      <c r="A235" s="4" t="n">
        <v>9</v>
      </c>
      <c r="B235" s="4" t="s">
        <v>28</v>
      </c>
      <c r="C235" s="8" t="s">
        <v>72</v>
      </c>
      <c r="D235" s="21" t="n">
        <v>39758</v>
      </c>
      <c r="E235" s="22" t="n">
        <v>143.37</v>
      </c>
      <c r="F235" s="21" t="n">
        <v>39759</v>
      </c>
      <c r="G235" s="22" t="n">
        <v>138.29</v>
      </c>
      <c r="H235" s="22" t="n">
        <v>129.03</v>
      </c>
      <c r="I235" s="21" t="n">
        <v>39759</v>
      </c>
      <c r="J235" s="22" t="n">
        <v>148.44</v>
      </c>
      <c r="K235" s="21" t="n">
        <v>39762</v>
      </c>
      <c r="L235" s="22" t="n">
        <v>150.78</v>
      </c>
      <c r="M235" s="8" t="s">
        <v>73</v>
      </c>
      <c r="N235" s="4" t="n">
        <v>1</v>
      </c>
      <c r="O235" s="6" t="n">
        <f aca="false">IF(C235="롱",(J235-E235)/E235,(E235-J235)/E235)</f>
        <v>0.0353630466624816</v>
      </c>
    </row>
    <row r="236" customFormat="false" ht="17.15" hidden="false" customHeight="false" outlineLevel="0" collapsed="false">
      <c r="A236" s="4" t="n">
        <v>9</v>
      </c>
      <c r="B236" s="4" t="s">
        <v>28</v>
      </c>
      <c r="C236" s="8" t="s">
        <v>72</v>
      </c>
      <c r="D236" s="21" t="n">
        <v>39763</v>
      </c>
      <c r="E236" s="22" t="n">
        <v>147.67</v>
      </c>
      <c r="F236" s="21" t="n">
        <v>39764</v>
      </c>
      <c r="G236" s="22" t="n">
        <v>144.42</v>
      </c>
      <c r="H236" s="22" t="n">
        <v>132.9</v>
      </c>
      <c r="I236" s="21" t="n">
        <v>39771</v>
      </c>
      <c r="J236" s="22" t="n">
        <v>132.9</v>
      </c>
      <c r="K236" s="21" t="n">
        <v>39772</v>
      </c>
      <c r="L236" s="22" t="n">
        <v>125.91</v>
      </c>
      <c r="M236" s="8" t="s">
        <v>75</v>
      </c>
      <c r="N236" s="4" t="n">
        <v>6</v>
      </c>
      <c r="O236" s="6" t="n">
        <f aca="false">IF(C236="롱",(J236-E236)/E236,(E236-J236)/E236)</f>
        <v>-0.100020315568497</v>
      </c>
    </row>
    <row r="237" customFormat="false" ht="17.15" hidden="false" customHeight="false" outlineLevel="0" collapsed="false">
      <c r="A237" s="4" t="n">
        <v>9</v>
      </c>
      <c r="B237" s="4" t="s">
        <v>28</v>
      </c>
      <c r="C237" s="8" t="s">
        <v>72</v>
      </c>
      <c r="D237" s="21" t="n">
        <v>39772</v>
      </c>
      <c r="E237" s="22" t="n">
        <v>123.54</v>
      </c>
      <c r="F237" s="21" t="n">
        <v>39773</v>
      </c>
      <c r="G237" s="22" t="n">
        <v>121.31</v>
      </c>
      <c r="H237" s="22" t="n">
        <v>111.19</v>
      </c>
      <c r="I237" s="21" t="n">
        <v>39773</v>
      </c>
      <c r="J237" s="22" t="n">
        <v>130.76</v>
      </c>
      <c r="K237" s="21" t="n">
        <v>39776</v>
      </c>
      <c r="L237" s="22" t="n">
        <v>129.6</v>
      </c>
      <c r="M237" s="8" t="s">
        <v>73</v>
      </c>
      <c r="N237" s="4" t="n">
        <v>1</v>
      </c>
      <c r="O237" s="6" t="n">
        <f aca="false">IF(C237="롱",(J237-E237)/E237,(E237-J237)/E237)</f>
        <v>0.0584426096810748</v>
      </c>
    </row>
    <row r="238" customFormat="false" ht="17.15" hidden="false" customHeight="false" outlineLevel="0" collapsed="false">
      <c r="A238" s="4" t="n">
        <v>9</v>
      </c>
      <c r="B238" s="4" t="s">
        <v>28</v>
      </c>
      <c r="C238" s="8" t="s">
        <v>72</v>
      </c>
      <c r="D238" s="21" t="n">
        <v>39776</v>
      </c>
      <c r="E238" s="22" t="n">
        <v>126.02</v>
      </c>
      <c r="F238" s="21" t="n">
        <v>39777</v>
      </c>
      <c r="G238" s="22" t="n">
        <v>132.35</v>
      </c>
      <c r="H238" s="22" t="n">
        <v>113.42</v>
      </c>
      <c r="I238" s="21" t="n">
        <v>39778</v>
      </c>
      <c r="J238" s="22" t="n">
        <v>134.5</v>
      </c>
      <c r="K238" s="21" t="n">
        <v>39779</v>
      </c>
      <c r="L238" s="22" t="n">
        <v>138.55</v>
      </c>
      <c r="M238" s="8" t="s">
        <v>73</v>
      </c>
      <c r="N238" s="4" t="n">
        <v>2</v>
      </c>
      <c r="O238" s="6" t="n">
        <f aca="false">IF(C238="롱",(J238-E238)/E238,(E238-J238)/E238)</f>
        <v>0.0672909062053643</v>
      </c>
    </row>
    <row r="239" customFormat="false" ht="17.15" hidden="false" customHeight="false" outlineLevel="0" collapsed="false">
      <c r="A239" s="4" t="n">
        <v>8</v>
      </c>
      <c r="B239" s="4" t="s">
        <v>26</v>
      </c>
      <c r="C239" s="8" t="s">
        <v>72</v>
      </c>
      <c r="D239" s="21" t="n">
        <v>39828</v>
      </c>
      <c r="E239" s="22" t="n">
        <v>145.05</v>
      </c>
      <c r="F239" s="21" t="n">
        <v>39829</v>
      </c>
      <c r="G239" s="22" t="n">
        <v>146.08</v>
      </c>
      <c r="H239" s="22" t="n">
        <v>130.55</v>
      </c>
      <c r="I239" s="21" t="n">
        <v>39832</v>
      </c>
      <c r="J239" s="22" t="n">
        <v>150.02</v>
      </c>
      <c r="K239" s="21" t="n">
        <v>39833</v>
      </c>
      <c r="L239" s="22" t="n">
        <v>147.78</v>
      </c>
      <c r="M239" s="8" t="s">
        <v>73</v>
      </c>
      <c r="N239" s="4" t="n">
        <v>2</v>
      </c>
      <c r="O239" s="6" t="n">
        <f aca="false">IF(C239="롱",(J239-E239)/E239,(E239-J239)/E239)</f>
        <v>0.0342640468803861</v>
      </c>
    </row>
    <row r="240" customFormat="false" ht="17.15" hidden="false" customHeight="false" outlineLevel="0" collapsed="false">
      <c r="A240" s="4" t="n">
        <v>8</v>
      </c>
      <c r="B240" s="4" t="s">
        <v>26</v>
      </c>
      <c r="C240" s="8" t="s">
        <v>72</v>
      </c>
      <c r="D240" s="21" t="n">
        <v>39833</v>
      </c>
      <c r="E240" s="22" t="n">
        <v>146.55</v>
      </c>
      <c r="F240" s="21" t="n">
        <v>39834</v>
      </c>
      <c r="G240" s="22" t="n">
        <v>141.28</v>
      </c>
      <c r="H240" s="22" t="n">
        <v>131.9</v>
      </c>
      <c r="I240" s="21" t="n">
        <v>39841</v>
      </c>
      <c r="J240" s="22" t="n">
        <v>151.04</v>
      </c>
      <c r="K240" s="21" t="n">
        <v>39842</v>
      </c>
      <c r="L240" s="22" t="n">
        <v>152.03</v>
      </c>
      <c r="M240" s="8" t="s">
        <v>73</v>
      </c>
      <c r="N240" s="4" t="n">
        <v>4</v>
      </c>
      <c r="O240" s="6" t="n">
        <f aca="false">IF(C240="롱",(J240-E240)/E240,(E240-J240)/E240)</f>
        <v>0.0306380075059705</v>
      </c>
    </row>
    <row r="241" customFormat="false" ht="17.15" hidden="false" customHeight="false" outlineLevel="0" collapsed="false">
      <c r="A241" s="4" t="n">
        <v>11</v>
      </c>
      <c r="B241" s="4" t="s">
        <v>32</v>
      </c>
      <c r="C241" s="8" t="s">
        <v>74</v>
      </c>
      <c r="D241" s="21" t="n">
        <v>39846</v>
      </c>
      <c r="E241" s="22" t="n">
        <v>149</v>
      </c>
      <c r="F241" s="21" t="n">
        <v>39847</v>
      </c>
      <c r="G241" s="22" t="n">
        <v>149.71</v>
      </c>
      <c r="H241" s="22" t="n">
        <v>163.9</v>
      </c>
      <c r="I241" s="21" t="n">
        <v>39847</v>
      </c>
      <c r="J241" s="22" t="n">
        <v>151.42</v>
      </c>
      <c r="K241" s="21" t="n">
        <v>39848</v>
      </c>
      <c r="L241" s="22" t="n">
        <v>154.2</v>
      </c>
      <c r="M241" s="8" t="s">
        <v>73</v>
      </c>
      <c r="N241" s="4" t="n">
        <v>1</v>
      </c>
      <c r="O241" s="6" t="n">
        <f aca="false">IF(C241="롱",(J241-E241)/E241,(E241-J241)/E241)</f>
        <v>-0.016241610738255</v>
      </c>
    </row>
    <row r="242" customFormat="false" ht="17.15" hidden="false" customHeight="false" outlineLevel="0" collapsed="false">
      <c r="A242" s="4" t="n">
        <v>8</v>
      </c>
      <c r="B242" s="4" t="s">
        <v>26</v>
      </c>
      <c r="C242" s="8" t="s">
        <v>72</v>
      </c>
      <c r="D242" s="21" t="n">
        <v>39861</v>
      </c>
      <c r="E242" s="22" t="n">
        <v>146.6</v>
      </c>
      <c r="F242" s="21" t="n">
        <v>39862</v>
      </c>
      <c r="G242" s="22" t="n">
        <v>144.49</v>
      </c>
      <c r="H242" s="22" t="n">
        <v>131.94</v>
      </c>
      <c r="I242" s="21" t="n">
        <v>39874</v>
      </c>
      <c r="J242" s="22" t="n">
        <v>131.94</v>
      </c>
      <c r="K242" s="21" t="n">
        <v>39875</v>
      </c>
      <c r="L242" s="22" t="n">
        <v>129.46</v>
      </c>
      <c r="M242" s="8" t="s">
        <v>75</v>
      </c>
      <c r="N242" s="4" t="n">
        <v>9</v>
      </c>
      <c r="O242" s="6" t="n">
        <f aca="false">IF(C242="롱",(J242-E242)/E242,(E242-J242)/E242)</f>
        <v>-0.1</v>
      </c>
    </row>
    <row r="243" customFormat="false" ht="17.15" hidden="false" customHeight="false" outlineLevel="0" collapsed="false">
      <c r="A243" s="4" t="n">
        <v>1</v>
      </c>
      <c r="B243" s="4" t="s">
        <v>12</v>
      </c>
      <c r="C243" s="8" t="s">
        <v>72</v>
      </c>
      <c r="D243" s="21" t="n">
        <v>39882</v>
      </c>
      <c r="E243" s="22" t="n">
        <v>142.73</v>
      </c>
      <c r="F243" s="21" t="n">
        <v>39883</v>
      </c>
      <c r="G243" s="22" t="n">
        <v>146.93</v>
      </c>
      <c r="H243" s="22" t="n">
        <v>128.46</v>
      </c>
      <c r="I243" s="21" t="n">
        <v>39924</v>
      </c>
      <c r="J243" s="22" t="n">
        <v>171.96</v>
      </c>
      <c r="K243" s="21" t="n">
        <v>39925</v>
      </c>
      <c r="L243" s="22" t="n">
        <v>173.28</v>
      </c>
      <c r="M243" s="8" t="s">
        <v>73</v>
      </c>
      <c r="N243" s="4" t="n">
        <v>30</v>
      </c>
      <c r="O243" s="6" t="n">
        <f aca="false">IF(C243="롱",(J243-E243)/E243,(E243-J243)/E243)</f>
        <v>0.204792265115953</v>
      </c>
    </row>
    <row r="244" customFormat="false" ht="17.15" hidden="false" customHeight="false" outlineLevel="0" collapsed="false">
      <c r="A244" s="4" t="n">
        <v>6</v>
      </c>
      <c r="B244" s="4" t="s">
        <v>22</v>
      </c>
      <c r="C244" s="8" t="s">
        <v>72</v>
      </c>
      <c r="D244" s="21" t="n">
        <v>39883</v>
      </c>
      <c r="E244" s="22" t="n">
        <v>147.6</v>
      </c>
      <c r="F244" s="21" t="n">
        <v>39884</v>
      </c>
      <c r="G244" s="22" t="n">
        <v>147.38</v>
      </c>
      <c r="H244" s="22" t="n">
        <v>132.84</v>
      </c>
      <c r="I244" s="21" t="n">
        <v>39902</v>
      </c>
      <c r="J244" s="22" t="n">
        <v>156.23</v>
      </c>
      <c r="K244" s="21" t="n">
        <v>39903</v>
      </c>
      <c r="L244" s="22" t="n">
        <v>157.31</v>
      </c>
      <c r="M244" s="8" t="s">
        <v>73</v>
      </c>
      <c r="N244" s="4" t="n">
        <v>13</v>
      </c>
      <c r="O244" s="6" t="n">
        <f aca="false">IF(C244="롱",(J244-E244)/E244,(E244-J244)/E244)</f>
        <v>0.0584688346883469</v>
      </c>
    </row>
    <row r="245" customFormat="false" ht="17.15" hidden="false" customHeight="false" outlineLevel="0" collapsed="false">
      <c r="A245" s="4" t="n">
        <v>4</v>
      </c>
      <c r="B245" s="4" t="s">
        <v>18</v>
      </c>
      <c r="C245" s="8" t="s">
        <v>72</v>
      </c>
      <c r="D245" s="21" t="n">
        <v>39884</v>
      </c>
      <c r="E245" s="22" t="n">
        <v>148.02</v>
      </c>
      <c r="F245" s="21" t="n">
        <v>39885</v>
      </c>
      <c r="G245" s="22" t="n">
        <v>149.06</v>
      </c>
      <c r="H245" s="22" t="n">
        <v>133.22</v>
      </c>
      <c r="I245" s="21" t="n">
        <v>39960</v>
      </c>
      <c r="J245" s="22" t="n">
        <v>173.75</v>
      </c>
      <c r="K245" s="21" t="n">
        <v>39961</v>
      </c>
      <c r="L245" s="22" t="n">
        <v>173.28</v>
      </c>
      <c r="M245" s="8" t="s">
        <v>73</v>
      </c>
      <c r="N245" s="4" t="n">
        <v>52</v>
      </c>
      <c r="O245" s="6" t="n">
        <f aca="false">IF(C245="롱",(J245-E245)/E245,(E245-J245)/E245)</f>
        <v>0.173827861099851</v>
      </c>
    </row>
    <row r="246" customFormat="false" ht="17.15" hidden="false" customHeight="false" outlineLevel="0" collapsed="false">
      <c r="A246" s="4" t="n">
        <v>6</v>
      </c>
      <c r="B246" s="4" t="s">
        <v>22</v>
      </c>
      <c r="C246" s="8" t="s">
        <v>72</v>
      </c>
      <c r="D246" s="21" t="n">
        <v>39905</v>
      </c>
      <c r="E246" s="22" t="n">
        <v>166.18</v>
      </c>
      <c r="F246" s="21" t="n">
        <v>39906</v>
      </c>
      <c r="G246" s="22" t="n">
        <v>167.65</v>
      </c>
      <c r="H246" s="22" t="n">
        <v>149.56</v>
      </c>
      <c r="I246" s="21" t="n">
        <v>39911</v>
      </c>
      <c r="J246" s="22" t="n">
        <v>162.68</v>
      </c>
      <c r="K246" s="21" t="n">
        <v>39912</v>
      </c>
      <c r="L246" s="22" t="n">
        <v>164.13</v>
      </c>
      <c r="M246" s="8" t="s">
        <v>73</v>
      </c>
      <c r="N246" s="4" t="n">
        <v>4</v>
      </c>
      <c r="O246" s="6" t="n">
        <f aca="false">IF(C246="롱",(J246-E246)/E246,(E246-J246)/E246)</f>
        <v>-0.02106149957877</v>
      </c>
    </row>
    <row r="247" customFormat="false" ht="17.15" hidden="false" customHeight="false" outlineLevel="0" collapsed="false">
      <c r="A247" s="4" t="n">
        <v>10</v>
      </c>
      <c r="B247" s="4" t="s">
        <v>30</v>
      </c>
      <c r="C247" s="8" t="s">
        <v>72</v>
      </c>
      <c r="D247" s="21" t="n">
        <v>39932</v>
      </c>
      <c r="E247" s="22" t="n">
        <v>172.08</v>
      </c>
      <c r="F247" s="21" t="n">
        <v>39933</v>
      </c>
      <c r="G247" s="22" t="n">
        <v>174.04</v>
      </c>
      <c r="H247" s="22" t="n">
        <v>154.87</v>
      </c>
      <c r="I247" s="21" t="n">
        <v>39959</v>
      </c>
      <c r="J247" s="22" t="n">
        <v>174.77</v>
      </c>
      <c r="K247" s="21" t="n">
        <v>39960</v>
      </c>
      <c r="L247" s="22" t="n">
        <v>177.63</v>
      </c>
      <c r="M247" s="8" t="s">
        <v>73</v>
      </c>
      <c r="N247" s="4" t="n">
        <v>17</v>
      </c>
      <c r="O247" s="6" t="n">
        <f aca="false">IF(C247="롱",(J247-E247)/E247,(E247-J247)/E247)</f>
        <v>0.0156322640632264</v>
      </c>
    </row>
    <row r="248" customFormat="false" ht="17.15" hidden="false" customHeight="false" outlineLevel="0" collapsed="false">
      <c r="A248" s="4" t="n">
        <v>1</v>
      </c>
      <c r="B248" s="4" t="s">
        <v>12</v>
      </c>
      <c r="C248" s="8" t="s">
        <v>72</v>
      </c>
      <c r="D248" s="21" t="n">
        <v>39940</v>
      </c>
      <c r="E248" s="22" t="n">
        <v>179.74</v>
      </c>
      <c r="F248" s="21" t="n">
        <v>39941</v>
      </c>
      <c r="G248" s="22" t="n">
        <v>179.58</v>
      </c>
      <c r="H248" s="22" t="n">
        <v>161.77</v>
      </c>
      <c r="I248" s="21" t="n">
        <v>39947</v>
      </c>
      <c r="J248" s="22" t="n">
        <v>176.29</v>
      </c>
      <c r="K248" s="21" t="n">
        <v>39948</v>
      </c>
      <c r="L248" s="22" t="n">
        <v>178.09</v>
      </c>
      <c r="M248" s="8" t="s">
        <v>73</v>
      </c>
      <c r="N248" s="4" t="n">
        <v>5</v>
      </c>
      <c r="O248" s="6" t="n">
        <f aca="false">IF(C248="롱",(J248-E248)/E248,(E248-J248)/E248)</f>
        <v>-0.0191943918994104</v>
      </c>
    </row>
    <row r="249" customFormat="false" ht="17.15" hidden="false" customHeight="false" outlineLevel="0" collapsed="false">
      <c r="A249" s="4" t="n">
        <v>6</v>
      </c>
      <c r="B249" s="4" t="s">
        <v>22</v>
      </c>
      <c r="C249" s="8" t="s">
        <v>72</v>
      </c>
      <c r="D249" s="21" t="n">
        <v>39944</v>
      </c>
      <c r="E249" s="22" t="n">
        <v>181.35</v>
      </c>
      <c r="F249" s="21" t="n">
        <v>39945</v>
      </c>
      <c r="G249" s="22" t="n">
        <v>180.24</v>
      </c>
      <c r="H249" s="22" t="n">
        <v>163.22</v>
      </c>
      <c r="I249" s="21" t="n">
        <v>39945</v>
      </c>
      <c r="J249" s="22" t="n">
        <v>179.73</v>
      </c>
      <c r="K249" s="21" t="n">
        <v>39946</v>
      </c>
      <c r="L249" s="22" t="n">
        <v>180.46</v>
      </c>
      <c r="M249" s="8" t="s">
        <v>73</v>
      </c>
      <c r="N249" s="4" t="n">
        <v>1</v>
      </c>
      <c r="O249" s="6" t="n">
        <f aca="false">IF(C249="롱",(J249-E249)/E249,(E249-J249)/E249)</f>
        <v>-0.0089330024813896</v>
      </c>
    </row>
    <row r="250" customFormat="false" ht="17.15" hidden="false" customHeight="false" outlineLevel="0" collapsed="false">
      <c r="A250" s="4" t="n">
        <v>3</v>
      </c>
      <c r="B250" s="4" t="s">
        <v>16</v>
      </c>
      <c r="C250" s="8" t="s">
        <v>72</v>
      </c>
      <c r="D250" s="21" t="n">
        <v>39961</v>
      </c>
      <c r="E250" s="22" t="n">
        <v>178.19</v>
      </c>
      <c r="F250" s="21" t="n">
        <v>39962</v>
      </c>
      <c r="G250" s="22" t="n">
        <v>178.16</v>
      </c>
      <c r="H250" s="22" t="n">
        <v>160.37</v>
      </c>
      <c r="I250" s="21" t="n">
        <v>39987</v>
      </c>
      <c r="J250" s="22" t="n">
        <v>174.32</v>
      </c>
      <c r="K250" s="21" t="n">
        <v>39988</v>
      </c>
      <c r="L250" s="22" t="n">
        <v>174.96</v>
      </c>
      <c r="M250" s="8" t="s">
        <v>73</v>
      </c>
      <c r="N250" s="4" t="n">
        <v>18</v>
      </c>
      <c r="O250" s="6" t="n">
        <f aca="false">IF(C250="롱",(J250-E250)/E250,(E250-J250)/E250)</f>
        <v>-0.0217183904820697</v>
      </c>
    </row>
    <row r="251" customFormat="false" ht="17.15" hidden="false" customHeight="false" outlineLevel="0" collapsed="false">
      <c r="A251" s="4" t="n">
        <v>4</v>
      </c>
      <c r="B251" s="4" t="s">
        <v>18</v>
      </c>
      <c r="C251" s="8" t="s">
        <v>72</v>
      </c>
      <c r="D251" s="21" t="n">
        <v>39967</v>
      </c>
      <c r="E251" s="22" t="n">
        <v>180.31</v>
      </c>
      <c r="F251" s="21" t="n">
        <v>39968</v>
      </c>
      <c r="G251" s="22" t="n">
        <v>179.55</v>
      </c>
      <c r="H251" s="22" t="n">
        <v>162.28</v>
      </c>
      <c r="I251" s="21" t="n">
        <v>39969</v>
      </c>
      <c r="J251" s="22" t="n">
        <v>177.77</v>
      </c>
      <c r="K251" s="21" t="n">
        <v>39972</v>
      </c>
      <c r="L251" s="22" t="n">
        <v>177.65</v>
      </c>
      <c r="M251" s="8" t="s">
        <v>73</v>
      </c>
      <c r="N251" s="4" t="n">
        <v>2</v>
      </c>
      <c r="O251" s="6" t="n">
        <f aca="false">IF(C251="롱",(J251-E251)/E251,(E251-J251)/E251)</f>
        <v>-0.0140868504242693</v>
      </c>
    </row>
    <row r="252" customFormat="false" ht="17.15" hidden="false" customHeight="false" outlineLevel="0" collapsed="false">
      <c r="A252" s="4" t="n">
        <v>4</v>
      </c>
      <c r="B252" s="4" t="s">
        <v>18</v>
      </c>
      <c r="C252" s="8" t="s">
        <v>72</v>
      </c>
      <c r="D252" s="21" t="n">
        <v>39976</v>
      </c>
      <c r="E252" s="22" t="n">
        <v>182.69</v>
      </c>
      <c r="F252" s="21" t="n">
        <v>39979</v>
      </c>
      <c r="G252" s="22" t="n">
        <v>182.59</v>
      </c>
      <c r="H252" s="22" t="n">
        <v>164.42</v>
      </c>
      <c r="I252" s="21" t="n">
        <v>39983</v>
      </c>
      <c r="J252" s="22" t="n">
        <v>176.63</v>
      </c>
      <c r="K252" s="21" t="n">
        <v>39986</v>
      </c>
      <c r="L252" s="22" t="n">
        <v>176.46</v>
      </c>
      <c r="M252" s="8" t="s">
        <v>73</v>
      </c>
      <c r="N252" s="4" t="n">
        <v>5</v>
      </c>
      <c r="O252" s="6" t="n">
        <f aca="false">IF(C252="롱",(J252-E252)/E252,(E252-J252)/E252)</f>
        <v>-0.033170945317204</v>
      </c>
    </row>
    <row r="253" customFormat="false" ht="17.15" hidden="false" customHeight="false" outlineLevel="0" collapsed="false">
      <c r="A253" s="4" t="n">
        <v>5</v>
      </c>
      <c r="B253" s="4" t="s">
        <v>20</v>
      </c>
      <c r="C253" s="8" t="s">
        <v>72</v>
      </c>
      <c r="D253" s="21" t="n">
        <v>39988</v>
      </c>
      <c r="E253" s="22" t="n">
        <v>175.08</v>
      </c>
      <c r="F253" s="21" t="n">
        <v>39989</v>
      </c>
      <c r="G253" s="22" t="n">
        <v>175.5</v>
      </c>
      <c r="H253" s="22" t="n">
        <v>157.57</v>
      </c>
      <c r="I253" s="21" t="n">
        <v>40007</v>
      </c>
      <c r="J253" s="22" t="n">
        <v>178.15</v>
      </c>
      <c r="K253" s="21" t="n">
        <v>40008</v>
      </c>
      <c r="L253" s="22" t="n">
        <v>181.13</v>
      </c>
      <c r="M253" s="8" t="s">
        <v>73</v>
      </c>
      <c r="N253" s="4" t="n">
        <v>13</v>
      </c>
      <c r="O253" s="6" t="n">
        <f aca="false">IF(C253="롱",(J253-E253)/E253,(E253-J253)/E253)</f>
        <v>0.0175348412154443</v>
      </c>
    </row>
    <row r="254" customFormat="false" ht="17.15" hidden="false" customHeight="false" outlineLevel="0" collapsed="false">
      <c r="A254" s="4" t="n">
        <v>3</v>
      </c>
      <c r="B254" s="4" t="s">
        <v>16</v>
      </c>
      <c r="C254" s="8" t="s">
        <v>72</v>
      </c>
      <c r="D254" s="21" t="n">
        <v>39989</v>
      </c>
      <c r="E254" s="22" t="n">
        <v>178.86</v>
      </c>
      <c r="F254" s="21" t="n">
        <v>39990</v>
      </c>
      <c r="G254" s="22" t="n">
        <v>180.04</v>
      </c>
      <c r="H254" s="22" t="n">
        <v>160.97</v>
      </c>
      <c r="I254" s="21" t="n">
        <v>40007</v>
      </c>
      <c r="J254" s="22" t="n">
        <v>178.15</v>
      </c>
      <c r="K254" s="21" t="n">
        <v>40008</v>
      </c>
      <c r="L254" s="22" t="n">
        <v>181.13</v>
      </c>
      <c r="M254" s="8" t="s">
        <v>73</v>
      </c>
      <c r="N254" s="4" t="n">
        <v>12</v>
      </c>
      <c r="O254" s="6" t="n">
        <f aca="false">IF(C254="롱",(J254-E254)/E254,(E254-J254)/E254)</f>
        <v>-0.003969585150397</v>
      </c>
    </row>
    <row r="255" customFormat="false" ht="17.15" hidden="false" customHeight="false" outlineLevel="0" collapsed="false">
      <c r="A255" s="4" t="n">
        <v>1</v>
      </c>
      <c r="B255" s="4" t="s">
        <v>12</v>
      </c>
      <c r="C255" s="8" t="s">
        <v>72</v>
      </c>
      <c r="D255" s="21" t="n">
        <v>39995</v>
      </c>
      <c r="E255" s="22" t="n">
        <v>181.95</v>
      </c>
      <c r="F255" s="21" t="n">
        <v>39996</v>
      </c>
      <c r="G255" s="22" t="n">
        <v>182.92</v>
      </c>
      <c r="H255" s="22" t="n">
        <v>163.85</v>
      </c>
      <c r="I255" s="21" t="n">
        <v>40008</v>
      </c>
      <c r="J255" s="22" t="n">
        <v>179.43</v>
      </c>
      <c r="K255" s="21" t="n">
        <v>40009</v>
      </c>
      <c r="L255" s="22" t="n">
        <v>181.94</v>
      </c>
      <c r="M255" s="8" t="s">
        <v>73</v>
      </c>
      <c r="N255" s="4" t="n">
        <v>9</v>
      </c>
      <c r="O255" s="6" t="n">
        <f aca="false">IF(C255="롱",(J255-E255)/E255,(E255-J255)/E255)</f>
        <v>-0.0138499587798845</v>
      </c>
    </row>
    <row r="256" customFormat="false" ht="17.15" hidden="false" customHeight="false" outlineLevel="0" collapsed="false">
      <c r="A256" s="4" t="n">
        <v>4</v>
      </c>
      <c r="B256" s="4" t="s">
        <v>18</v>
      </c>
      <c r="C256" s="8" t="s">
        <v>72</v>
      </c>
      <c r="D256" s="21" t="n">
        <v>39995</v>
      </c>
      <c r="E256" s="22" t="n">
        <v>181.95</v>
      </c>
      <c r="F256" s="21" t="n">
        <v>39996</v>
      </c>
      <c r="G256" s="22" t="n">
        <v>182.92</v>
      </c>
      <c r="H256" s="22" t="n">
        <v>163.85</v>
      </c>
      <c r="I256" s="21" t="n">
        <v>40091</v>
      </c>
      <c r="J256" s="22" t="n">
        <v>210.38</v>
      </c>
      <c r="K256" s="21" t="n">
        <v>40092</v>
      </c>
      <c r="L256" s="22" t="n">
        <v>212.19</v>
      </c>
      <c r="M256" s="8" t="s">
        <v>73</v>
      </c>
      <c r="N256" s="4" t="n">
        <v>67</v>
      </c>
      <c r="O256" s="6" t="n">
        <f aca="false">IF(C256="롱",(J256-E256)/E256,(E256-J256)/E256)</f>
        <v>0.156251717504809</v>
      </c>
    </row>
    <row r="257" customFormat="false" ht="17.15" hidden="false" customHeight="false" outlineLevel="0" collapsed="false">
      <c r="A257" s="4" t="n">
        <v>6</v>
      </c>
      <c r="B257" s="4" t="s">
        <v>22</v>
      </c>
      <c r="C257" s="8" t="s">
        <v>72</v>
      </c>
      <c r="D257" s="21" t="n">
        <v>40001</v>
      </c>
      <c r="E257" s="22" t="n">
        <v>185.11</v>
      </c>
      <c r="F257" s="21" t="n">
        <v>40002</v>
      </c>
      <c r="G257" s="22" t="n">
        <v>183.86</v>
      </c>
      <c r="H257" s="22" t="n">
        <v>168.34</v>
      </c>
      <c r="I257" s="21" t="n">
        <v>40004</v>
      </c>
      <c r="J257" s="22" t="n">
        <v>184.56</v>
      </c>
      <c r="K257" s="21" t="n">
        <v>40007</v>
      </c>
      <c r="L257" s="22" t="n">
        <v>184.23</v>
      </c>
      <c r="M257" s="8" t="s">
        <v>73</v>
      </c>
      <c r="N257" s="4" t="n">
        <v>3</v>
      </c>
      <c r="O257" s="6" t="n">
        <f aca="false">IF(C257="롱",(J257-E257)/E257,(E257-J257)/E257)</f>
        <v>-0.00297120630976182</v>
      </c>
    </row>
    <row r="258" customFormat="false" ht="17.15" hidden="false" customHeight="false" outlineLevel="0" collapsed="false">
      <c r="A258" s="4" t="n">
        <v>5</v>
      </c>
      <c r="B258" s="4" t="s">
        <v>20</v>
      </c>
      <c r="C258" s="8" t="s">
        <v>72</v>
      </c>
      <c r="D258" s="21" t="n">
        <v>40008</v>
      </c>
      <c r="E258" s="22" t="n">
        <v>179.43</v>
      </c>
      <c r="F258" s="21" t="n">
        <v>40009</v>
      </c>
      <c r="G258" s="22" t="n">
        <v>181.94</v>
      </c>
      <c r="H258" s="22" t="n">
        <v>163.08</v>
      </c>
      <c r="I258" s="21" t="n">
        <v>40114</v>
      </c>
      <c r="J258" s="22" t="n">
        <v>211.03</v>
      </c>
      <c r="K258" s="21" t="n">
        <v>40115</v>
      </c>
      <c r="L258" s="22" t="n">
        <v>207.5</v>
      </c>
      <c r="M258" s="8" t="s">
        <v>73</v>
      </c>
      <c r="N258" s="4" t="n">
        <v>75</v>
      </c>
      <c r="O258" s="6" t="n">
        <f aca="false">IF(C258="롱",(J258-E258)/E258,(E258-J258)/E258)</f>
        <v>0.176113247505991</v>
      </c>
    </row>
    <row r="259" customFormat="false" ht="17.15" hidden="false" customHeight="false" outlineLevel="0" collapsed="false">
      <c r="A259" s="4" t="n">
        <v>3</v>
      </c>
      <c r="B259" s="4" t="s">
        <v>16</v>
      </c>
      <c r="C259" s="8" t="s">
        <v>72</v>
      </c>
      <c r="D259" s="21" t="n">
        <v>40009</v>
      </c>
      <c r="E259" s="22" t="n">
        <v>184.26</v>
      </c>
      <c r="F259" s="21" t="n">
        <v>40010</v>
      </c>
      <c r="G259" s="22" t="n">
        <v>186.57</v>
      </c>
      <c r="H259" s="22" t="n">
        <v>167.13</v>
      </c>
      <c r="I259" s="21" t="n">
        <v>40021</v>
      </c>
      <c r="J259" s="22" t="n">
        <v>198.07</v>
      </c>
      <c r="K259" s="21" t="n">
        <v>40022</v>
      </c>
      <c r="L259" s="22" t="n">
        <v>197.69</v>
      </c>
      <c r="M259" s="8" t="s">
        <v>73</v>
      </c>
      <c r="N259" s="4" t="n">
        <v>8</v>
      </c>
      <c r="O259" s="6" t="n">
        <f aca="false">IF(C259="롱",(J259-E259)/E259,(E259-J259)/E259)</f>
        <v>0.074948442418322</v>
      </c>
    </row>
    <row r="260" customFormat="false" ht="17.15" hidden="false" customHeight="false" outlineLevel="0" collapsed="false">
      <c r="A260" s="4" t="n">
        <v>1</v>
      </c>
      <c r="B260" s="4" t="s">
        <v>12</v>
      </c>
      <c r="C260" s="8" t="s">
        <v>72</v>
      </c>
      <c r="D260" s="21" t="n">
        <v>40010</v>
      </c>
      <c r="E260" s="22" t="n">
        <v>186.22</v>
      </c>
      <c r="F260" s="21" t="n">
        <v>40011</v>
      </c>
      <c r="G260" s="22" t="n">
        <v>187.63</v>
      </c>
      <c r="H260" s="22" t="n">
        <v>169.22</v>
      </c>
      <c r="I260" s="21" t="n">
        <v>40037</v>
      </c>
      <c r="J260" s="22" t="n">
        <v>202.67</v>
      </c>
      <c r="K260" s="21" t="n">
        <v>40038</v>
      </c>
      <c r="L260" s="22" t="n">
        <v>204.52</v>
      </c>
      <c r="M260" s="8" t="s">
        <v>73</v>
      </c>
      <c r="N260" s="4" t="n">
        <v>19</v>
      </c>
      <c r="O260" s="6" t="n">
        <f aca="false">IF(C260="롱",(J260-E260)/E260,(E260-J260)/E260)</f>
        <v>0.0883363763290731</v>
      </c>
    </row>
    <row r="261" customFormat="false" ht="17.15" hidden="false" customHeight="false" outlineLevel="0" collapsed="false">
      <c r="A261" s="4" t="n">
        <v>6</v>
      </c>
      <c r="B261" s="4" t="s">
        <v>22</v>
      </c>
      <c r="C261" s="8" t="s">
        <v>72</v>
      </c>
      <c r="D261" s="21" t="n">
        <v>40010</v>
      </c>
      <c r="E261" s="22" t="n">
        <v>186.22</v>
      </c>
      <c r="F261" s="21" t="n">
        <v>40011</v>
      </c>
      <c r="G261" s="22" t="n">
        <v>187.63</v>
      </c>
      <c r="H261" s="22" t="n">
        <v>169.22</v>
      </c>
      <c r="I261" s="21" t="n">
        <v>40037</v>
      </c>
      <c r="J261" s="22" t="n">
        <v>202.67</v>
      </c>
      <c r="K261" s="21" t="n">
        <v>40038</v>
      </c>
      <c r="L261" s="22" t="n">
        <v>204.52</v>
      </c>
      <c r="M261" s="8" t="s">
        <v>73</v>
      </c>
      <c r="N261" s="4" t="n">
        <v>19</v>
      </c>
      <c r="O261" s="6" t="n">
        <f aca="false">IF(C261="롱",(J261-E261)/E261,(E261-J261)/E261)</f>
        <v>0.0883363763290731</v>
      </c>
    </row>
    <row r="262" customFormat="false" ht="17.15" hidden="false" customHeight="false" outlineLevel="0" collapsed="false">
      <c r="A262" s="4" t="n">
        <v>1</v>
      </c>
      <c r="B262" s="4" t="s">
        <v>12</v>
      </c>
      <c r="C262" s="8" t="s">
        <v>72</v>
      </c>
      <c r="D262" s="21" t="n">
        <v>40051</v>
      </c>
      <c r="E262" s="22" t="n">
        <v>210.62</v>
      </c>
      <c r="F262" s="21" t="n">
        <v>40052</v>
      </c>
      <c r="G262" s="22" t="n">
        <v>209.74</v>
      </c>
      <c r="H262" s="22" t="n">
        <v>194.4</v>
      </c>
      <c r="I262" s="21" t="n">
        <v>40052</v>
      </c>
      <c r="J262" s="22" t="n">
        <v>208.62</v>
      </c>
      <c r="K262" s="21" t="n">
        <v>40053</v>
      </c>
      <c r="L262" s="22" t="n">
        <v>210.45</v>
      </c>
      <c r="M262" s="8" t="s">
        <v>73</v>
      </c>
      <c r="N262" s="4" t="n">
        <v>1</v>
      </c>
      <c r="O262" s="6" t="n">
        <f aca="false">IF(C262="롱",(J262-E262)/E262,(E262-J262)/E262)</f>
        <v>-0.00949577438040072</v>
      </c>
    </row>
    <row r="263" customFormat="false" ht="17.15" hidden="false" customHeight="false" outlineLevel="0" collapsed="false">
      <c r="A263" s="4" t="n">
        <v>1</v>
      </c>
      <c r="B263" s="4" t="s">
        <v>12</v>
      </c>
      <c r="C263" s="8" t="s">
        <v>72</v>
      </c>
      <c r="D263" s="21" t="n">
        <v>40067</v>
      </c>
      <c r="E263" s="22" t="n">
        <v>215.81</v>
      </c>
      <c r="F263" s="21" t="n">
        <v>40070</v>
      </c>
      <c r="G263" s="22" t="n">
        <v>215.87</v>
      </c>
      <c r="H263" s="22" t="n">
        <v>198.38</v>
      </c>
      <c r="I263" s="21" t="n">
        <v>40070</v>
      </c>
      <c r="J263" s="22" t="n">
        <v>213.42</v>
      </c>
      <c r="K263" s="21" t="n">
        <v>40071</v>
      </c>
      <c r="L263" s="22" t="n">
        <v>214.9</v>
      </c>
      <c r="M263" s="8" t="s">
        <v>73</v>
      </c>
      <c r="N263" s="4" t="n">
        <v>1</v>
      </c>
      <c r="O263" s="6" t="n">
        <f aca="false">IF(C263="롱",(J263-E263)/E263,(E263-J263)/E263)</f>
        <v>-0.0110745563226913</v>
      </c>
    </row>
    <row r="264" customFormat="false" ht="17.15" hidden="false" customHeight="false" outlineLevel="0" collapsed="false">
      <c r="A264" s="4" t="n">
        <v>1</v>
      </c>
      <c r="B264" s="4" t="s">
        <v>12</v>
      </c>
      <c r="C264" s="8" t="s">
        <v>72</v>
      </c>
      <c r="D264" s="21" t="n">
        <v>40071</v>
      </c>
      <c r="E264" s="22" t="n">
        <v>216.14</v>
      </c>
      <c r="F264" s="21" t="n">
        <v>40072</v>
      </c>
      <c r="G264" s="22" t="n">
        <v>217</v>
      </c>
      <c r="H264" s="22" t="n">
        <v>199.76</v>
      </c>
      <c r="I264" s="21" t="n">
        <v>40084</v>
      </c>
      <c r="J264" s="22" t="n">
        <v>219.66</v>
      </c>
      <c r="K264" s="21" t="n">
        <v>40085</v>
      </c>
      <c r="L264" s="22" t="n">
        <v>222.39</v>
      </c>
      <c r="M264" s="8" t="s">
        <v>73</v>
      </c>
      <c r="N264" s="4" t="n">
        <v>9</v>
      </c>
      <c r="O264" s="6" t="n">
        <f aca="false">IF(C264="롱",(J264-E264)/E264,(E264-J264)/E264)</f>
        <v>0.0162857407236051</v>
      </c>
    </row>
    <row r="265" customFormat="false" ht="17.15" hidden="false" customHeight="false" outlineLevel="0" collapsed="false">
      <c r="A265" s="4" t="n">
        <v>6</v>
      </c>
      <c r="B265" s="4" t="s">
        <v>22</v>
      </c>
      <c r="C265" s="8" t="s">
        <v>72</v>
      </c>
      <c r="D265" s="21" t="n">
        <v>40073</v>
      </c>
      <c r="E265" s="22" t="n">
        <v>222.31</v>
      </c>
      <c r="F265" s="21" t="n">
        <v>40074</v>
      </c>
      <c r="G265" s="22" t="n">
        <v>222.2</v>
      </c>
      <c r="H265" s="22" t="n">
        <v>205.36</v>
      </c>
      <c r="I265" s="21" t="n">
        <v>40080</v>
      </c>
      <c r="J265" s="22" t="n">
        <v>222.35</v>
      </c>
      <c r="K265" s="21" t="n">
        <v>40081</v>
      </c>
      <c r="L265" s="22" t="n">
        <v>221.24</v>
      </c>
      <c r="M265" s="8" t="s">
        <v>73</v>
      </c>
      <c r="N265" s="4" t="n">
        <v>5</v>
      </c>
      <c r="O265" s="6" t="n">
        <f aca="false">IF(C265="롱",(J265-E265)/E265,(E265-J265)/E265)</f>
        <v>0.000179928928073375</v>
      </c>
    </row>
    <row r="266" customFormat="false" ht="17.15" hidden="false" customHeight="false" outlineLevel="0" collapsed="false">
      <c r="A266" s="4" t="n">
        <v>3</v>
      </c>
      <c r="B266" s="4" t="s">
        <v>16</v>
      </c>
      <c r="C266" s="8" t="s">
        <v>72</v>
      </c>
      <c r="D266" s="21" t="n">
        <v>40095</v>
      </c>
      <c r="E266" s="22" t="n">
        <v>215.57</v>
      </c>
      <c r="F266" s="21" t="n">
        <v>40098</v>
      </c>
      <c r="G266" s="22" t="n">
        <v>217.34</v>
      </c>
      <c r="H266" s="22" t="n">
        <v>195.6</v>
      </c>
      <c r="I266" s="21" t="n">
        <v>40114</v>
      </c>
      <c r="J266" s="22" t="n">
        <v>211.03</v>
      </c>
      <c r="K266" s="21" t="n">
        <v>40115</v>
      </c>
      <c r="L266" s="22" t="n">
        <v>207.5</v>
      </c>
      <c r="M266" s="8" t="s">
        <v>73</v>
      </c>
      <c r="N266" s="4" t="n">
        <v>13</v>
      </c>
      <c r="O266" s="6" t="n">
        <f aca="false">IF(C266="롱",(J266-E266)/E266,(E266-J266)/E266)</f>
        <v>-0.0210604444032101</v>
      </c>
    </row>
    <row r="267" customFormat="false" ht="17.15" hidden="false" customHeight="false" outlineLevel="0" collapsed="false">
      <c r="A267" s="4" t="n">
        <v>4</v>
      </c>
      <c r="B267" s="4" t="s">
        <v>18</v>
      </c>
      <c r="C267" s="8" t="s">
        <v>72</v>
      </c>
      <c r="D267" s="21" t="n">
        <v>40112</v>
      </c>
      <c r="E267" s="22" t="n">
        <v>217.45</v>
      </c>
      <c r="F267" s="21" t="n">
        <v>40113</v>
      </c>
      <c r="G267" s="22" t="n">
        <v>216.07</v>
      </c>
      <c r="H267" s="22" t="n">
        <v>196.69</v>
      </c>
      <c r="I267" s="21" t="n">
        <v>40114</v>
      </c>
      <c r="J267" s="22" t="n">
        <v>211.03</v>
      </c>
      <c r="K267" s="21" t="n">
        <v>40115</v>
      </c>
      <c r="L267" s="22" t="n">
        <v>207.5</v>
      </c>
      <c r="M267" s="8" t="s">
        <v>73</v>
      </c>
      <c r="N267" s="4" t="n">
        <v>2</v>
      </c>
      <c r="O267" s="6" t="n">
        <f aca="false">IF(C267="롱",(J267-E267)/E267,(E267-J267)/E267)</f>
        <v>-0.0295240285123016</v>
      </c>
    </row>
    <row r="268" customFormat="false" ht="17.15" hidden="false" customHeight="false" outlineLevel="0" collapsed="false">
      <c r="A268" s="4" t="n">
        <v>2</v>
      </c>
      <c r="B268" s="4" t="s">
        <v>14</v>
      </c>
      <c r="C268" s="8" t="s">
        <v>72</v>
      </c>
      <c r="D268" s="21" t="n">
        <v>40115</v>
      </c>
      <c r="E268" s="22" t="n">
        <v>207.68</v>
      </c>
      <c r="F268" s="21" t="n">
        <v>40116</v>
      </c>
      <c r="G268" s="22" t="n">
        <v>210.3</v>
      </c>
      <c r="H268" s="22" t="n">
        <v>186.91</v>
      </c>
      <c r="I268" s="21" t="n">
        <v>40135</v>
      </c>
      <c r="J268" s="22" t="n">
        <v>211.56</v>
      </c>
      <c r="K268" s="21" t="n">
        <v>40136</v>
      </c>
      <c r="L268" s="22" t="n">
        <v>212.28</v>
      </c>
      <c r="M268" s="8" t="s">
        <v>73</v>
      </c>
      <c r="N268" s="4" t="n">
        <v>14</v>
      </c>
      <c r="O268" s="6" t="n">
        <f aca="false">IF(C268="롱",(J268-E268)/E268,(E268-J268)/E268)</f>
        <v>0.0186825885978428</v>
      </c>
    </row>
    <row r="269" customFormat="false" ht="17.15" hidden="false" customHeight="false" outlineLevel="0" collapsed="false">
      <c r="A269" s="4" t="n">
        <v>7</v>
      </c>
      <c r="B269" s="4" t="s">
        <v>24</v>
      </c>
      <c r="C269" s="8" t="s">
        <v>72</v>
      </c>
      <c r="D269" s="21" t="n">
        <v>40119</v>
      </c>
      <c r="E269" s="22" t="n">
        <v>204.25</v>
      </c>
      <c r="F269" s="21" t="n">
        <v>40120</v>
      </c>
      <c r="G269" s="22" t="n">
        <v>204.49</v>
      </c>
      <c r="H269" s="22" t="n">
        <v>183.82</v>
      </c>
      <c r="I269" s="21" t="n">
        <v>40135</v>
      </c>
      <c r="J269" s="22" t="n">
        <v>211.56</v>
      </c>
      <c r="K269" s="21" t="n">
        <v>40136</v>
      </c>
      <c r="L269" s="22" t="n">
        <v>212.28</v>
      </c>
      <c r="M269" s="8" t="s">
        <v>73</v>
      </c>
      <c r="N269" s="4" t="n">
        <v>12</v>
      </c>
      <c r="O269" s="6" t="n">
        <f aca="false">IF(C269="롱",(J269-E269)/E269,(E269-J269)/E269)</f>
        <v>0.0357894736842105</v>
      </c>
    </row>
    <row r="270" customFormat="false" ht="17.15" hidden="false" customHeight="false" outlineLevel="0" collapsed="false">
      <c r="A270" s="4" t="n">
        <v>1</v>
      </c>
      <c r="B270" s="4" t="s">
        <v>12</v>
      </c>
      <c r="C270" s="8" t="s">
        <v>72</v>
      </c>
      <c r="D270" s="21" t="n">
        <v>40133</v>
      </c>
      <c r="E270" s="22" t="n">
        <v>209.9</v>
      </c>
      <c r="F270" s="21" t="n">
        <v>40134</v>
      </c>
      <c r="G270" s="22" t="n">
        <v>210.86</v>
      </c>
      <c r="H270" s="22" t="n">
        <v>191.17</v>
      </c>
      <c r="I270" s="21" t="n">
        <v>40144</v>
      </c>
      <c r="J270" s="22" t="n">
        <v>200.73</v>
      </c>
      <c r="K270" s="21" t="n">
        <v>40147</v>
      </c>
      <c r="L270" s="22" t="n">
        <v>203.81</v>
      </c>
      <c r="M270" s="8" t="s">
        <v>73</v>
      </c>
      <c r="N270" s="4" t="n">
        <v>9</v>
      </c>
      <c r="O270" s="6" t="n">
        <f aca="false">IF(C270="롱",(J270-E270)/E270,(E270-J270)/E270)</f>
        <v>-0.0436874702239162</v>
      </c>
    </row>
    <row r="271" customFormat="false" ht="17.15" hidden="false" customHeight="false" outlineLevel="0" collapsed="false">
      <c r="A271" s="4" t="n">
        <v>4</v>
      </c>
      <c r="B271" s="4" t="s">
        <v>18</v>
      </c>
      <c r="C271" s="8" t="s">
        <v>72</v>
      </c>
      <c r="D271" s="21" t="n">
        <v>40136</v>
      </c>
      <c r="E271" s="22" t="n">
        <v>213.89</v>
      </c>
      <c r="F271" s="21" t="n">
        <v>40137</v>
      </c>
      <c r="G271" s="22" t="n">
        <v>212.88</v>
      </c>
      <c r="H271" s="22" t="n">
        <v>195.23</v>
      </c>
      <c r="I271" s="21" t="n">
        <v>40147</v>
      </c>
      <c r="J271" s="22" t="n">
        <v>204.75</v>
      </c>
      <c r="K271" s="21" t="n">
        <v>40148</v>
      </c>
      <c r="L271" s="22" t="n">
        <v>204.02</v>
      </c>
      <c r="M271" s="8" t="s">
        <v>73</v>
      </c>
      <c r="N271" s="4" t="n">
        <v>7</v>
      </c>
      <c r="O271" s="6" t="n">
        <f aca="false">IF(C271="롱",(J271-E271)/E271,(E271-J271)/E271)</f>
        <v>-0.0427322455467763</v>
      </c>
    </row>
    <row r="272" customFormat="false" ht="17.15" hidden="false" customHeight="false" outlineLevel="0" collapsed="false">
      <c r="A272" s="4" t="n">
        <v>5</v>
      </c>
      <c r="B272" s="4" t="s">
        <v>20</v>
      </c>
      <c r="C272" s="8" t="s">
        <v>72</v>
      </c>
      <c r="D272" s="21" t="n">
        <v>40136</v>
      </c>
      <c r="E272" s="22" t="n">
        <v>213.89</v>
      </c>
      <c r="F272" s="21" t="n">
        <v>40137</v>
      </c>
      <c r="G272" s="22" t="n">
        <v>212.88</v>
      </c>
      <c r="H272" s="22" t="n">
        <v>195.23</v>
      </c>
      <c r="I272" s="21" t="n">
        <v>40141</v>
      </c>
      <c r="J272" s="22" t="n">
        <v>211.92</v>
      </c>
      <c r="K272" s="21" t="n">
        <v>40142</v>
      </c>
      <c r="L272" s="22" t="n">
        <v>212.18</v>
      </c>
      <c r="M272" s="8" t="s">
        <v>73</v>
      </c>
      <c r="N272" s="4" t="n">
        <v>3</v>
      </c>
      <c r="O272" s="6" t="n">
        <f aca="false">IF(C272="롱",(J272-E272)/E272,(E272-J272)/E272)</f>
        <v>-0.00921034176445836</v>
      </c>
    </row>
    <row r="273" customFormat="false" ht="17.15" hidden="false" customHeight="false" outlineLevel="0" collapsed="false">
      <c r="A273" s="4" t="n">
        <v>2</v>
      </c>
      <c r="B273" s="4" t="s">
        <v>14</v>
      </c>
      <c r="C273" s="8" t="s">
        <v>72</v>
      </c>
      <c r="D273" s="21" t="n">
        <v>40144</v>
      </c>
      <c r="E273" s="22" t="n">
        <v>200.73</v>
      </c>
      <c r="F273" s="21" t="n">
        <v>40147</v>
      </c>
      <c r="G273" s="22" t="n">
        <v>203.81</v>
      </c>
      <c r="H273" s="22" t="n">
        <v>182.47</v>
      </c>
      <c r="I273" s="21" t="n">
        <v>40154</v>
      </c>
      <c r="J273" s="22" t="n">
        <v>215.55</v>
      </c>
      <c r="K273" s="21" t="n">
        <v>40155</v>
      </c>
      <c r="L273" s="22" t="n">
        <v>215.24</v>
      </c>
      <c r="M273" s="8" t="s">
        <v>73</v>
      </c>
      <c r="N273" s="4" t="n">
        <v>6</v>
      </c>
      <c r="O273" s="6" t="n">
        <f aca="false">IF(C273="롱",(J273-E273)/E273,(E273-J273)/E273)</f>
        <v>0.0738305186070843</v>
      </c>
    </row>
    <row r="274" customFormat="false" ht="17.15" hidden="false" customHeight="false" outlineLevel="0" collapsed="false">
      <c r="A274" s="4" t="n">
        <v>3</v>
      </c>
      <c r="B274" s="4" t="s">
        <v>16</v>
      </c>
      <c r="C274" s="8" t="s">
        <v>72</v>
      </c>
      <c r="D274" s="21" t="n">
        <v>40149</v>
      </c>
      <c r="E274" s="22" t="n">
        <v>210.25</v>
      </c>
      <c r="F274" s="21" t="n">
        <v>40150</v>
      </c>
      <c r="G274" s="22" t="n">
        <v>211.01</v>
      </c>
      <c r="H274" s="22" t="n">
        <v>191.29</v>
      </c>
      <c r="I274" s="21" t="n">
        <v>40204</v>
      </c>
      <c r="J274" s="22" t="n">
        <v>214.89</v>
      </c>
      <c r="K274" s="21" t="n">
        <v>40205</v>
      </c>
      <c r="L274" s="22" t="n">
        <v>215.38</v>
      </c>
      <c r="M274" s="8" t="s">
        <v>73</v>
      </c>
      <c r="N274" s="4" t="n">
        <v>36</v>
      </c>
      <c r="O274" s="6" t="n">
        <f aca="false">IF(C274="롱",(J274-E274)/E274,(E274-J274)/E274)</f>
        <v>0.0220689655172413</v>
      </c>
    </row>
    <row r="275" customFormat="false" ht="17.15" hidden="false" customHeight="false" outlineLevel="0" collapsed="false">
      <c r="A275" s="4" t="n">
        <v>1</v>
      </c>
      <c r="B275" s="4" t="s">
        <v>12</v>
      </c>
      <c r="C275" s="8" t="s">
        <v>72</v>
      </c>
      <c r="D275" s="21" t="n">
        <v>40150</v>
      </c>
      <c r="E275" s="22" t="n">
        <v>213.31</v>
      </c>
      <c r="F275" s="21" t="n">
        <v>40151</v>
      </c>
      <c r="G275" s="22" t="n">
        <v>212.43</v>
      </c>
      <c r="H275" s="22" t="n">
        <v>194.54</v>
      </c>
      <c r="I275" s="21" t="n">
        <v>40189</v>
      </c>
      <c r="J275" s="22" t="n">
        <v>222.23</v>
      </c>
      <c r="K275" s="21" t="n">
        <v>40190</v>
      </c>
      <c r="L275" s="22" t="n">
        <v>222.5</v>
      </c>
      <c r="M275" s="8" t="s">
        <v>73</v>
      </c>
      <c r="N275" s="4" t="n">
        <v>24</v>
      </c>
      <c r="O275" s="6" t="n">
        <f aca="false">IF(C275="롱",(J275-E275)/E275,(E275-J275)/E275)</f>
        <v>0.0418170737424405</v>
      </c>
    </row>
    <row r="276" customFormat="false" ht="17.15" hidden="false" customHeight="false" outlineLevel="0" collapsed="false">
      <c r="A276" s="4" t="n">
        <v>5</v>
      </c>
      <c r="B276" s="4" t="s">
        <v>20</v>
      </c>
      <c r="C276" s="8" t="s">
        <v>72</v>
      </c>
      <c r="D276" s="21" t="n">
        <v>40150</v>
      </c>
      <c r="E276" s="22" t="n">
        <v>213.31</v>
      </c>
      <c r="F276" s="21" t="n">
        <v>40151</v>
      </c>
      <c r="G276" s="22" t="n">
        <v>212.43</v>
      </c>
      <c r="H276" s="22" t="n">
        <v>194.54</v>
      </c>
      <c r="I276" s="21" t="n">
        <v>40204</v>
      </c>
      <c r="J276" s="22" t="n">
        <v>214.89</v>
      </c>
      <c r="K276" s="21" t="n">
        <v>40205</v>
      </c>
      <c r="L276" s="22" t="n">
        <v>215.38</v>
      </c>
      <c r="M276" s="8" t="s">
        <v>73</v>
      </c>
      <c r="N276" s="4" t="n">
        <v>35</v>
      </c>
      <c r="O276" s="6" t="n">
        <f aca="false">IF(C276="롱",(J276-E276)/E276,(E276-J276)/E276)</f>
        <v>0.00740706014720353</v>
      </c>
    </row>
    <row r="277" customFormat="false" ht="17.15" hidden="false" customHeight="false" outlineLevel="0" collapsed="false">
      <c r="A277" s="4" t="n">
        <v>6</v>
      </c>
      <c r="B277" s="4" t="s">
        <v>22</v>
      </c>
      <c r="C277" s="8" t="s">
        <v>72</v>
      </c>
      <c r="D277" s="21" t="n">
        <v>40150</v>
      </c>
      <c r="E277" s="22" t="n">
        <v>213.31</v>
      </c>
      <c r="F277" s="21" t="n">
        <v>40151</v>
      </c>
      <c r="G277" s="22" t="n">
        <v>212.43</v>
      </c>
      <c r="H277" s="22" t="n">
        <v>194.54</v>
      </c>
      <c r="I277" s="21" t="n">
        <v>40164</v>
      </c>
      <c r="J277" s="22" t="n">
        <v>216.9</v>
      </c>
      <c r="K277" s="21" t="n">
        <v>40165</v>
      </c>
      <c r="L277" s="22" t="n">
        <v>215.82</v>
      </c>
      <c r="M277" s="8" t="s">
        <v>73</v>
      </c>
      <c r="N277" s="4" t="n">
        <v>10</v>
      </c>
      <c r="O277" s="6" t="n">
        <f aca="false">IF(C277="롱",(J277-E277)/E277,(E277-J277)/E277)</f>
        <v>0.0168299657775069</v>
      </c>
    </row>
    <row r="278" customFormat="false" ht="17.15" hidden="false" customHeight="false" outlineLevel="0" collapsed="false">
      <c r="A278" s="4" t="n">
        <v>4</v>
      </c>
      <c r="B278" s="4" t="s">
        <v>18</v>
      </c>
      <c r="C278" s="8" t="s">
        <v>72</v>
      </c>
      <c r="D278" s="21" t="n">
        <v>40151</v>
      </c>
      <c r="E278" s="22" t="n">
        <v>214.5</v>
      </c>
      <c r="F278" s="21" t="n">
        <v>40154</v>
      </c>
      <c r="G278" s="22" t="n">
        <v>215.65</v>
      </c>
      <c r="H278" s="22" t="n">
        <v>195.89</v>
      </c>
      <c r="I278" s="21" t="n">
        <v>40204</v>
      </c>
      <c r="J278" s="22" t="n">
        <v>214.89</v>
      </c>
      <c r="K278" s="21" t="n">
        <v>40205</v>
      </c>
      <c r="L278" s="22" t="n">
        <v>215.38</v>
      </c>
      <c r="M278" s="8" t="s">
        <v>73</v>
      </c>
      <c r="N278" s="4" t="n">
        <v>34</v>
      </c>
      <c r="O278" s="6" t="n">
        <f aca="false">IF(C278="롱",(J278-E278)/E278,(E278-J278)/E278)</f>
        <v>0.00181818181818175</v>
      </c>
    </row>
    <row r="279" customFormat="false" ht="17.15" hidden="false" customHeight="false" outlineLevel="0" collapsed="false">
      <c r="A279" s="4" t="n">
        <v>7</v>
      </c>
      <c r="B279" s="4" t="s">
        <v>24</v>
      </c>
      <c r="C279" s="8" t="s">
        <v>72</v>
      </c>
      <c r="D279" s="21" t="n">
        <v>40165</v>
      </c>
      <c r="E279" s="22" t="n">
        <v>216.68</v>
      </c>
      <c r="F279" s="21" t="n">
        <v>40168</v>
      </c>
      <c r="G279" s="22" t="n">
        <v>216.47</v>
      </c>
      <c r="H279" s="22" t="n">
        <v>198.91</v>
      </c>
      <c r="I279" s="21" t="n">
        <v>40171</v>
      </c>
      <c r="J279" s="22" t="n">
        <v>221.67</v>
      </c>
      <c r="K279" s="21" t="n">
        <v>40175</v>
      </c>
      <c r="L279" s="22" t="n">
        <v>223.04</v>
      </c>
      <c r="M279" s="8" t="s">
        <v>73</v>
      </c>
      <c r="N279" s="4" t="n">
        <v>4</v>
      </c>
      <c r="O279" s="6" t="n">
        <f aca="false">IF(C279="롱",(J279-E279)/E279,(E279-J279)/E279)</f>
        <v>0.0230293520398744</v>
      </c>
    </row>
    <row r="280" customFormat="false" ht="17.15" hidden="false" customHeight="false" outlineLevel="0" collapsed="false">
      <c r="A280" s="4" t="n">
        <v>1</v>
      </c>
      <c r="B280" s="4" t="s">
        <v>12</v>
      </c>
      <c r="C280" s="8" t="s">
        <v>72</v>
      </c>
      <c r="D280" s="21" t="n">
        <v>40199</v>
      </c>
      <c r="E280" s="22" t="n">
        <v>226.16</v>
      </c>
      <c r="F280" s="21" t="n">
        <v>40200</v>
      </c>
      <c r="G280" s="22" t="n">
        <v>222.59</v>
      </c>
      <c r="H280" s="22" t="n">
        <v>212.54</v>
      </c>
      <c r="I280" s="21" t="n">
        <v>40200</v>
      </c>
      <c r="J280" s="22" t="n">
        <v>220.68</v>
      </c>
      <c r="K280" s="21" t="n">
        <v>40203</v>
      </c>
      <c r="L280" s="22" t="n">
        <v>217.72</v>
      </c>
      <c r="M280" s="8" t="s">
        <v>73</v>
      </c>
      <c r="N280" s="4" t="n">
        <v>1</v>
      </c>
      <c r="O280" s="6" t="n">
        <f aca="false">IF(C280="롱",(J280-E280)/E280,(E280-J280)/E280)</f>
        <v>-0.0242306331800495</v>
      </c>
    </row>
    <row r="281" customFormat="false" ht="17.15" hidden="false" customHeight="false" outlineLevel="0" collapsed="false">
      <c r="A281" s="4" t="n">
        <v>2</v>
      </c>
      <c r="B281" s="4" t="s">
        <v>14</v>
      </c>
      <c r="C281" s="8" t="s">
        <v>72</v>
      </c>
      <c r="D281" s="21" t="n">
        <v>40204</v>
      </c>
      <c r="E281" s="22" t="n">
        <v>214.89</v>
      </c>
      <c r="F281" s="21" t="n">
        <v>40205</v>
      </c>
      <c r="G281" s="22" t="n">
        <v>215.38</v>
      </c>
      <c r="H281" s="22" t="n">
        <v>198.68</v>
      </c>
      <c r="I281" s="21" t="n">
        <v>40226</v>
      </c>
      <c r="J281" s="22" t="n">
        <v>213.44</v>
      </c>
      <c r="K281" s="21" t="n">
        <v>40227</v>
      </c>
      <c r="L281" s="22" t="n">
        <v>213.81</v>
      </c>
      <c r="M281" s="8" t="s">
        <v>73</v>
      </c>
      <c r="N281" s="4" t="n">
        <v>15</v>
      </c>
      <c r="O281" s="6" t="n">
        <f aca="false">IF(C281="롱",(J281-E281)/E281,(E281-J281)/E281)</f>
        <v>-0.00674763832658564</v>
      </c>
    </row>
    <row r="282" customFormat="false" ht="17.15" hidden="false" customHeight="false" outlineLevel="0" collapsed="false">
      <c r="A282" s="4" t="n">
        <v>5</v>
      </c>
      <c r="B282" s="4" t="s">
        <v>20</v>
      </c>
      <c r="C282" s="8" t="s">
        <v>72</v>
      </c>
      <c r="D282" s="21" t="n">
        <v>40206</v>
      </c>
      <c r="E282" s="22" t="n">
        <v>215.67</v>
      </c>
      <c r="F282" s="21" t="n">
        <v>40207</v>
      </c>
      <c r="G282" s="22" t="n">
        <v>212.77</v>
      </c>
      <c r="H282" s="22" t="n">
        <v>198.9</v>
      </c>
      <c r="I282" s="21" t="n">
        <v>40207</v>
      </c>
      <c r="J282" s="22" t="n">
        <v>210.34</v>
      </c>
      <c r="K282" s="21" t="n">
        <v>40210</v>
      </c>
      <c r="L282" s="22" t="n">
        <v>210.53</v>
      </c>
      <c r="M282" s="8" t="s">
        <v>73</v>
      </c>
      <c r="N282" s="4" t="n">
        <v>1</v>
      </c>
      <c r="O282" s="6" t="n">
        <f aca="false">IF(C282="롱",(J282-E282)/E282,(E282-J282)/E282)</f>
        <v>-0.024713682941531</v>
      </c>
    </row>
    <row r="283" customFormat="false" ht="17.15" hidden="false" customHeight="false" outlineLevel="0" collapsed="false">
      <c r="A283" s="4" t="n">
        <v>7</v>
      </c>
      <c r="B283" s="4" t="s">
        <v>24</v>
      </c>
      <c r="C283" s="8" t="s">
        <v>72</v>
      </c>
      <c r="D283" s="21" t="n">
        <v>40217</v>
      </c>
      <c r="E283" s="22" t="n">
        <v>203.37</v>
      </c>
      <c r="F283" s="21" t="n">
        <v>40218</v>
      </c>
      <c r="G283" s="22" t="n">
        <v>203.17</v>
      </c>
      <c r="H283" s="22" t="n">
        <v>184.21</v>
      </c>
      <c r="I283" s="21" t="n">
        <v>40226</v>
      </c>
      <c r="J283" s="22" t="n">
        <v>213.44</v>
      </c>
      <c r="K283" s="21" t="n">
        <v>40227</v>
      </c>
      <c r="L283" s="22" t="n">
        <v>213.81</v>
      </c>
      <c r="M283" s="8" t="s">
        <v>73</v>
      </c>
      <c r="N283" s="4" t="n">
        <v>6</v>
      </c>
      <c r="O283" s="6" t="n">
        <f aca="false">IF(C283="롱",(J283-E283)/E283,(E283-J283)/E283)</f>
        <v>0.0495156611102916</v>
      </c>
    </row>
    <row r="284" customFormat="false" ht="17.15" hidden="false" customHeight="false" outlineLevel="0" collapsed="false">
      <c r="A284" s="4" t="n">
        <v>1</v>
      </c>
      <c r="B284" s="4" t="s">
        <v>12</v>
      </c>
      <c r="C284" s="8" t="s">
        <v>72</v>
      </c>
      <c r="D284" s="21" t="n">
        <v>40226</v>
      </c>
      <c r="E284" s="22" t="n">
        <v>213.44</v>
      </c>
      <c r="F284" s="21" t="n">
        <v>40227</v>
      </c>
      <c r="G284" s="22" t="n">
        <v>213.81</v>
      </c>
      <c r="H284" s="22" t="n">
        <v>194.02</v>
      </c>
      <c r="I284" s="21" t="n">
        <v>40281</v>
      </c>
      <c r="J284" s="22" t="n">
        <v>224.69</v>
      </c>
      <c r="K284" s="21" t="n">
        <v>40282</v>
      </c>
      <c r="L284" s="22" t="n">
        <v>226.01</v>
      </c>
      <c r="M284" s="8" t="s">
        <v>73</v>
      </c>
      <c r="N284" s="4" t="n">
        <v>38</v>
      </c>
      <c r="O284" s="6" t="n">
        <f aca="false">IF(C284="롱",(J284-E284)/E284,(E284-J284)/E284)</f>
        <v>0.0527080209895053</v>
      </c>
    </row>
    <row r="285" customFormat="false" ht="17.15" hidden="false" customHeight="false" outlineLevel="0" collapsed="false">
      <c r="A285" s="4" t="n">
        <v>4</v>
      </c>
      <c r="B285" s="4" t="s">
        <v>18</v>
      </c>
      <c r="C285" s="8" t="s">
        <v>72</v>
      </c>
      <c r="D285" s="21" t="n">
        <v>40231</v>
      </c>
      <c r="E285" s="22" t="n">
        <v>213.28</v>
      </c>
      <c r="F285" s="21" t="n">
        <v>40232</v>
      </c>
      <c r="G285" s="22" t="n">
        <v>213.29</v>
      </c>
      <c r="H285" s="22" t="n">
        <v>194.44</v>
      </c>
      <c r="I285" s="21" t="n">
        <v>40301</v>
      </c>
      <c r="J285" s="22" t="n">
        <v>225.1</v>
      </c>
      <c r="K285" s="21" t="n">
        <v>40302</v>
      </c>
      <c r="L285" s="22" t="n">
        <v>226.29</v>
      </c>
      <c r="M285" s="8" t="s">
        <v>73</v>
      </c>
      <c r="N285" s="4" t="n">
        <v>49</v>
      </c>
      <c r="O285" s="6" t="n">
        <f aca="false">IF(C285="롱",(J285-E285)/E285,(E285-J285)/E285)</f>
        <v>0.0554201050262565</v>
      </c>
    </row>
    <row r="286" customFormat="false" ht="17.15" hidden="false" customHeight="false" outlineLevel="0" collapsed="false">
      <c r="A286" s="4" t="n">
        <v>6</v>
      </c>
      <c r="B286" s="4" t="s">
        <v>22</v>
      </c>
      <c r="C286" s="8" t="s">
        <v>72</v>
      </c>
      <c r="D286" s="21" t="n">
        <v>40240</v>
      </c>
      <c r="E286" s="22" t="n">
        <v>212.36</v>
      </c>
      <c r="F286" s="21" t="n">
        <v>40241</v>
      </c>
      <c r="G286" s="22" t="n">
        <v>212.75</v>
      </c>
      <c r="H286" s="22" t="n">
        <v>195.36</v>
      </c>
      <c r="I286" s="21" t="n">
        <v>40248</v>
      </c>
      <c r="J286" s="22" t="n">
        <v>216.76</v>
      </c>
      <c r="K286" s="21" t="n">
        <v>40249</v>
      </c>
      <c r="L286" s="22" t="n">
        <v>218.11</v>
      </c>
      <c r="M286" s="8" t="s">
        <v>73</v>
      </c>
      <c r="N286" s="4" t="n">
        <v>6</v>
      </c>
      <c r="O286" s="6" t="n">
        <f aca="false">IF(C286="롱",(J286-E286)/E286,(E286-J286)/E286)</f>
        <v>0.0207195328687134</v>
      </c>
    </row>
    <row r="287" customFormat="false" ht="17.15" hidden="false" customHeight="false" outlineLevel="0" collapsed="false">
      <c r="A287" s="4" t="n">
        <v>5</v>
      </c>
      <c r="B287" s="4" t="s">
        <v>20</v>
      </c>
      <c r="C287" s="8" t="s">
        <v>72</v>
      </c>
      <c r="D287" s="21" t="n">
        <v>40245</v>
      </c>
      <c r="E287" s="22" t="n">
        <v>217.73</v>
      </c>
      <c r="F287" s="21" t="n">
        <v>40246</v>
      </c>
      <c r="G287" s="22" t="n">
        <v>217.4</v>
      </c>
      <c r="H287" s="22" t="n">
        <v>200.78</v>
      </c>
      <c r="I287" s="21" t="n">
        <v>40252</v>
      </c>
      <c r="J287" s="22" t="n">
        <v>215.49</v>
      </c>
      <c r="K287" s="21" t="n">
        <v>40253</v>
      </c>
      <c r="L287" s="22" t="n">
        <v>216.15</v>
      </c>
      <c r="M287" s="8" t="s">
        <v>73</v>
      </c>
      <c r="N287" s="4" t="n">
        <v>5</v>
      </c>
      <c r="O287" s="6" t="n">
        <f aca="false">IF(C287="롱",(J287-E287)/E287,(E287-J287)/E287)</f>
        <v>-0.0102879713406512</v>
      </c>
    </row>
    <row r="288" customFormat="false" ht="17.15" hidden="false" customHeight="false" outlineLevel="0" collapsed="false">
      <c r="A288" s="4" t="n">
        <v>6</v>
      </c>
      <c r="B288" s="4" t="s">
        <v>22</v>
      </c>
      <c r="C288" s="8" t="s">
        <v>72</v>
      </c>
      <c r="D288" s="21" t="n">
        <v>40273</v>
      </c>
      <c r="E288" s="22" t="n">
        <v>227.48</v>
      </c>
      <c r="F288" s="21" t="n">
        <v>40274</v>
      </c>
      <c r="G288" s="22" t="n">
        <v>228.62</v>
      </c>
      <c r="H288" s="22" t="n">
        <v>215.52</v>
      </c>
      <c r="I288" s="21" t="n">
        <v>40277</v>
      </c>
      <c r="J288" s="22" t="n">
        <v>226.81</v>
      </c>
      <c r="K288" s="21" t="n">
        <v>40280</v>
      </c>
      <c r="L288" s="22" t="n">
        <v>227.56</v>
      </c>
      <c r="M288" s="8" t="s">
        <v>73</v>
      </c>
      <c r="N288" s="4" t="n">
        <v>4</v>
      </c>
      <c r="O288" s="6" t="n">
        <f aca="false">IF(C288="롱",(J288-E288)/E288,(E288-J288)/E288)</f>
        <v>-0.00294531387374709</v>
      </c>
    </row>
    <row r="289" customFormat="false" ht="17.15" hidden="false" customHeight="false" outlineLevel="0" collapsed="false">
      <c r="A289" s="4" t="n">
        <v>1</v>
      </c>
      <c r="B289" s="4" t="s">
        <v>12</v>
      </c>
      <c r="C289" s="8" t="s">
        <v>72</v>
      </c>
      <c r="D289" s="21" t="n">
        <v>40283</v>
      </c>
      <c r="E289" s="22" t="n">
        <v>229.17</v>
      </c>
      <c r="F289" s="21" t="n">
        <v>40284</v>
      </c>
      <c r="G289" s="22" t="n">
        <v>228.83</v>
      </c>
      <c r="H289" s="22" t="n">
        <v>216.62</v>
      </c>
      <c r="I289" s="21" t="n">
        <v>40284</v>
      </c>
      <c r="J289" s="22" t="n">
        <v>227.69</v>
      </c>
      <c r="K289" s="21" t="n">
        <v>40287</v>
      </c>
      <c r="L289" s="22" t="n">
        <v>224.17</v>
      </c>
      <c r="M289" s="8" t="s">
        <v>73</v>
      </c>
      <c r="N289" s="4" t="n">
        <v>1</v>
      </c>
      <c r="O289" s="6" t="n">
        <f aca="false">IF(C289="롱",(J289-E289)/E289,(E289-J289)/E289)</f>
        <v>-0.00645808788235803</v>
      </c>
    </row>
    <row r="290" customFormat="false" ht="17.15" hidden="false" customHeight="false" outlineLevel="0" collapsed="false">
      <c r="A290" s="4" t="n">
        <v>6</v>
      </c>
      <c r="B290" s="4" t="s">
        <v>22</v>
      </c>
      <c r="C290" s="8" t="s">
        <v>72</v>
      </c>
      <c r="D290" s="21" t="n">
        <v>40283</v>
      </c>
      <c r="E290" s="22" t="n">
        <v>229.17</v>
      </c>
      <c r="F290" s="21" t="n">
        <v>40284</v>
      </c>
      <c r="G290" s="22" t="n">
        <v>228.83</v>
      </c>
      <c r="H290" s="22" t="n">
        <v>216.62</v>
      </c>
      <c r="I290" s="21" t="n">
        <v>40287</v>
      </c>
      <c r="J290" s="22" t="n">
        <v>223.65</v>
      </c>
      <c r="K290" s="21" t="n">
        <v>40288</v>
      </c>
      <c r="L290" s="22" t="n">
        <v>224.98</v>
      </c>
      <c r="M290" s="8" t="s">
        <v>73</v>
      </c>
      <c r="N290" s="4" t="n">
        <v>2</v>
      </c>
      <c r="O290" s="6" t="n">
        <f aca="false">IF(C290="롱",(J290-E290)/E290,(E290-J290)/E290)</f>
        <v>-0.0240869223720381</v>
      </c>
    </row>
    <row r="291" customFormat="false" ht="17.15" hidden="false" customHeight="false" outlineLevel="0" collapsed="false">
      <c r="A291" s="4" t="n">
        <v>2</v>
      </c>
      <c r="B291" s="4" t="s">
        <v>14</v>
      </c>
      <c r="C291" s="8" t="s">
        <v>72</v>
      </c>
      <c r="D291" s="21" t="n">
        <v>40304</v>
      </c>
      <c r="E291" s="22" t="n">
        <v>220.21</v>
      </c>
      <c r="F291" s="21" t="n">
        <v>40305</v>
      </c>
      <c r="G291" s="22" t="n">
        <v>213.33</v>
      </c>
      <c r="H291" s="22" t="n">
        <v>203.7</v>
      </c>
      <c r="I291" s="21" t="n">
        <v>40323</v>
      </c>
      <c r="J291" s="22" t="n">
        <v>203.7</v>
      </c>
      <c r="K291" s="21" t="n">
        <v>40324</v>
      </c>
      <c r="L291" s="22" t="n">
        <v>206.95</v>
      </c>
      <c r="M291" s="8" t="s">
        <v>75</v>
      </c>
      <c r="N291" s="4" t="n">
        <v>12</v>
      </c>
      <c r="O291" s="6" t="n">
        <f aca="false">IF(C291="롱",(J291-E291)/E291,(E291-J291)/E291)</f>
        <v>-0.0749738885609192</v>
      </c>
    </row>
    <row r="292" customFormat="false" ht="17.15" hidden="false" customHeight="false" outlineLevel="0" collapsed="false">
      <c r="A292" s="4" t="n">
        <v>5</v>
      </c>
      <c r="B292" s="4" t="s">
        <v>20</v>
      </c>
      <c r="C292" s="8" t="s">
        <v>72</v>
      </c>
      <c r="D292" s="21" t="n">
        <v>40311</v>
      </c>
      <c r="E292" s="22" t="n">
        <v>220.8</v>
      </c>
      <c r="F292" s="21" t="n">
        <v>40312</v>
      </c>
      <c r="G292" s="22" t="n">
        <v>219.58</v>
      </c>
      <c r="H292" s="22" t="n">
        <v>202.02</v>
      </c>
      <c r="I292" s="21" t="n">
        <v>40315</v>
      </c>
      <c r="J292" s="22" t="n">
        <v>215.36</v>
      </c>
      <c r="K292" s="21" t="n">
        <v>40316</v>
      </c>
      <c r="L292" s="22" t="n">
        <v>216.68</v>
      </c>
      <c r="M292" s="8" t="s">
        <v>73</v>
      </c>
      <c r="N292" s="4" t="n">
        <v>2</v>
      </c>
      <c r="O292" s="6" t="n">
        <f aca="false">IF(C292="롱",(J292-E292)/E292,(E292-J292)/E292)</f>
        <v>-0.0246376811594203</v>
      </c>
    </row>
    <row r="293" customFormat="false" ht="17.15" hidden="false" customHeight="false" outlineLevel="0" collapsed="false">
      <c r="A293" s="4" t="n">
        <v>7</v>
      </c>
      <c r="B293" s="4" t="s">
        <v>24</v>
      </c>
      <c r="C293" s="8" t="s">
        <v>72</v>
      </c>
      <c r="D293" s="21" t="n">
        <v>40317</v>
      </c>
      <c r="E293" s="22" t="n">
        <v>212.43</v>
      </c>
      <c r="F293" s="21" t="n">
        <v>40318</v>
      </c>
      <c r="G293" s="22" t="n">
        <v>211.55</v>
      </c>
      <c r="H293" s="22" t="n">
        <v>191.78</v>
      </c>
      <c r="I293" s="21" t="n">
        <v>40318</v>
      </c>
      <c r="J293" s="22" t="n">
        <v>208.78</v>
      </c>
      <c r="K293" s="21" t="n">
        <v>40322</v>
      </c>
      <c r="L293" s="22" t="n">
        <v>207.5</v>
      </c>
      <c r="M293" s="8" t="s">
        <v>73</v>
      </c>
      <c r="N293" s="4" t="n">
        <v>1</v>
      </c>
      <c r="O293" s="6" t="n">
        <f aca="false">IF(C293="롱",(J293-E293)/E293,(E293-J293)/E293)</f>
        <v>-0.0171821305841925</v>
      </c>
    </row>
    <row r="294" customFormat="false" ht="17.15" hidden="false" customHeight="false" outlineLevel="0" collapsed="false">
      <c r="A294" s="4" t="n">
        <v>1</v>
      </c>
      <c r="B294" s="4" t="s">
        <v>12</v>
      </c>
      <c r="C294" s="8" t="s">
        <v>72</v>
      </c>
      <c r="D294" s="21" t="n">
        <v>40330</v>
      </c>
      <c r="E294" s="22" t="n">
        <v>213.02</v>
      </c>
      <c r="F294" s="21" t="n">
        <v>40332</v>
      </c>
      <c r="G294" s="22" t="n">
        <v>214.84</v>
      </c>
      <c r="H294" s="22" t="n">
        <v>191.72</v>
      </c>
      <c r="I294" s="21" t="n">
        <v>40360</v>
      </c>
      <c r="J294" s="22" t="n">
        <v>218.65</v>
      </c>
      <c r="K294" s="21" t="n">
        <v>40361</v>
      </c>
      <c r="L294" s="22" t="n">
        <v>219.13</v>
      </c>
      <c r="M294" s="8" t="s">
        <v>73</v>
      </c>
      <c r="N294" s="4" t="n">
        <v>21</v>
      </c>
      <c r="O294" s="6" t="n">
        <f aca="false">IF(C294="롱",(J294-E294)/E294,(E294-J294)/E294)</f>
        <v>0.0264294432447657</v>
      </c>
    </row>
    <row r="295" customFormat="false" ht="17.15" hidden="false" customHeight="false" outlineLevel="0" collapsed="false">
      <c r="A295" s="4" t="n">
        <v>4</v>
      </c>
      <c r="B295" s="4" t="s">
        <v>18</v>
      </c>
      <c r="C295" s="8" t="s">
        <v>72</v>
      </c>
      <c r="D295" s="21" t="n">
        <v>40333</v>
      </c>
      <c r="E295" s="22" t="n">
        <v>218.03</v>
      </c>
      <c r="F295" s="21" t="n">
        <v>40336</v>
      </c>
      <c r="G295" s="22" t="n">
        <v>213.55</v>
      </c>
      <c r="H295" s="22" t="n">
        <v>196.23</v>
      </c>
      <c r="I295" s="21" t="n">
        <v>40361</v>
      </c>
      <c r="J295" s="22" t="n">
        <v>217.01</v>
      </c>
      <c r="K295" s="21" t="n">
        <v>40364</v>
      </c>
      <c r="L295" s="22" t="n">
        <v>217.43</v>
      </c>
      <c r="M295" s="8" t="s">
        <v>73</v>
      </c>
      <c r="N295" s="4" t="n">
        <v>20</v>
      </c>
      <c r="O295" s="6" t="n">
        <f aca="false">IF(C295="롱",(J295-E295)/E295,(E295-J295)/E295)</f>
        <v>-0.00467825528596987</v>
      </c>
    </row>
    <row r="296" customFormat="false" ht="17.15" hidden="false" customHeight="false" outlineLevel="0" collapsed="false">
      <c r="A296" s="4" t="n">
        <v>5</v>
      </c>
      <c r="B296" s="4" t="s">
        <v>20</v>
      </c>
      <c r="C296" s="8" t="s">
        <v>72</v>
      </c>
      <c r="D296" s="21" t="n">
        <v>40343</v>
      </c>
      <c r="E296" s="22" t="n">
        <v>221.43</v>
      </c>
      <c r="F296" s="21" t="n">
        <v>40344</v>
      </c>
      <c r="G296" s="22" t="n">
        <v>220.94</v>
      </c>
      <c r="H296" s="22" t="n">
        <v>199.85</v>
      </c>
      <c r="I296" s="21" t="n">
        <v>40359</v>
      </c>
      <c r="J296" s="22" t="n">
        <v>220.85</v>
      </c>
      <c r="K296" s="21" t="n">
        <v>40360</v>
      </c>
      <c r="L296" s="22" t="n">
        <v>219.26</v>
      </c>
      <c r="M296" s="8" t="s">
        <v>73</v>
      </c>
      <c r="N296" s="4" t="n">
        <v>12</v>
      </c>
      <c r="O296" s="6" t="n">
        <f aca="false">IF(C296="롱",(J296-E296)/E296,(E296-J296)/E296)</f>
        <v>-0.00261933793975528</v>
      </c>
    </row>
    <row r="297" customFormat="false" ht="17.15" hidden="false" customHeight="false" outlineLevel="0" collapsed="false">
      <c r="A297" s="4" t="n">
        <v>6</v>
      </c>
      <c r="B297" s="4" t="s">
        <v>22</v>
      </c>
      <c r="C297" s="8" t="s">
        <v>72</v>
      </c>
      <c r="D297" s="21" t="n">
        <v>40343</v>
      </c>
      <c r="E297" s="22" t="n">
        <v>221.43</v>
      </c>
      <c r="F297" s="21" t="n">
        <v>40344</v>
      </c>
      <c r="G297" s="22" t="n">
        <v>220.94</v>
      </c>
      <c r="H297" s="22" t="n">
        <v>199.85</v>
      </c>
      <c r="I297" s="21" t="n">
        <v>40354</v>
      </c>
      <c r="J297" s="22" t="n">
        <v>225.63</v>
      </c>
      <c r="K297" s="21" t="n">
        <v>40357</v>
      </c>
      <c r="L297" s="22" t="n">
        <v>226.17</v>
      </c>
      <c r="M297" s="8" t="s">
        <v>73</v>
      </c>
      <c r="N297" s="4" t="n">
        <v>9</v>
      </c>
      <c r="O297" s="6" t="n">
        <f aca="false">IF(C297="롱",(J297-E297)/E297,(E297-J297)/E297)</f>
        <v>0.0189676195637447</v>
      </c>
    </row>
    <row r="298" customFormat="false" ht="17.15" hidden="false" customHeight="false" outlineLevel="0" collapsed="false">
      <c r="A298" s="4" t="n">
        <v>7</v>
      </c>
      <c r="B298" s="4" t="s">
        <v>24</v>
      </c>
      <c r="C298" s="8" t="s">
        <v>72</v>
      </c>
      <c r="D298" s="21" t="n">
        <v>40358</v>
      </c>
      <c r="E298" s="22" t="n">
        <v>222.54</v>
      </c>
      <c r="F298" s="21" t="n">
        <v>40359</v>
      </c>
      <c r="G298" s="22" t="n">
        <v>218.7</v>
      </c>
      <c r="H298" s="22" t="n">
        <v>207.67</v>
      </c>
      <c r="I298" s="21" t="n">
        <v>40373</v>
      </c>
      <c r="J298" s="22" t="n">
        <v>229.27</v>
      </c>
      <c r="K298" s="21" t="n">
        <v>40374</v>
      </c>
      <c r="L298" s="22" t="n">
        <v>228.75</v>
      </c>
      <c r="M298" s="8" t="s">
        <v>73</v>
      </c>
      <c r="N298" s="4" t="n">
        <v>11</v>
      </c>
      <c r="O298" s="6" t="n">
        <f aca="false">IF(C298="롱",(J298-E298)/E298,(E298-J298)/E298)</f>
        <v>0.0302417542913634</v>
      </c>
    </row>
    <row r="299" customFormat="false" ht="17.15" hidden="false" customHeight="false" outlineLevel="0" collapsed="false">
      <c r="A299" s="4" t="n">
        <v>3</v>
      </c>
      <c r="B299" s="4" t="s">
        <v>16</v>
      </c>
      <c r="C299" s="8" t="s">
        <v>72</v>
      </c>
      <c r="D299" s="21" t="n">
        <v>40367</v>
      </c>
      <c r="E299" s="22" t="n">
        <v>220.78</v>
      </c>
      <c r="F299" s="21" t="n">
        <v>40368</v>
      </c>
      <c r="G299" s="22" t="n">
        <v>222.07</v>
      </c>
      <c r="H299" s="22" t="n">
        <v>205.39</v>
      </c>
      <c r="I299" s="21" t="n">
        <v>40402</v>
      </c>
      <c r="J299" s="22" t="n">
        <v>223.96</v>
      </c>
      <c r="K299" s="21" t="n">
        <v>40403</v>
      </c>
      <c r="L299" s="22" t="n">
        <v>225.12</v>
      </c>
      <c r="M299" s="8" t="s">
        <v>73</v>
      </c>
      <c r="N299" s="4" t="n">
        <v>25</v>
      </c>
      <c r="O299" s="6" t="n">
        <f aca="false">IF(C299="롱",(J299-E299)/E299,(E299-J299)/E299)</f>
        <v>0.014403478575958</v>
      </c>
    </row>
    <row r="300" customFormat="false" ht="17.15" hidden="false" customHeight="false" outlineLevel="0" collapsed="false">
      <c r="A300" s="4" t="n">
        <v>5</v>
      </c>
      <c r="B300" s="4" t="s">
        <v>20</v>
      </c>
      <c r="C300" s="8" t="s">
        <v>72</v>
      </c>
      <c r="D300" s="21" t="n">
        <v>40367</v>
      </c>
      <c r="E300" s="22" t="n">
        <v>220.78</v>
      </c>
      <c r="F300" s="21" t="n">
        <v>40368</v>
      </c>
      <c r="G300" s="22" t="n">
        <v>222.07</v>
      </c>
      <c r="H300" s="22" t="n">
        <v>205.39</v>
      </c>
      <c r="I300" s="21" t="n">
        <v>40417</v>
      </c>
      <c r="J300" s="22" t="n">
        <v>225.52</v>
      </c>
      <c r="K300" s="21" t="n">
        <v>40420</v>
      </c>
      <c r="L300" s="22" t="n">
        <v>228.17</v>
      </c>
      <c r="M300" s="8" t="s">
        <v>73</v>
      </c>
      <c r="N300" s="4" t="n">
        <v>36</v>
      </c>
      <c r="O300" s="6" t="n">
        <f aca="false">IF(C300="롱",(J300-E300)/E300,(E300-J300)/E300)</f>
        <v>0.0214693359905789</v>
      </c>
    </row>
    <row r="301" customFormat="false" ht="17.15" hidden="false" customHeight="false" outlineLevel="0" collapsed="false">
      <c r="A301" s="4" t="n">
        <v>7</v>
      </c>
      <c r="B301" s="4" t="s">
        <v>24</v>
      </c>
      <c r="C301" s="8" t="s">
        <v>72</v>
      </c>
      <c r="D301" s="21" t="n">
        <v>40378</v>
      </c>
      <c r="E301" s="22" t="n">
        <v>225.32</v>
      </c>
      <c r="F301" s="21" t="n">
        <v>40379</v>
      </c>
      <c r="G301" s="22" t="n">
        <v>224.47</v>
      </c>
      <c r="H301" s="22" t="n">
        <v>210.14</v>
      </c>
      <c r="I301" s="21" t="n">
        <v>40385</v>
      </c>
      <c r="J301" s="22" t="n">
        <v>230.87</v>
      </c>
      <c r="K301" s="21" t="n">
        <v>40386</v>
      </c>
      <c r="L301" s="22" t="n">
        <v>231.66</v>
      </c>
      <c r="M301" s="8" t="s">
        <v>73</v>
      </c>
      <c r="N301" s="4" t="n">
        <v>5</v>
      </c>
      <c r="O301" s="6" t="n">
        <f aca="false">IF(C301="롱",(J301-E301)/E301,(E301-J301)/E301)</f>
        <v>0.0246316350079887</v>
      </c>
    </row>
    <row r="302" customFormat="false" ht="17.15" hidden="false" customHeight="false" outlineLevel="0" collapsed="false">
      <c r="A302" s="4" t="n">
        <v>3</v>
      </c>
      <c r="B302" s="4" t="s">
        <v>16</v>
      </c>
      <c r="C302" s="8" t="s">
        <v>72</v>
      </c>
      <c r="D302" s="21" t="n">
        <v>40408</v>
      </c>
      <c r="E302" s="22" t="n">
        <v>228.9</v>
      </c>
      <c r="F302" s="21" t="n">
        <v>40409</v>
      </c>
      <c r="G302" s="22" t="n">
        <v>229.2</v>
      </c>
      <c r="H302" s="22" t="n">
        <v>215.22</v>
      </c>
      <c r="I302" s="21" t="n">
        <v>40415</v>
      </c>
      <c r="J302" s="22" t="n">
        <v>225.99</v>
      </c>
      <c r="K302" s="21" t="n">
        <v>40416</v>
      </c>
      <c r="L302" s="22" t="n">
        <v>227.2</v>
      </c>
      <c r="M302" s="8" t="s">
        <v>73</v>
      </c>
      <c r="N302" s="4" t="n">
        <v>5</v>
      </c>
      <c r="O302" s="6" t="n">
        <f aca="false">IF(C302="롱",(J302-E302)/E302,(E302-J302)/E302)</f>
        <v>-0.0127129750982962</v>
      </c>
    </row>
    <row r="303" customFormat="false" ht="17.15" hidden="false" customHeight="false" outlineLevel="0" collapsed="false">
      <c r="A303" s="4" t="n">
        <v>3</v>
      </c>
      <c r="B303" s="4" t="s">
        <v>16</v>
      </c>
      <c r="C303" s="8" t="s">
        <v>72</v>
      </c>
      <c r="D303" s="21" t="n">
        <v>40420</v>
      </c>
      <c r="E303" s="22" t="n">
        <v>229.63</v>
      </c>
      <c r="F303" s="21" t="n">
        <v>40421</v>
      </c>
      <c r="G303" s="22" t="n">
        <v>227.88</v>
      </c>
      <c r="H303" s="22" t="n">
        <v>214.94</v>
      </c>
      <c r="I303" s="21" t="n">
        <v>40457</v>
      </c>
      <c r="J303" s="22" t="n">
        <v>247.7</v>
      </c>
      <c r="K303" s="21" t="n">
        <v>40458</v>
      </c>
      <c r="L303" s="22" t="n">
        <v>247.17</v>
      </c>
      <c r="M303" s="8" t="s">
        <v>73</v>
      </c>
      <c r="N303" s="4" t="n">
        <v>24</v>
      </c>
      <c r="O303" s="6" t="n">
        <f aca="false">IF(C303="롱",(J303-E303)/E303,(E303-J303)/E303)</f>
        <v>0.0786918085615991</v>
      </c>
    </row>
    <row r="304" customFormat="false" ht="17.15" hidden="false" customHeight="false" outlineLevel="0" collapsed="false">
      <c r="A304" s="4" t="n">
        <v>5</v>
      </c>
      <c r="B304" s="4" t="s">
        <v>20</v>
      </c>
      <c r="C304" s="8" t="s">
        <v>72</v>
      </c>
      <c r="D304" s="21" t="n">
        <v>40420</v>
      </c>
      <c r="E304" s="22" t="n">
        <v>229.63</v>
      </c>
      <c r="F304" s="21" t="n">
        <v>40421</v>
      </c>
      <c r="G304" s="22" t="n">
        <v>227.88</v>
      </c>
      <c r="H304" s="22" t="n">
        <v>214.94</v>
      </c>
      <c r="I304" s="21" t="n">
        <v>40584</v>
      </c>
      <c r="J304" s="22" t="n">
        <v>264.57</v>
      </c>
      <c r="K304" s="21" t="n">
        <v>40585</v>
      </c>
      <c r="L304" s="22" t="n">
        <v>264.8</v>
      </c>
      <c r="M304" s="8" t="s">
        <v>73</v>
      </c>
      <c r="N304" s="4" t="n">
        <v>111</v>
      </c>
      <c r="O304" s="6" t="n">
        <f aca="false">IF(C304="롱",(J304-E304)/E304,(E304-J304)/E304)</f>
        <v>0.152157819100292</v>
      </c>
    </row>
    <row r="305" customFormat="false" ht="17.15" hidden="false" customHeight="false" outlineLevel="0" collapsed="false">
      <c r="A305" s="4" t="n">
        <v>1</v>
      </c>
      <c r="B305" s="4" t="s">
        <v>12</v>
      </c>
      <c r="C305" s="8" t="s">
        <v>72</v>
      </c>
      <c r="D305" s="21" t="n">
        <v>40424</v>
      </c>
      <c r="E305" s="22" t="n">
        <v>231.04</v>
      </c>
      <c r="F305" s="21" t="n">
        <v>40427</v>
      </c>
      <c r="G305" s="22" t="n">
        <v>232.6</v>
      </c>
      <c r="H305" s="22" t="n">
        <v>216.18</v>
      </c>
      <c r="I305" s="21" t="n">
        <v>40463</v>
      </c>
      <c r="J305" s="22" t="n">
        <v>242.35</v>
      </c>
      <c r="K305" s="21" t="n">
        <v>40464</v>
      </c>
      <c r="L305" s="22" t="n">
        <v>243.63</v>
      </c>
      <c r="M305" s="8" t="s">
        <v>73</v>
      </c>
      <c r="N305" s="4" t="n">
        <v>24</v>
      </c>
      <c r="O305" s="6" t="n">
        <f aca="false">IF(C305="롱",(J305-E305)/E305,(E305-J305)/E305)</f>
        <v>0.0489525623268698</v>
      </c>
    </row>
    <row r="306" customFormat="false" ht="17.15" hidden="false" customHeight="false" outlineLevel="0" collapsed="false">
      <c r="A306" s="4" t="n">
        <v>4</v>
      </c>
      <c r="B306" s="4" t="s">
        <v>18</v>
      </c>
      <c r="C306" s="8" t="s">
        <v>72</v>
      </c>
      <c r="D306" s="21" t="n">
        <v>40424</v>
      </c>
      <c r="E306" s="22" t="n">
        <v>231.04</v>
      </c>
      <c r="F306" s="21" t="n">
        <v>40427</v>
      </c>
      <c r="G306" s="22" t="n">
        <v>232.6</v>
      </c>
      <c r="H306" s="22" t="n">
        <v>216.18</v>
      </c>
      <c r="I306" s="21" t="n">
        <v>40472</v>
      </c>
      <c r="J306" s="22" t="n">
        <v>242.53</v>
      </c>
      <c r="K306" s="21" t="n">
        <v>40473</v>
      </c>
      <c r="L306" s="22" t="n">
        <v>243.58</v>
      </c>
      <c r="M306" s="8" t="s">
        <v>73</v>
      </c>
      <c r="N306" s="4" t="n">
        <v>31</v>
      </c>
      <c r="O306" s="6" t="n">
        <f aca="false">IF(C306="롱",(J306-E306)/E306,(E306-J306)/E306)</f>
        <v>0.049731648199446</v>
      </c>
    </row>
    <row r="307" customFormat="false" ht="17.15" hidden="false" customHeight="false" outlineLevel="0" collapsed="false">
      <c r="A307" s="4" t="n">
        <v>6</v>
      </c>
      <c r="B307" s="4" t="s">
        <v>22</v>
      </c>
      <c r="C307" s="8" t="s">
        <v>72</v>
      </c>
      <c r="D307" s="21" t="n">
        <v>40424</v>
      </c>
      <c r="E307" s="22" t="n">
        <v>231.04</v>
      </c>
      <c r="F307" s="21" t="n">
        <v>40427</v>
      </c>
      <c r="G307" s="22" t="n">
        <v>232.6</v>
      </c>
      <c r="H307" s="22" t="n">
        <v>216.18</v>
      </c>
      <c r="I307" s="21" t="n">
        <v>40429</v>
      </c>
      <c r="J307" s="22" t="n">
        <v>230.94</v>
      </c>
      <c r="K307" s="21" t="n">
        <v>40430</v>
      </c>
      <c r="L307" s="22" t="n">
        <v>231.93</v>
      </c>
      <c r="M307" s="8" t="s">
        <v>73</v>
      </c>
      <c r="N307" s="4" t="n">
        <v>3</v>
      </c>
      <c r="O307" s="6" t="n">
        <f aca="false">IF(C307="롱",(J307-E307)/E307,(E307-J307)/E307)</f>
        <v>-0.000432825484764518</v>
      </c>
    </row>
    <row r="308" customFormat="false" ht="17.15" hidden="false" customHeight="false" outlineLevel="0" collapsed="false">
      <c r="A308" s="4" t="n">
        <v>6</v>
      </c>
      <c r="B308" s="4" t="s">
        <v>22</v>
      </c>
      <c r="C308" s="8" t="s">
        <v>72</v>
      </c>
      <c r="D308" s="21" t="n">
        <v>40434</v>
      </c>
      <c r="E308" s="22" t="n">
        <v>236.34</v>
      </c>
      <c r="F308" s="21" t="n">
        <v>40435</v>
      </c>
      <c r="G308" s="22" t="n">
        <v>237.19</v>
      </c>
      <c r="H308" s="22" t="n">
        <v>222.98</v>
      </c>
      <c r="I308" s="21" t="n">
        <v>40437</v>
      </c>
      <c r="J308" s="22" t="n">
        <v>235.37</v>
      </c>
      <c r="K308" s="21" t="n">
        <v>40438</v>
      </c>
      <c r="L308" s="22" t="n">
        <v>237.04</v>
      </c>
      <c r="M308" s="8" t="s">
        <v>73</v>
      </c>
      <c r="N308" s="4" t="n">
        <v>3</v>
      </c>
      <c r="O308" s="6" t="n">
        <f aca="false">IF(C308="롱",(J308-E308)/E308,(E308-J308)/E308)</f>
        <v>-0.0041042565795041</v>
      </c>
    </row>
    <row r="309" customFormat="false" ht="17.15" hidden="false" customHeight="false" outlineLevel="0" collapsed="false">
      <c r="A309" s="4" t="n">
        <v>6</v>
      </c>
      <c r="B309" s="4" t="s">
        <v>22</v>
      </c>
      <c r="C309" s="8" t="s">
        <v>72</v>
      </c>
      <c r="D309" s="21" t="n">
        <v>40445</v>
      </c>
      <c r="E309" s="22" t="n">
        <v>239.8</v>
      </c>
      <c r="F309" s="21" t="n">
        <v>40448</v>
      </c>
      <c r="G309" s="22" t="n">
        <v>240.99</v>
      </c>
      <c r="H309" s="22" t="n">
        <v>227.17</v>
      </c>
      <c r="I309" s="21" t="n">
        <v>40462</v>
      </c>
      <c r="J309" s="22" t="n">
        <v>245.44</v>
      </c>
      <c r="K309" s="21" t="n">
        <v>40463</v>
      </c>
      <c r="L309" s="22" t="n">
        <v>245.76</v>
      </c>
      <c r="M309" s="8" t="s">
        <v>73</v>
      </c>
      <c r="N309" s="4" t="n">
        <v>11</v>
      </c>
      <c r="O309" s="6" t="n">
        <f aca="false">IF(C309="롱",(J309-E309)/E309,(E309-J309)/E309)</f>
        <v>0.0235195996663886</v>
      </c>
    </row>
    <row r="310" customFormat="false" ht="17.15" hidden="false" customHeight="false" outlineLevel="0" collapsed="false">
      <c r="A310" s="4" t="n">
        <v>3</v>
      </c>
      <c r="B310" s="4" t="s">
        <v>16</v>
      </c>
      <c r="C310" s="8" t="s">
        <v>72</v>
      </c>
      <c r="D310" s="21" t="n">
        <v>40471</v>
      </c>
      <c r="E310" s="22" t="n">
        <v>241.79</v>
      </c>
      <c r="F310" s="21" t="n">
        <v>40472</v>
      </c>
      <c r="G310" s="22" t="n">
        <v>242.71</v>
      </c>
      <c r="H310" s="22" t="n">
        <v>228.21</v>
      </c>
      <c r="I310" s="21" t="n">
        <v>40533</v>
      </c>
      <c r="J310" s="22" t="n">
        <v>269.31</v>
      </c>
      <c r="K310" s="21" t="n">
        <v>40534</v>
      </c>
      <c r="L310" s="22" t="n">
        <v>269.52</v>
      </c>
      <c r="M310" s="8" t="s">
        <v>73</v>
      </c>
      <c r="N310" s="4" t="n">
        <v>44</v>
      </c>
      <c r="O310" s="6" t="n">
        <f aca="false">IF(C310="롱",(J310-E310)/E310,(E310-J310)/E310)</f>
        <v>0.113817775755821</v>
      </c>
    </row>
    <row r="311" customFormat="false" ht="17.15" hidden="false" customHeight="false" outlineLevel="0" collapsed="false">
      <c r="A311" s="4" t="n">
        <v>4</v>
      </c>
      <c r="B311" s="4" t="s">
        <v>18</v>
      </c>
      <c r="C311" s="8" t="s">
        <v>72</v>
      </c>
      <c r="D311" s="21" t="n">
        <v>40477</v>
      </c>
      <c r="E311" s="22" t="n">
        <v>248.38</v>
      </c>
      <c r="F311" s="21" t="n">
        <v>40478</v>
      </c>
      <c r="G311" s="22" t="n">
        <v>248.22</v>
      </c>
      <c r="H311" s="22" t="n">
        <v>234.24</v>
      </c>
      <c r="I311" s="21" t="n">
        <v>40499</v>
      </c>
      <c r="J311" s="22" t="n">
        <v>247.3</v>
      </c>
      <c r="K311" s="21" t="n">
        <v>40500</v>
      </c>
      <c r="L311" s="22" t="n">
        <v>248.92</v>
      </c>
      <c r="M311" s="8" t="s">
        <v>73</v>
      </c>
      <c r="N311" s="4" t="n">
        <v>16</v>
      </c>
      <c r="O311" s="6" t="n">
        <f aca="false">IF(C311="롱",(J311-E311)/E311,(E311-J311)/E311)</f>
        <v>-0.00434817618165707</v>
      </c>
    </row>
    <row r="312" customFormat="false" ht="17.15" hidden="false" customHeight="false" outlineLevel="0" collapsed="false">
      <c r="A312" s="4" t="n">
        <v>10</v>
      </c>
      <c r="B312" s="4" t="s">
        <v>30</v>
      </c>
      <c r="C312" s="8" t="s">
        <v>72</v>
      </c>
      <c r="D312" s="21" t="n">
        <v>40483</v>
      </c>
      <c r="E312" s="22" t="n">
        <v>247.41</v>
      </c>
      <c r="F312" s="21" t="n">
        <v>40484</v>
      </c>
      <c r="G312" s="22" t="n">
        <v>247.02</v>
      </c>
      <c r="H312" s="22" t="n">
        <v>231.62</v>
      </c>
      <c r="I312" s="21" t="n">
        <v>40499</v>
      </c>
      <c r="J312" s="22" t="n">
        <v>247.3</v>
      </c>
      <c r="K312" s="21" t="n">
        <v>40500</v>
      </c>
      <c r="L312" s="22" t="n">
        <v>248.92</v>
      </c>
      <c r="M312" s="8" t="s">
        <v>73</v>
      </c>
      <c r="N312" s="4" t="n">
        <v>12</v>
      </c>
      <c r="O312" s="6" t="n">
        <f aca="false">IF(C312="롱",(J312-E312)/E312,(E312-J312)/E312)</f>
        <v>-0.000444606119396893</v>
      </c>
    </row>
    <row r="313" customFormat="false" ht="17.15" hidden="false" customHeight="false" outlineLevel="0" collapsed="false">
      <c r="A313" s="4" t="n">
        <v>1</v>
      </c>
      <c r="B313" s="4" t="s">
        <v>12</v>
      </c>
      <c r="C313" s="8" t="s">
        <v>72</v>
      </c>
      <c r="D313" s="21" t="n">
        <v>40485</v>
      </c>
      <c r="E313" s="22" t="n">
        <v>249.99</v>
      </c>
      <c r="F313" s="21" t="n">
        <v>40486</v>
      </c>
      <c r="G313" s="22" t="n">
        <v>250.73</v>
      </c>
      <c r="H313" s="22" t="n">
        <v>234.4</v>
      </c>
      <c r="I313" s="21" t="n">
        <v>40494</v>
      </c>
      <c r="J313" s="22" t="n">
        <v>248.35</v>
      </c>
      <c r="K313" s="21" t="n">
        <v>40497</v>
      </c>
      <c r="L313" s="22" t="n">
        <v>249.34</v>
      </c>
      <c r="M313" s="8" t="s">
        <v>73</v>
      </c>
      <c r="N313" s="4" t="n">
        <v>7</v>
      </c>
      <c r="O313" s="6" t="n">
        <f aca="false">IF(C313="롱",(J313-E313)/E313,(E313-J313)/E313)</f>
        <v>-0.00656026241049648</v>
      </c>
    </row>
    <row r="314" customFormat="false" ht="17.15" hidden="false" customHeight="false" outlineLevel="0" collapsed="false">
      <c r="A314" s="4" t="n">
        <v>6</v>
      </c>
      <c r="B314" s="4" t="s">
        <v>22</v>
      </c>
      <c r="C314" s="8" t="s">
        <v>72</v>
      </c>
      <c r="D314" s="21" t="n">
        <v>40485</v>
      </c>
      <c r="E314" s="22" t="n">
        <v>249.99</v>
      </c>
      <c r="F314" s="21" t="n">
        <v>40486</v>
      </c>
      <c r="G314" s="22" t="n">
        <v>250.73</v>
      </c>
      <c r="H314" s="22" t="n">
        <v>234.4</v>
      </c>
      <c r="I314" s="21" t="n">
        <v>40493</v>
      </c>
      <c r="J314" s="22" t="n">
        <v>247.51</v>
      </c>
      <c r="K314" s="21" t="n">
        <v>40494</v>
      </c>
      <c r="L314" s="22" t="n">
        <v>252.78</v>
      </c>
      <c r="M314" s="8" t="s">
        <v>73</v>
      </c>
      <c r="N314" s="4" t="n">
        <v>6</v>
      </c>
      <c r="O314" s="6" t="n">
        <f aca="false">IF(C314="롱",(J314-E314)/E314,(E314-J314)/E314)</f>
        <v>-0.00992039681587271</v>
      </c>
    </row>
    <row r="315" customFormat="false" ht="17.15" hidden="false" customHeight="false" outlineLevel="0" collapsed="false">
      <c r="A315" s="4" t="n">
        <v>4</v>
      </c>
      <c r="B315" s="4" t="s">
        <v>18</v>
      </c>
      <c r="C315" s="8" t="s">
        <v>72</v>
      </c>
      <c r="D315" s="21" t="n">
        <v>40500</v>
      </c>
      <c r="E315" s="22" t="n">
        <v>251.15</v>
      </c>
      <c r="F315" s="21" t="n">
        <v>40501</v>
      </c>
      <c r="G315" s="22" t="n">
        <v>252.3</v>
      </c>
      <c r="H315" s="22" t="n">
        <v>233.22</v>
      </c>
      <c r="I315" s="21" t="n">
        <v>40512</v>
      </c>
      <c r="J315" s="22" t="n">
        <v>249.64</v>
      </c>
      <c r="K315" s="21" t="n">
        <v>40513</v>
      </c>
      <c r="L315" s="22" t="n">
        <v>250.08</v>
      </c>
      <c r="M315" s="8" t="s">
        <v>73</v>
      </c>
      <c r="N315" s="4" t="n">
        <v>8</v>
      </c>
      <c r="O315" s="6" t="n">
        <f aca="false">IF(C315="롱",(J315-E315)/E315,(E315-J315)/E315)</f>
        <v>-0.00601234322118264</v>
      </c>
    </row>
    <row r="316" customFormat="false" ht="17.15" hidden="false" customHeight="false" outlineLevel="0" collapsed="false">
      <c r="A316" s="4" t="n">
        <v>1</v>
      </c>
      <c r="B316" s="4" t="s">
        <v>12</v>
      </c>
      <c r="C316" s="8" t="s">
        <v>72</v>
      </c>
      <c r="D316" s="21" t="n">
        <v>40504</v>
      </c>
      <c r="E316" s="22" t="n">
        <v>254</v>
      </c>
      <c r="F316" s="21" t="n">
        <v>40505</v>
      </c>
      <c r="G316" s="22" t="n">
        <v>253.22</v>
      </c>
      <c r="H316" s="22" t="n">
        <v>236.65</v>
      </c>
      <c r="I316" s="21" t="n">
        <v>40505</v>
      </c>
      <c r="J316" s="22" t="n">
        <v>252.12</v>
      </c>
      <c r="K316" s="21" t="n">
        <v>40506</v>
      </c>
      <c r="L316" s="22" t="n">
        <v>246.77</v>
      </c>
      <c r="M316" s="8" t="s">
        <v>73</v>
      </c>
      <c r="N316" s="4" t="n">
        <v>1</v>
      </c>
      <c r="O316" s="6" t="n">
        <f aca="false">IF(C316="롱",(J316-E316)/E316,(E316-J316)/E316)</f>
        <v>-0.00740157480314959</v>
      </c>
    </row>
    <row r="317" customFormat="false" ht="17.15" hidden="false" customHeight="false" outlineLevel="0" collapsed="false">
      <c r="A317" s="4" t="n">
        <v>6</v>
      </c>
      <c r="B317" s="4" t="s">
        <v>22</v>
      </c>
      <c r="C317" s="8" t="s">
        <v>72</v>
      </c>
      <c r="D317" s="21" t="n">
        <v>40504</v>
      </c>
      <c r="E317" s="22" t="n">
        <v>254</v>
      </c>
      <c r="F317" s="21" t="n">
        <v>40505</v>
      </c>
      <c r="G317" s="22" t="n">
        <v>253.22</v>
      </c>
      <c r="H317" s="22" t="n">
        <v>236.65</v>
      </c>
      <c r="I317" s="21" t="n">
        <v>40506</v>
      </c>
      <c r="J317" s="22" t="n">
        <v>252.38</v>
      </c>
      <c r="K317" s="21" t="n">
        <v>40507</v>
      </c>
      <c r="L317" s="22" t="n">
        <v>253.3</v>
      </c>
      <c r="M317" s="8" t="s">
        <v>73</v>
      </c>
      <c r="N317" s="4" t="n">
        <v>2</v>
      </c>
      <c r="O317" s="6" t="n">
        <f aca="false">IF(C317="롱",(J317-E317)/E317,(E317-J317)/E317)</f>
        <v>-0.00637795275590553</v>
      </c>
    </row>
    <row r="318" customFormat="false" ht="17.15" hidden="false" customHeight="false" outlineLevel="0" collapsed="false">
      <c r="A318" s="4" t="n">
        <v>4</v>
      </c>
      <c r="B318" s="4" t="s">
        <v>18</v>
      </c>
      <c r="C318" s="8" t="s">
        <v>72</v>
      </c>
      <c r="D318" s="21" t="n">
        <v>40514</v>
      </c>
      <c r="E318" s="22" t="n">
        <v>256.02</v>
      </c>
      <c r="F318" s="21" t="n">
        <v>40515</v>
      </c>
      <c r="G318" s="22" t="n">
        <v>257.51</v>
      </c>
      <c r="H318" s="22" t="n">
        <v>236.33</v>
      </c>
      <c r="I318" s="21" t="n">
        <v>40581</v>
      </c>
      <c r="J318" s="22" t="n">
        <v>274.9</v>
      </c>
      <c r="K318" s="21" t="n">
        <v>40582</v>
      </c>
      <c r="L318" s="22" t="n">
        <v>276.01</v>
      </c>
      <c r="M318" s="8" t="s">
        <v>73</v>
      </c>
      <c r="N318" s="4" t="n">
        <v>43</v>
      </c>
      <c r="O318" s="6" t="n">
        <f aca="false">IF(C318="롱",(J318-E318)/E318,(E318-J318)/E318)</f>
        <v>0.0737442387313491</v>
      </c>
    </row>
    <row r="319" customFormat="false" ht="17.15" hidden="false" customHeight="false" outlineLevel="0" collapsed="false">
      <c r="A319" s="4" t="n">
        <v>1</v>
      </c>
      <c r="B319" s="4" t="s">
        <v>12</v>
      </c>
      <c r="C319" s="8" t="s">
        <v>72</v>
      </c>
      <c r="D319" s="21" t="n">
        <v>40515</v>
      </c>
      <c r="E319" s="22" t="n">
        <v>257.65</v>
      </c>
      <c r="F319" s="21" t="n">
        <v>40518</v>
      </c>
      <c r="G319" s="22" t="n">
        <v>258.12</v>
      </c>
      <c r="H319" s="22" t="n">
        <v>238.48</v>
      </c>
      <c r="I319" s="21" t="n">
        <v>40541</v>
      </c>
      <c r="J319" s="22" t="n">
        <v>270.44</v>
      </c>
      <c r="K319" s="21" t="n">
        <v>40542</v>
      </c>
      <c r="L319" s="22" t="n">
        <v>270.84</v>
      </c>
      <c r="M319" s="8" t="s">
        <v>73</v>
      </c>
      <c r="N319" s="4" t="n">
        <v>18</v>
      </c>
      <c r="O319" s="6" t="n">
        <f aca="false">IF(C319="롱",(J319-E319)/E319,(E319-J319)/E319)</f>
        <v>0.0496409858334951</v>
      </c>
    </row>
    <row r="320" customFormat="false" ht="17.15" hidden="false" customHeight="false" outlineLevel="0" collapsed="false">
      <c r="A320" s="4" t="n">
        <v>6</v>
      </c>
      <c r="B320" s="4" t="s">
        <v>22</v>
      </c>
      <c r="C320" s="8" t="s">
        <v>72</v>
      </c>
      <c r="D320" s="21" t="n">
        <v>40515</v>
      </c>
      <c r="E320" s="22" t="n">
        <v>257.65</v>
      </c>
      <c r="F320" s="21" t="n">
        <v>40518</v>
      </c>
      <c r="G320" s="22" t="n">
        <v>258.12</v>
      </c>
      <c r="H320" s="22" t="n">
        <v>238.48</v>
      </c>
      <c r="I320" s="21" t="n">
        <v>40536</v>
      </c>
      <c r="J320" s="22" t="n">
        <v>268.5</v>
      </c>
      <c r="K320" s="21" t="n">
        <v>40539</v>
      </c>
      <c r="L320" s="22" t="n">
        <v>267.68</v>
      </c>
      <c r="M320" s="8" t="s">
        <v>73</v>
      </c>
      <c r="N320" s="4" t="n">
        <v>15</v>
      </c>
      <c r="O320" s="6" t="n">
        <f aca="false">IF(C320="롱",(J320-E320)/E320,(E320-J320)/E320)</f>
        <v>0.0421113914224724</v>
      </c>
    </row>
    <row r="321" customFormat="false" ht="17.15" hidden="false" customHeight="false" outlineLevel="0" collapsed="false">
      <c r="A321" s="4" t="n">
        <v>1</v>
      </c>
      <c r="B321" s="4" t="s">
        <v>12</v>
      </c>
      <c r="C321" s="8" t="s">
        <v>72</v>
      </c>
      <c r="D321" s="21" t="n">
        <v>40546</v>
      </c>
      <c r="E321" s="22" t="n">
        <v>273.81</v>
      </c>
      <c r="F321" s="21" t="n">
        <v>40547</v>
      </c>
      <c r="G321" s="22" t="n">
        <v>274.29</v>
      </c>
      <c r="H321" s="22" t="n">
        <v>261.65</v>
      </c>
      <c r="I321" s="21" t="n">
        <v>40553</v>
      </c>
      <c r="J321" s="22" t="n">
        <v>273.99</v>
      </c>
      <c r="K321" s="21" t="n">
        <v>40554</v>
      </c>
      <c r="L321" s="22" t="n">
        <v>273.81</v>
      </c>
      <c r="M321" s="8" t="s">
        <v>73</v>
      </c>
      <c r="N321" s="4" t="n">
        <v>5</v>
      </c>
      <c r="O321" s="6" t="n">
        <f aca="false">IF(C321="롱",(J321-E321)/E321,(E321-J321)/E321)</f>
        <v>0.000657390161060614</v>
      </c>
    </row>
    <row r="322" customFormat="false" ht="17.15" hidden="false" customHeight="false" outlineLevel="0" collapsed="false">
      <c r="A322" s="4" t="n">
        <v>6</v>
      </c>
      <c r="B322" s="4" t="s">
        <v>22</v>
      </c>
      <c r="C322" s="8" t="s">
        <v>72</v>
      </c>
      <c r="D322" s="21" t="n">
        <v>40546</v>
      </c>
      <c r="E322" s="22" t="n">
        <v>273.81</v>
      </c>
      <c r="F322" s="21" t="n">
        <v>40547</v>
      </c>
      <c r="G322" s="22" t="n">
        <v>274.29</v>
      </c>
      <c r="H322" s="22" t="n">
        <v>261.65</v>
      </c>
      <c r="I322" s="21" t="n">
        <v>40553</v>
      </c>
      <c r="J322" s="22" t="n">
        <v>273.99</v>
      </c>
      <c r="K322" s="21" t="n">
        <v>40554</v>
      </c>
      <c r="L322" s="22" t="n">
        <v>273.81</v>
      </c>
      <c r="M322" s="8" t="s">
        <v>73</v>
      </c>
      <c r="N322" s="4" t="n">
        <v>5</v>
      </c>
      <c r="O322" s="6" t="n">
        <f aca="false">IF(C322="롱",(J322-E322)/E322,(E322-J322)/E322)</f>
        <v>0.000657390161060614</v>
      </c>
    </row>
    <row r="323" customFormat="false" ht="17.15" hidden="false" customHeight="false" outlineLevel="0" collapsed="false">
      <c r="A323" s="4" t="n">
        <v>3</v>
      </c>
      <c r="B323" s="4" t="s">
        <v>16</v>
      </c>
      <c r="C323" s="8" t="s">
        <v>72</v>
      </c>
      <c r="D323" s="21" t="n">
        <v>40581</v>
      </c>
      <c r="E323" s="22" t="n">
        <v>274.9</v>
      </c>
      <c r="F323" s="21" t="n">
        <v>40582</v>
      </c>
      <c r="G323" s="22" t="n">
        <v>276.01</v>
      </c>
      <c r="H323" s="22" t="n">
        <v>257.4</v>
      </c>
      <c r="I323" s="21" t="n">
        <v>40583</v>
      </c>
      <c r="J323" s="22" t="n">
        <v>269.9</v>
      </c>
      <c r="K323" s="21" t="n">
        <v>40584</v>
      </c>
      <c r="L323" s="22" t="n">
        <v>269.21</v>
      </c>
      <c r="M323" s="8" t="s">
        <v>73</v>
      </c>
      <c r="N323" s="4" t="n">
        <v>2</v>
      </c>
      <c r="O323" s="6" t="n">
        <f aca="false">IF(C323="롱",(J323-E323)/E323,(E323-J323)/E323)</f>
        <v>-0.0181884321571481</v>
      </c>
    </row>
    <row r="324" customFormat="false" ht="17.15" hidden="false" customHeight="false" outlineLevel="0" collapsed="false">
      <c r="A324" s="4" t="n">
        <v>2</v>
      </c>
      <c r="B324" s="4" t="s">
        <v>14</v>
      </c>
      <c r="C324" s="8" t="s">
        <v>72</v>
      </c>
      <c r="D324" s="21" t="n">
        <v>40583</v>
      </c>
      <c r="E324" s="22" t="n">
        <v>269.9</v>
      </c>
      <c r="F324" s="21" t="n">
        <v>40584</v>
      </c>
      <c r="G324" s="22" t="n">
        <v>269.21</v>
      </c>
      <c r="H324" s="22" t="n">
        <v>251.79</v>
      </c>
      <c r="I324" s="21" t="n">
        <v>40617</v>
      </c>
      <c r="J324" s="22" t="n">
        <v>251.79</v>
      </c>
      <c r="K324" s="21" t="n">
        <v>40618</v>
      </c>
      <c r="L324" s="22" t="n">
        <v>258.44</v>
      </c>
      <c r="M324" s="8" t="s">
        <v>75</v>
      </c>
      <c r="N324" s="4" t="n">
        <v>23</v>
      </c>
      <c r="O324" s="6" t="n">
        <f aca="false">IF(C324="롱",(J324-E324)/E324,(E324-J324)/E324)</f>
        <v>-0.0670989255279733</v>
      </c>
    </row>
    <row r="325" customFormat="false" ht="17.15" hidden="false" customHeight="false" outlineLevel="0" collapsed="false">
      <c r="A325" s="4" t="n">
        <v>1</v>
      </c>
      <c r="B325" s="4" t="s">
        <v>12</v>
      </c>
      <c r="C325" s="8" t="s">
        <v>72</v>
      </c>
      <c r="D325" s="21" t="n">
        <v>40606</v>
      </c>
      <c r="E325" s="22" t="n">
        <v>265.42</v>
      </c>
      <c r="F325" s="21" t="n">
        <v>40609</v>
      </c>
      <c r="G325" s="22" t="n">
        <v>264.12</v>
      </c>
      <c r="H325" s="22" t="n">
        <v>242.79</v>
      </c>
      <c r="I325" s="21" t="n">
        <v>40617</v>
      </c>
      <c r="J325" s="22" t="n">
        <v>254.29</v>
      </c>
      <c r="K325" s="21" t="n">
        <v>40618</v>
      </c>
      <c r="L325" s="22" t="n">
        <v>258.44</v>
      </c>
      <c r="M325" s="8" t="s">
        <v>73</v>
      </c>
      <c r="N325" s="4" t="n">
        <v>7</v>
      </c>
      <c r="O325" s="6" t="n">
        <f aca="false">IF(C325="롱",(J325-E325)/E325,(E325-J325)/E325)</f>
        <v>-0.0419335392962099</v>
      </c>
    </row>
    <row r="326" customFormat="false" ht="17.15" hidden="false" customHeight="false" outlineLevel="0" collapsed="false">
      <c r="A326" s="4" t="n">
        <v>4</v>
      </c>
      <c r="B326" s="4" t="s">
        <v>18</v>
      </c>
      <c r="C326" s="8" t="s">
        <v>72</v>
      </c>
      <c r="D326" s="21" t="n">
        <v>40611</v>
      </c>
      <c r="E326" s="22" t="n">
        <v>263.8</v>
      </c>
      <c r="F326" s="21" t="n">
        <v>40612</v>
      </c>
      <c r="G326" s="22" t="n">
        <v>263.41</v>
      </c>
      <c r="H326" s="22" t="n">
        <v>240.79</v>
      </c>
      <c r="I326" s="21" t="n">
        <v>40613</v>
      </c>
      <c r="J326" s="22" t="n">
        <v>256.83</v>
      </c>
      <c r="K326" s="21" t="n">
        <v>40616</v>
      </c>
      <c r="L326" s="22" t="n">
        <v>256.64</v>
      </c>
      <c r="M326" s="8" t="s">
        <v>73</v>
      </c>
      <c r="N326" s="4" t="n">
        <v>2</v>
      </c>
      <c r="O326" s="6" t="n">
        <f aca="false">IF(C326="롱",(J326-E326)/E326,(E326-J326)/E326)</f>
        <v>-0.0264215314632298</v>
      </c>
    </row>
    <row r="327" customFormat="false" ht="17.15" hidden="false" customHeight="false" outlineLevel="0" collapsed="false">
      <c r="A327" s="4" t="n">
        <v>1</v>
      </c>
      <c r="B327" s="4" t="s">
        <v>12</v>
      </c>
      <c r="C327" s="8" t="s">
        <v>72</v>
      </c>
      <c r="D327" s="21" t="n">
        <v>40618</v>
      </c>
      <c r="E327" s="22" t="n">
        <v>259.44</v>
      </c>
      <c r="F327" s="21" t="n">
        <v>40619</v>
      </c>
      <c r="G327" s="22" t="n">
        <v>254.66</v>
      </c>
      <c r="H327" s="22" t="n">
        <v>234.67</v>
      </c>
      <c r="I327" s="21" t="n">
        <v>40652</v>
      </c>
      <c r="J327" s="22" t="n">
        <v>280.43</v>
      </c>
      <c r="K327" s="21" t="n">
        <v>40653</v>
      </c>
      <c r="L327" s="22" t="n">
        <v>283.63</v>
      </c>
      <c r="M327" s="8" t="s">
        <v>73</v>
      </c>
      <c r="N327" s="4" t="n">
        <v>24</v>
      </c>
      <c r="O327" s="6" t="n">
        <f aca="false">IF(C327="롱",(J327-E327)/E327,(E327-J327)/E327)</f>
        <v>0.0809050262102991</v>
      </c>
    </row>
    <row r="328" customFormat="false" ht="17.15" hidden="false" customHeight="false" outlineLevel="0" collapsed="false">
      <c r="A328" s="4" t="n">
        <v>6</v>
      </c>
      <c r="B328" s="4" t="s">
        <v>22</v>
      </c>
      <c r="C328" s="8" t="s">
        <v>72</v>
      </c>
      <c r="D328" s="21" t="n">
        <v>40620</v>
      </c>
      <c r="E328" s="22" t="n">
        <v>262.39</v>
      </c>
      <c r="F328" s="21" t="n">
        <v>40623</v>
      </c>
      <c r="G328" s="22" t="n">
        <v>262.74</v>
      </c>
      <c r="H328" s="22" t="n">
        <v>237.84</v>
      </c>
      <c r="I328" s="21" t="n">
        <v>40640</v>
      </c>
      <c r="J328" s="22" t="n">
        <v>280.45</v>
      </c>
      <c r="K328" s="21" t="n">
        <v>40641</v>
      </c>
      <c r="L328" s="22" t="n">
        <v>280</v>
      </c>
      <c r="M328" s="8" t="s">
        <v>73</v>
      </c>
      <c r="N328" s="4" t="n">
        <v>14</v>
      </c>
      <c r="O328" s="6" t="n">
        <f aca="false">IF(C328="롱",(J328-E328)/E328,(E328-J328)/E328)</f>
        <v>0.0688288425625977</v>
      </c>
    </row>
    <row r="329" customFormat="false" ht="17.15" hidden="false" customHeight="false" outlineLevel="0" collapsed="false">
      <c r="A329" s="4" t="n">
        <v>4</v>
      </c>
      <c r="B329" s="4" t="s">
        <v>18</v>
      </c>
      <c r="C329" s="8" t="s">
        <v>72</v>
      </c>
      <c r="D329" s="21" t="n">
        <v>40624</v>
      </c>
      <c r="E329" s="22" t="n">
        <v>266.05</v>
      </c>
      <c r="F329" s="21" t="n">
        <v>40625</v>
      </c>
      <c r="G329" s="22" t="n">
        <v>266.69</v>
      </c>
      <c r="H329" s="22" t="n">
        <v>242.46</v>
      </c>
      <c r="I329" s="21" t="n">
        <v>40674</v>
      </c>
      <c r="J329" s="22" t="n">
        <v>286.3</v>
      </c>
      <c r="K329" s="21" t="n">
        <v>40675</v>
      </c>
      <c r="L329" s="22" t="n">
        <v>282.52</v>
      </c>
      <c r="M329" s="8" t="s">
        <v>73</v>
      </c>
      <c r="N329" s="4" t="n">
        <v>34</v>
      </c>
      <c r="O329" s="6" t="n">
        <f aca="false">IF(C329="롱",(J329-E329)/E329,(E329-J329)/E329)</f>
        <v>0.0761135124976508</v>
      </c>
    </row>
    <row r="330" customFormat="false" ht="17.15" hidden="false" customHeight="false" outlineLevel="0" collapsed="false">
      <c r="A330" s="4" t="n">
        <v>5</v>
      </c>
      <c r="B330" s="4" t="s">
        <v>20</v>
      </c>
      <c r="C330" s="8" t="s">
        <v>72</v>
      </c>
      <c r="D330" s="21" t="n">
        <v>40626</v>
      </c>
      <c r="E330" s="22" t="n">
        <v>268.93</v>
      </c>
      <c r="F330" s="21" t="n">
        <v>40627</v>
      </c>
      <c r="G330" s="22" t="n">
        <v>271.91</v>
      </c>
      <c r="H330" s="22" t="n">
        <v>246.28</v>
      </c>
      <c r="I330" s="21" t="n">
        <v>40686</v>
      </c>
      <c r="J330" s="22" t="n">
        <v>271.19</v>
      </c>
      <c r="K330" s="21" t="n">
        <v>40687</v>
      </c>
      <c r="L330" s="22" t="n">
        <v>270.87</v>
      </c>
      <c r="M330" s="8" t="s">
        <v>73</v>
      </c>
      <c r="N330" s="4" t="n">
        <v>40</v>
      </c>
      <c r="O330" s="6" t="n">
        <f aca="false">IF(C330="롱",(J330-E330)/E330,(E330-J330)/E330)</f>
        <v>0.00840367381846574</v>
      </c>
    </row>
    <row r="331" customFormat="false" ht="17.15" hidden="false" customHeight="false" outlineLevel="0" collapsed="false">
      <c r="A331" s="4" t="n">
        <v>1</v>
      </c>
      <c r="B331" s="4" t="s">
        <v>12</v>
      </c>
      <c r="C331" s="8" t="s">
        <v>72</v>
      </c>
      <c r="D331" s="21" t="n">
        <v>40653</v>
      </c>
      <c r="E331" s="22" t="n">
        <v>287.19</v>
      </c>
      <c r="F331" s="21" t="n">
        <v>40654</v>
      </c>
      <c r="G331" s="22" t="n">
        <v>289.99</v>
      </c>
      <c r="H331" s="22" t="n">
        <v>270.1</v>
      </c>
      <c r="I331" s="21" t="n">
        <v>40667</v>
      </c>
      <c r="J331" s="22" t="n">
        <v>288.46</v>
      </c>
      <c r="K331" s="21" t="n">
        <v>40669</v>
      </c>
      <c r="L331" s="22" t="n">
        <v>284.54</v>
      </c>
      <c r="M331" s="8" t="s">
        <v>73</v>
      </c>
      <c r="N331" s="4" t="n">
        <v>10</v>
      </c>
      <c r="O331" s="6" t="n">
        <f aca="false">IF(C331="롱",(J331-E331)/E331,(E331-J331)/E331)</f>
        <v>0.00442215954594513</v>
      </c>
    </row>
    <row r="332" customFormat="false" ht="17.15" hidden="false" customHeight="false" outlineLevel="0" collapsed="false">
      <c r="A332" s="4" t="n">
        <v>3</v>
      </c>
      <c r="B332" s="4" t="s">
        <v>16</v>
      </c>
      <c r="C332" s="8" t="s">
        <v>72</v>
      </c>
      <c r="D332" s="21" t="n">
        <v>40674</v>
      </c>
      <c r="E332" s="22" t="n">
        <v>286.3</v>
      </c>
      <c r="F332" s="21" t="n">
        <v>40675</v>
      </c>
      <c r="G332" s="22" t="n">
        <v>282.52</v>
      </c>
      <c r="H332" s="22" t="n">
        <v>264.39</v>
      </c>
      <c r="I332" s="21" t="n">
        <v>40675</v>
      </c>
      <c r="J332" s="22" t="n">
        <v>280.02</v>
      </c>
      <c r="K332" s="21" t="n">
        <v>40676</v>
      </c>
      <c r="L332" s="22" t="n">
        <v>281.27</v>
      </c>
      <c r="M332" s="8" t="s">
        <v>73</v>
      </c>
      <c r="N332" s="4" t="n">
        <v>1</v>
      </c>
      <c r="O332" s="6" t="n">
        <f aca="false">IF(C332="롱",(J332-E332)/E332,(E332-J332)/E332)</f>
        <v>-0.0219350331819771</v>
      </c>
    </row>
    <row r="333" customFormat="false" ht="17.15" hidden="false" customHeight="false" outlineLevel="0" collapsed="false">
      <c r="A333" s="4" t="n">
        <v>2</v>
      </c>
      <c r="B333" s="4" t="s">
        <v>14</v>
      </c>
      <c r="C333" s="8" t="s">
        <v>72</v>
      </c>
      <c r="D333" s="21" t="n">
        <v>40679</v>
      </c>
      <c r="E333" s="22" t="n">
        <v>277.22</v>
      </c>
      <c r="F333" s="21" t="n">
        <v>40680</v>
      </c>
      <c r="G333" s="22" t="n">
        <v>277.13</v>
      </c>
      <c r="H333" s="22" t="n">
        <v>255.57</v>
      </c>
      <c r="I333" s="21" t="n">
        <v>40694</v>
      </c>
      <c r="J333" s="22" t="n">
        <v>282.76</v>
      </c>
      <c r="K333" s="21" t="n">
        <v>40695</v>
      </c>
      <c r="L333" s="22" t="n">
        <v>282.92</v>
      </c>
      <c r="M333" s="8" t="s">
        <v>73</v>
      </c>
      <c r="N333" s="4" t="n">
        <v>11</v>
      </c>
      <c r="O333" s="6" t="n">
        <f aca="false">IF(C333="롱",(J333-E333)/E333,(E333-J333)/E333)</f>
        <v>0.0199841281292835</v>
      </c>
    </row>
    <row r="334" customFormat="false" ht="17.15" hidden="false" customHeight="false" outlineLevel="0" collapsed="false">
      <c r="A334" s="4" t="n">
        <v>5</v>
      </c>
      <c r="B334" s="4" t="s">
        <v>20</v>
      </c>
      <c r="C334" s="8" t="s">
        <v>72</v>
      </c>
      <c r="D334" s="21" t="n">
        <v>40689</v>
      </c>
      <c r="E334" s="22" t="n">
        <v>276.33</v>
      </c>
      <c r="F334" s="21" t="n">
        <v>40690</v>
      </c>
      <c r="G334" s="22" t="n">
        <v>275.62</v>
      </c>
      <c r="H334" s="22" t="n">
        <v>251.2</v>
      </c>
      <c r="I334" s="21" t="n">
        <v>40701</v>
      </c>
      <c r="J334" s="22" t="n">
        <v>276.97</v>
      </c>
      <c r="K334" s="21" t="n">
        <v>40702</v>
      </c>
      <c r="L334" s="22" t="n">
        <v>277.39</v>
      </c>
      <c r="M334" s="8" t="s">
        <v>73</v>
      </c>
      <c r="N334" s="4" t="n">
        <v>7</v>
      </c>
      <c r="O334" s="6" t="n">
        <f aca="false">IF(C334="롱",(J334-E334)/E334,(E334-J334)/E334)</f>
        <v>0.00231607136394906</v>
      </c>
    </row>
    <row r="335" customFormat="false" ht="17.15" hidden="false" customHeight="false" outlineLevel="0" collapsed="false">
      <c r="A335" s="4" t="n">
        <v>3</v>
      </c>
      <c r="B335" s="4" t="s">
        <v>16</v>
      </c>
      <c r="C335" s="8" t="s">
        <v>72</v>
      </c>
      <c r="D335" s="21" t="n">
        <v>40694</v>
      </c>
      <c r="E335" s="22" t="n">
        <v>282.76</v>
      </c>
      <c r="F335" s="21" t="n">
        <v>40695</v>
      </c>
      <c r="G335" s="22" t="n">
        <v>282.92</v>
      </c>
      <c r="H335" s="22" t="n">
        <v>257.41</v>
      </c>
      <c r="I335" s="21" t="n">
        <v>40702</v>
      </c>
      <c r="J335" s="22" t="n">
        <v>274.46</v>
      </c>
      <c r="K335" s="21" t="n">
        <v>40703</v>
      </c>
      <c r="L335" s="22" t="n">
        <v>273.55</v>
      </c>
      <c r="M335" s="8" t="s">
        <v>73</v>
      </c>
      <c r="N335" s="4" t="n">
        <v>5</v>
      </c>
      <c r="O335" s="6" t="n">
        <f aca="false">IF(C335="롱",(J335-E335)/E335,(E335-J335)/E335)</f>
        <v>-0.0293535153487057</v>
      </c>
    </row>
    <row r="336" customFormat="false" ht="17.15" hidden="false" customHeight="false" outlineLevel="0" collapsed="false">
      <c r="A336" s="4" t="n">
        <v>1</v>
      </c>
      <c r="B336" s="4" t="s">
        <v>12</v>
      </c>
      <c r="C336" s="8" t="s">
        <v>72</v>
      </c>
      <c r="D336" s="21" t="n">
        <v>40695</v>
      </c>
      <c r="E336" s="22" t="n">
        <v>282.75</v>
      </c>
      <c r="F336" s="21" t="n">
        <v>40696</v>
      </c>
      <c r="G336" s="22" t="n">
        <v>277.07</v>
      </c>
      <c r="H336" s="22" t="n">
        <v>257.92</v>
      </c>
      <c r="I336" s="21" t="n">
        <v>40702</v>
      </c>
      <c r="J336" s="22" t="n">
        <v>274.46</v>
      </c>
      <c r="K336" s="21" t="n">
        <v>40703</v>
      </c>
      <c r="L336" s="22" t="n">
        <v>273.55</v>
      </c>
      <c r="M336" s="8" t="s">
        <v>73</v>
      </c>
      <c r="N336" s="4" t="n">
        <v>4</v>
      </c>
      <c r="O336" s="6" t="n">
        <f aca="false">IF(C336="롱",(J336-E336)/E336,(E336-J336)/E336)</f>
        <v>-0.0293191865605659</v>
      </c>
    </row>
    <row r="337" customFormat="false" ht="17.15" hidden="false" customHeight="false" outlineLevel="0" collapsed="false">
      <c r="A337" s="4" t="n">
        <v>4</v>
      </c>
      <c r="B337" s="4" t="s">
        <v>18</v>
      </c>
      <c r="C337" s="8" t="s">
        <v>72</v>
      </c>
      <c r="D337" s="21" t="n">
        <v>40696</v>
      </c>
      <c r="E337" s="22" t="n">
        <v>278.76</v>
      </c>
      <c r="F337" s="21" t="n">
        <v>40697</v>
      </c>
      <c r="G337" s="22" t="n">
        <v>279.98</v>
      </c>
      <c r="H337" s="22" t="n">
        <v>253.73</v>
      </c>
      <c r="I337" s="21" t="n">
        <v>40703</v>
      </c>
      <c r="J337" s="22" t="n">
        <v>272.44</v>
      </c>
      <c r="K337" s="21" t="n">
        <v>40704</v>
      </c>
      <c r="L337" s="22" t="n">
        <v>274.38</v>
      </c>
      <c r="M337" s="8" t="s">
        <v>73</v>
      </c>
      <c r="N337" s="4" t="n">
        <v>4</v>
      </c>
      <c r="O337" s="6" t="n">
        <f aca="false">IF(C337="롱",(J337-E337)/E337,(E337-J337)/E337)</f>
        <v>-0.0226718324006313</v>
      </c>
    </row>
    <row r="338" customFormat="false" ht="17.15" hidden="false" customHeight="false" outlineLevel="0" collapsed="false">
      <c r="A338" s="4" t="n">
        <v>2</v>
      </c>
      <c r="B338" s="4" t="s">
        <v>14</v>
      </c>
      <c r="C338" s="8" t="s">
        <v>72</v>
      </c>
      <c r="D338" s="21" t="n">
        <v>40711</v>
      </c>
      <c r="E338" s="22" t="n">
        <v>266.22</v>
      </c>
      <c r="F338" s="21" t="n">
        <v>40714</v>
      </c>
      <c r="G338" s="22" t="n">
        <v>266.41</v>
      </c>
      <c r="H338" s="22" t="n">
        <v>240.46</v>
      </c>
      <c r="I338" s="21" t="n">
        <v>40725</v>
      </c>
      <c r="J338" s="22" t="n">
        <v>278.77</v>
      </c>
      <c r="K338" s="21" t="n">
        <v>40728</v>
      </c>
      <c r="L338" s="22" t="n">
        <v>281.28</v>
      </c>
      <c r="M338" s="8" t="s">
        <v>73</v>
      </c>
      <c r="N338" s="4" t="n">
        <v>10</v>
      </c>
      <c r="O338" s="6" t="n">
        <f aca="false">IF(C338="롱",(J338-E338)/E338,(E338-J338)/E338)</f>
        <v>0.047141461948764</v>
      </c>
    </row>
    <row r="339" customFormat="false" ht="17.15" hidden="false" customHeight="false" outlineLevel="0" collapsed="false">
      <c r="A339" s="4" t="n">
        <v>7</v>
      </c>
      <c r="B339" s="4" t="s">
        <v>24</v>
      </c>
      <c r="C339" s="8" t="s">
        <v>72</v>
      </c>
      <c r="D339" s="21" t="n">
        <v>40714</v>
      </c>
      <c r="E339" s="22" t="n">
        <v>264.39</v>
      </c>
      <c r="F339" s="21" t="n">
        <v>40715</v>
      </c>
      <c r="G339" s="22" t="n">
        <v>267.27</v>
      </c>
      <c r="H339" s="22" t="n">
        <v>238.56</v>
      </c>
      <c r="I339" s="21" t="n">
        <v>40725</v>
      </c>
      <c r="J339" s="22" t="n">
        <v>278.77</v>
      </c>
      <c r="K339" s="21" t="n">
        <v>40728</v>
      </c>
      <c r="L339" s="22" t="n">
        <v>281.28</v>
      </c>
      <c r="M339" s="8" t="s">
        <v>73</v>
      </c>
      <c r="N339" s="4" t="n">
        <v>9</v>
      </c>
      <c r="O339" s="6" t="n">
        <f aca="false">IF(C339="롱",(J339-E339)/E339,(E339-J339)/E339)</f>
        <v>0.0543893490676652</v>
      </c>
    </row>
    <row r="340" customFormat="false" ht="17.15" hidden="false" customHeight="false" outlineLevel="0" collapsed="false">
      <c r="A340" s="4" t="n">
        <v>1</v>
      </c>
      <c r="B340" s="4" t="s">
        <v>12</v>
      </c>
      <c r="C340" s="8" t="s">
        <v>72</v>
      </c>
      <c r="D340" s="21" t="n">
        <v>40718</v>
      </c>
      <c r="E340" s="22" t="n">
        <v>274.31</v>
      </c>
      <c r="F340" s="21" t="n">
        <v>40721</v>
      </c>
      <c r="G340" s="22" t="n">
        <v>272.23</v>
      </c>
      <c r="H340" s="22" t="n">
        <v>250.76</v>
      </c>
      <c r="I340" s="21" t="n">
        <v>40742</v>
      </c>
      <c r="J340" s="22" t="n">
        <v>276.71</v>
      </c>
      <c r="K340" s="21" t="n">
        <v>40743</v>
      </c>
      <c r="L340" s="22" t="n">
        <v>276.16</v>
      </c>
      <c r="M340" s="8" t="s">
        <v>73</v>
      </c>
      <c r="N340" s="4" t="n">
        <v>16</v>
      </c>
      <c r="O340" s="6" t="n">
        <f aca="false">IF(C340="롱",(J340-E340)/E340,(E340-J340)/E340)</f>
        <v>0.00874922532900724</v>
      </c>
    </row>
    <row r="341" customFormat="false" ht="17.15" hidden="false" customHeight="false" outlineLevel="0" collapsed="false">
      <c r="A341" s="4" t="n">
        <v>4</v>
      </c>
      <c r="B341" s="4" t="s">
        <v>18</v>
      </c>
      <c r="C341" s="8" t="s">
        <v>72</v>
      </c>
      <c r="D341" s="21" t="n">
        <v>40724</v>
      </c>
      <c r="E341" s="22" t="n">
        <v>275.17</v>
      </c>
      <c r="F341" s="21" t="n">
        <v>40725</v>
      </c>
      <c r="G341" s="22" t="n">
        <v>277.9</v>
      </c>
      <c r="H341" s="22" t="n">
        <v>252.01</v>
      </c>
      <c r="I341" s="21" t="n">
        <v>40753</v>
      </c>
      <c r="J341" s="22" t="n">
        <v>277.11</v>
      </c>
      <c r="K341" s="21" t="n">
        <v>40756</v>
      </c>
      <c r="L341" s="22" t="n">
        <v>280.86</v>
      </c>
      <c r="M341" s="8" t="s">
        <v>73</v>
      </c>
      <c r="N341" s="4" t="n">
        <v>21</v>
      </c>
      <c r="O341" s="6" t="n">
        <f aca="false">IF(C341="롱",(J341-E341)/E341,(E341-J341)/E341)</f>
        <v>0.00705018715703019</v>
      </c>
    </row>
    <row r="342" customFormat="false" ht="17.15" hidden="false" customHeight="false" outlineLevel="0" collapsed="false">
      <c r="A342" s="4" t="n">
        <v>6</v>
      </c>
      <c r="B342" s="4" t="s">
        <v>22</v>
      </c>
      <c r="C342" s="8" t="s">
        <v>72</v>
      </c>
      <c r="D342" s="21" t="n">
        <v>40725</v>
      </c>
      <c r="E342" s="22" t="n">
        <v>278.77</v>
      </c>
      <c r="F342" s="21" t="n">
        <v>40728</v>
      </c>
      <c r="G342" s="22" t="n">
        <v>281.28</v>
      </c>
      <c r="H342" s="22" t="n">
        <v>256.07</v>
      </c>
      <c r="I342" s="21" t="n">
        <v>40735</v>
      </c>
      <c r="J342" s="22" t="n">
        <v>282.46</v>
      </c>
      <c r="K342" s="21" t="n">
        <v>40736</v>
      </c>
      <c r="L342" s="22" t="n">
        <v>278.96</v>
      </c>
      <c r="M342" s="8" t="s">
        <v>73</v>
      </c>
      <c r="N342" s="4" t="n">
        <v>6</v>
      </c>
      <c r="O342" s="6" t="n">
        <f aca="false">IF(C342="롱",(J342-E342)/E342,(E342-J342)/E342)</f>
        <v>0.0132367184417261</v>
      </c>
    </row>
    <row r="343" customFormat="false" ht="17.15" hidden="false" customHeight="false" outlineLevel="0" collapsed="false">
      <c r="A343" s="4" t="n">
        <v>7</v>
      </c>
      <c r="B343" s="4" t="s">
        <v>24</v>
      </c>
      <c r="C343" s="8" t="s">
        <v>72</v>
      </c>
      <c r="D343" s="21" t="n">
        <v>40736</v>
      </c>
      <c r="E343" s="22" t="n">
        <v>275.9</v>
      </c>
      <c r="F343" s="21" t="n">
        <v>40737</v>
      </c>
      <c r="G343" s="22" t="n">
        <v>276.83</v>
      </c>
      <c r="H343" s="22" t="n">
        <v>254.84</v>
      </c>
      <c r="I343" s="21" t="n">
        <v>40759</v>
      </c>
      <c r="J343" s="22" t="n">
        <v>261.54</v>
      </c>
      <c r="K343" s="21" t="n">
        <v>40760</v>
      </c>
      <c r="L343" s="22" t="n">
        <v>251.09</v>
      </c>
      <c r="M343" s="8" t="s">
        <v>73</v>
      </c>
      <c r="N343" s="4" t="n">
        <v>17</v>
      </c>
      <c r="O343" s="6" t="n">
        <f aca="false">IF(C343="롱",(J343-E343)/E343,(E343-J343)/E343)</f>
        <v>-0.0520478434215294</v>
      </c>
    </row>
    <row r="344" customFormat="false" ht="17.15" hidden="false" customHeight="false" outlineLevel="0" collapsed="false">
      <c r="A344" s="4" t="n">
        <v>5</v>
      </c>
      <c r="B344" s="4" t="s">
        <v>20</v>
      </c>
      <c r="C344" s="8" t="s">
        <v>72</v>
      </c>
      <c r="D344" s="21" t="n">
        <v>40739</v>
      </c>
      <c r="E344" s="22" t="n">
        <v>279.59</v>
      </c>
      <c r="F344" s="21" t="n">
        <v>40742</v>
      </c>
      <c r="G344" s="22" t="n">
        <v>279.93</v>
      </c>
      <c r="H344" s="22" t="n">
        <v>260.5</v>
      </c>
      <c r="I344" s="21" t="n">
        <v>40742</v>
      </c>
      <c r="J344" s="22" t="n">
        <v>276.71</v>
      </c>
      <c r="K344" s="21" t="n">
        <v>40743</v>
      </c>
      <c r="L344" s="22" t="n">
        <v>276.16</v>
      </c>
      <c r="M344" s="8" t="s">
        <v>73</v>
      </c>
      <c r="N344" s="4" t="n">
        <v>1</v>
      </c>
      <c r="O344" s="6" t="n">
        <f aca="false">IF(C344="롱",(J344-E344)/E344,(E344-J344)/E344)</f>
        <v>-0.0103007975964805</v>
      </c>
    </row>
    <row r="345" customFormat="false" ht="17.15" hidden="false" customHeight="false" outlineLevel="0" collapsed="false">
      <c r="A345" s="4" t="n">
        <v>11</v>
      </c>
      <c r="B345" s="4" t="s">
        <v>32</v>
      </c>
      <c r="C345" s="8" t="s">
        <v>74</v>
      </c>
      <c r="D345" s="21" t="n">
        <v>40752</v>
      </c>
      <c r="E345" s="22" t="n">
        <v>280.04</v>
      </c>
      <c r="F345" s="21" t="n">
        <v>40753</v>
      </c>
      <c r="G345" s="22" t="n">
        <v>280.52</v>
      </c>
      <c r="H345" s="22" t="n">
        <v>297.82</v>
      </c>
      <c r="I345" s="21" t="n">
        <v>40756</v>
      </c>
      <c r="J345" s="22" t="n">
        <v>282.36</v>
      </c>
      <c r="K345" s="21" t="n">
        <v>40757</v>
      </c>
      <c r="L345" s="22" t="n">
        <v>279.54</v>
      </c>
      <c r="M345" s="8" t="s">
        <v>73</v>
      </c>
      <c r="N345" s="4" t="n">
        <v>2</v>
      </c>
      <c r="O345" s="6" t="n">
        <f aca="false">IF(C345="롱",(J345-E345)/E345,(E345-J345)/E345)</f>
        <v>-0.00828453078131693</v>
      </c>
    </row>
    <row r="346" customFormat="false" ht="17.15" hidden="false" customHeight="false" outlineLevel="0" collapsed="false">
      <c r="A346" s="4" t="n">
        <v>8</v>
      </c>
      <c r="B346" s="4" t="s">
        <v>26</v>
      </c>
      <c r="C346" s="8" t="s">
        <v>72</v>
      </c>
      <c r="D346" s="21" t="n">
        <v>40763</v>
      </c>
      <c r="E346" s="22" t="n">
        <v>242.45</v>
      </c>
      <c r="F346" s="21" t="n">
        <v>40764</v>
      </c>
      <c r="G346" s="22" t="n">
        <v>234.26</v>
      </c>
      <c r="H346" s="22" t="n">
        <v>218.2</v>
      </c>
      <c r="I346" s="21" t="n">
        <v>40772</v>
      </c>
      <c r="J346" s="22" t="n">
        <v>243.43</v>
      </c>
      <c r="K346" s="21" t="n">
        <v>40773</v>
      </c>
      <c r="L346" s="22" t="n">
        <v>243.15</v>
      </c>
      <c r="M346" s="8" t="s">
        <v>73</v>
      </c>
      <c r="N346" s="4" t="n">
        <v>6</v>
      </c>
      <c r="O346" s="6" t="n">
        <f aca="false">IF(C346="롱",(J346-E346)/E346,(E346-J346)/E346)</f>
        <v>0.00404207053000626</v>
      </c>
    </row>
    <row r="347" customFormat="false" ht="17.15" hidden="false" customHeight="false" outlineLevel="0" collapsed="false">
      <c r="A347" s="4" t="n">
        <v>8</v>
      </c>
      <c r="B347" s="4" t="s">
        <v>26</v>
      </c>
      <c r="C347" s="8" t="s">
        <v>72</v>
      </c>
      <c r="D347" s="21" t="n">
        <v>40773</v>
      </c>
      <c r="E347" s="22" t="n">
        <v>238.31</v>
      </c>
      <c r="F347" s="21" t="n">
        <v>40774</v>
      </c>
      <c r="G347" s="22" t="n">
        <v>228.95</v>
      </c>
      <c r="H347" s="22" t="n">
        <v>214.48</v>
      </c>
      <c r="I347" s="21" t="n">
        <v>40812</v>
      </c>
      <c r="J347" s="22" t="n">
        <v>214.48</v>
      </c>
      <c r="K347" s="21" t="n">
        <v>40813</v>
      </c>
      <c r="L347" s="22" t="n">
        <v>221.23</v>
      </c>
      <c r="M347" s="8" t="s">
        <v>75</v>
      </c>
      <c r="N347" s="4" t="n">
        <v>25</v>
      </c>
      <c r="O347" s="6" t="n">
        <f aca="false">IF(C347="롱",(J347-E347)/E347,(E347-J347)/E347)</f>
        <v>-0.099995803784986</v>
      </c>
    </row>
    <row r="348" customFormat="false" ht="17.15" hidden="false" customHeight="false" outlineLevel="0" collapsed="false">
      <c r="A348" s="4" t="n">
        <v>11</v>
      </c>
      <c r="B348" s="4" t="s">
        <v>32</v>
      </c>
      <c r="C348" s="8" t="s">
        <v>74</v>
      </c>
      <c r="D348" s="21" t="n">
        <v>40808</v>
      </c>
      <c r="E348" s="22" t="n">
        <v>232.05</v>
      </c>
      <c r="F348" s="21" t="n">
        <v>40809</v>
      </c>
      <c r="G348" s="22" t="n">
        <v>223.64</v>
      </c>
      <c r="H348" s="22" t="n">
        <v>255.26</v>
      </c>
      <c r="I348" s="21" t="n">
        <v>40823</v>
      </c>
      <c r="J348" s="22" t="n">
        <v>230.27</v>
      </c>
      <c r="K348" s="21" t="n">
        <v>40826</v>
      </c>
      <c r="L348" s="22" t="n">
        <v>230.64</v>
      </c>
      <c r="M348" s="8" t="s">
        <v>73</v>
      </c>
      <c r="N348" s="4" t="n">
        <v>10</v>
      </c>
      <c r="O348" s="6" t="n">
        <f aca="false">IF(C348="롱",(J348-E348)/E348,(E348-J348)/E348)</f>
        <v>0.00767076061193709</v>
      </c>
    </row>
    <row r="349" customFormat="false" ht="17.15" hidden="false" customHeight="false" outlineLevel="0" collapsed="false">
      <c r="A349" s="4" t="n">
        <v>9</v>
      </c>
      <c r="B349" s="4" t="s">
        <v>28</v>
      </c>
      <c r="C349" s="8" t="s">
        <v>72</v>
      </c>
      <c r="D349" s="21" t="n">
        <v>40870</v>
      </c>
      <c r="E349" s="22" t="n">
        <v>231.68</v>
      </c>
      <c r="F349" s="21" t="n">
        <v>40871</v>
      </c>
      <c r="G349" s="22" t="n">
        <v>230.7</v>
      </c>
      <c r="H349" s="22" t="n">
        <v>208.51</v>
      </c>
      <c r="I349" s="21" t="n">
        <v>40875</v>
      </c>
      <c r="J349" s="22" t="n">
        <v>236.59</v>
      </c>
      <c r="K349" s="21" t="n">
        <v>40876</v>
      </c>
      <c r="L349" s="22" t="n">
        <v>238.4</v>
      </c>
      <c r="M349" s="8" t="s">
        <v>73</v>
      </c>
      <c r="N349" s="4" t="n">
        <v>3</v>
      </c>
      <c r="O349" s="6" t="n">
        <f aca="false">IF(C349="롱",(J349-E349)/E349,(E349-J349)/E349)</f>
        <v>0.0211930248618784</v>
      </c>
    </row>
    <row r="350" customFormat="false" ht="17.15" hidden="false" customHeight="false" outlineLevel="0" collapsed="false">
      <c r="A350" s="4" t="n">
        <v>3</v>
      </c>
      <c r="B350" s="4" t="s">
        <v>16</v>
      </c>
      <c r="C350" s="8" t="s">
        <v>72</v>
      </c>
      <c r="D350" s="21" t="n">
        <v>40876</v>
      </c>
      <c r="E350" s="22" t="n">
        <v>242.5</v>
      </c>
      <c r="F350" s="21" t="n">
        <v>40877</v>
      </c>
      <c r="G350" s="22" t="n">
        <v>241.15</v>
      </c>
      <c r="H350" s="22" t="n">
        <v>218.25</v>
      </c>
      <c r="I350" s="21" t="n">
        <v>40892</v>
      </c>
      <c r="J350" s="22" t="n">
        <v>236.72</v>
      </c>
      <c r="K350" s="21" t="n">
        <v>40893</v>
      </c>
      <c r="L350" s="22" t="n">
        <v>237.85</v>
      </c>
      <c r="M350" s="8" t="s">
        <v>73</v>
      </c>
      <c r="N350" s="4" t="n">
        <v>12</v>
      </c>
      <c r="O350" s="6" t="n">
        <f aca="false">IF(C350="롱",(J350-E350)/E350,(E350-J350)/E350)</f>
        <v>-0.0238350515463918</v>
      </c>
    </row>
    <row r="351" customFormat="false" ht="17.15" hidden="false" customHeight="false" outlineLevel="0" collapsed="false">
      <c r="A351" s="4" t="n">
        <v>5</v>
      </c>
      <c r="B351" s="4" t="s">
        <v>20</v>
      </c>
      <c r="C351" s="8" t="s">
        <v>72</v>
      </c>
      <c r="D351" s="21" t="n">
        <v>40876</v>
      </c>
      <c r="E351" s="22" t="n">
        <v>242.5</v>
      </c>
      <c r="F351" s="21" t="n">
        <v>40877</v>
      </c>
      <c r="G351" s="22" t="n">
        <v>241.15</v>
      </c>
      <c r="H351" s="22" t="n">
        <v>218.25</v>
      </c>
      <c r="I351" s="21" t="n">
        <v>40892</v>
      </c>
      <c r="J351" s="22" t="n">
        <v>236.72</v>
      </c>
      <c r="K351" s="21" t="n">
        <v>40893</v>
      </c>
      <c r="L351" s="22" t="n">
        <v>237.85</v>
      </c>
      <c r="M351" s="8" t="s">
        <v>73</v>
      </c>
      <c r="N351" s="4" t="n">
        <v>12</v>
      </c>
      <c r="O351" s="6" t="n">
        <f aca="false">IF(C351="롱",(J351-E351)/E351,(E351-J351)/E351)</f>
        <v>-0.0238350515463918</v>
      </c>
    </row>
    <row r="352" customFormat="false" ht="17.15" hidden="false" customHeight="false" outlineLevel="0" collapsed="false">
      <c r="A352" s="4" t="n">
        <v>1</v>
      </c>
      <c r="B352" s="4" t="s">
        <v>12</v>
      </c>
      <c r="C352" s="8" t="s">
        <v>72</v>
      </c>
      <c r="D352" s="21" t="n">
        <v>40878</v>
      </c>
      <c r="E352" s="22" t="n">
        <v>251.52</v>
      </c>
      <c r="F352" s="21" t="n">
        <v>40879</v>
      </c>
      <c r="G352" s="22" t="n">
        <v>251.23</v>
      </c>
      <c r="H352" s="22" t="n">
        <v>226.37</v>
      </c>
      <c r="I352" s="21" t="n">
        <v>40891</v>
      </c>
      <c r="J352" s="22" t="n">
        <v>242.35</v>
      </c>
      <c r="K352" s="21" t="n">
        <v>40892</v>
      </c>
      <c r="L352" s="22" t="n">
        <v>239.15</v>
      </c>
      <c r="M352" s="8" t="s">
        <v>73</v>
      </c>
      <c r="N352" s="4" t="n">
        <v>9</v>
      </c>
      <c r="O352" s="6" t="n">
        <f aca="false">IF(C352="롱",(J352-E352)/E352,(E352-J352)/E352)</f>
        <v>-0.0364583333333334</v>
      </c>
    </row>
    <row r="353" customFormat="false" ht="17.15" hidden="false" customHeight="false" outlineLevel="0" collapsed="false">
      <c r="A353" s="4" t="n">
        <v>4</v>
      </c>
      <c r="B353" s="4" t="s">
        <v>18</v>
      </c>
      <c r="C353" s="8" t="s">
        <v>72</v>
      </c>
      <c r="D353" s="21" t="n">
        <v>40879</v>
      </c>
      <c r="E353" s="22" t="n">
        <v>251.19</v>
      </c>
      <c r="F353" s="21" t="n">
        <v>40882</v>
      </c>
      <c r="G353" s="22" t="n">
        <v>252.87</v>
      </c>
      <c r="H353" s="22" t="n">
        <v>226.07</v>
      </c>
      <c r="I353" s="21" t="n">
        <v>40893</v>
      </c>
      <c r="J353" s="22" t="n">
        <v>239.82</v>
      </c>
      <c r="K353" s="21" t="n">
        <v>40896</v>
      </c>
      <c r="L353" s="22" t="n">
        <v>238.3</v>
      </c>
      <c r="M353" s="8" t="s">
        <v>73</v>
      </c>
      <c r="N353" s="4" t="n">
        <v>10</v>
      </c>
      <c r="O353" s="6" t="n">
        <f aca="false">IF(C353="롱",(J353-E353)/E353,(E353-J353)/E353)</f>
        <v>-0.0452645407858593</v>
      </c>
    </row>
    <row r="354" customFormat="false" ht="17.15" hidden="false" customHeight="false" outlineLevel="0" collapsed="false">
      <c r="A354" s="4" t="n">
        <v>5</v>
      </c>
      <c r="B354" s="4" t="s">
        <v>20</v>
      </c>
      <c r="C354" s="8" t="s">
        <v>72</v>
      </c>
      <c r="D354" s="21" t="n">
        <v>40898</v>
      </c>
      <c r="E354" s="22" t="n">
        <v>241.51</v>
      </c>
      <c r="F354" s="21" t="n">
        <v>40899</v>
      </c>
      <c r="G354" s="22" t="n">
        <v>240.5</v>
      </c>
      <c r="H354" s="22" t="n">
        <v>217.36</v>
      </c>
      <c r="I354" s="21" t="n">
        <v>40904</v>
      </c>
      <c r="J354" s="22" t="n">
        <v>240.79</v>
      </c>
      <c r="K354" s="21" t="n">
        <v>40905</v>
      </c>
      <c r="L354" s="22" t="n">
        <v>239.44</v>
      </c>
      <c r="M354" s="8" t="s">
        <v>73</v>
      </c>
      <c r="N354" s="4" t="n">
        <v>4</v>
      </c>
      <c r="O354" s="6" t="n">
        <f aca="false">IF(C354="롱",(J354-E354)/E354,(E354-J354)/E354)</f>
        <v>-0.00298124301271168</v>
      </c>
    </row>
    <row r="355" customFormat="false" ht="17.15" hidden="false" customHeight="false" outlineLevel="0" collapsed="false">
      <c r="A355" s="4" t="n">
        <v>3</v>
      </c>
      <c r="B355" s="4" t="s">
        <v>16</v>
      </c>
      <c r="C355" s="8" t="s">
        <v>72</v>
      </c>
      <c r="D355" s="21" t="n">
        <v>40900</v>
      </c>
      <c r="E355" s="22" t="n">
        <v>244.22</v>
      </c>
      <c r="F355" s="21" t="n">
        <v>40903</v>
      </c>
      <c r="G355" s="22" t="n">
        <v>244.96</v>
      </c>
      <c r="H355" s="22" t="n">
        <v>220.24</v>
      </c>
      <c r="I355" s="21" t="n">
        <v>41011</v>
      </c>
      <c r="J355" s="22" t="n">
        <v>263.95</v>
      </c>
      <c r="K355" s="21" t="n">
        <v>41012</v>
      </c>
      <c r="L355" s="22" t="n">
        <v>265.95</v>
      </c>
      <c r="M355" s="8" t="s">
        <v>73</v>
      </c>
      <c r="N355" s="4" t="n">
        <v>74</v>
      </c>
      <c r="O355" s="6" t="n">
        <f aca="false">IF(C355="롱",(J355-E355)/E355,(E355-J355)/E355)</f>
        <v>0.0807878142658259</v>
      </c>
    </row>
    <row r="356" customFormat="false" ht="17.15" hidden="false" customHeight="false" outlineLevel="0" collapsed="false">
      <c r="A356" s="4" t="n">
        <v>11</v>
      </c>
      <c r="B356" s="4" t="s">
        <v>32</v>
      </c>
      <c r="C356" s="8" t="s">
        <v>74</v>
      </c>
      <c r="D356" s="21" t="n">
        <v>40903</v>
      </c>
      <c r="E356" s="22" t="n">
        <v>242.64</v>
      </c>
      <c r="F356" s="21" t="n">
        <v>40904</v>
      </c>
      <c r="G356" s="22" t="n">
        <v>242.69</v>
      </c>
      <c r="H356" s="22" t="n">
        <v>265.92</v>
      </c>
      <c r="I356" s="21" t="n">
        <v>40911</v>
      </c>
      <c r="J356" s="22" t="n">
        <v>245.82</v>
      </c>
      <c r="K356" s="21" t="n">
        <v>40912</v>
      </c>
      <c r="L356" s="22" t="n">
        <v>246.89</v>
      </c>
      <c r="M356" s="8" t="s">
        <v>73</v>
      </c>
      <c r="N356" s="4" t="n">
        <v>5</v>
      </c>
      <c r="O356" s="6" t="n">
        <f aca="false">IF(C356="롱",(J356-E356)/E356,(E356-J356)/E356)</f>
        <v>-0.0131058358061326</v>
      </c>
    </row>
    <row r="357" customFormat="false" ht="17.15" hidden="false" customHeight="false" outlineLevel="0" collapsed="false">
      <c r="A357" s="4" t="n">
        <v>1</v>
      </c>
      <c r="B357" s="4" t="s">
        <v>12</v>
      </c>
      <c r="C357" s="8" t="s">
        <v>72</v>
      </c>
      <c r="D357" s="21" t="n">
        <v>40911</v>
      </c>
      <c r="E357" s="22" t="n">
        <v>245.82</v>
      </c>
      <c r="F357" s="21" t="n">
        <v>40912</v>
      </c>
      <c r="G357" s="22" t="n">
        <v>246.89</v>
      </c>
      <c r="H357" s="22" t="n">
        <v>222.47</v>
      </c>
      <c r="I357" s="21" t="n">
        <v>40917</v>
      </c>
      <c r="J357" s="22" t="n">
        <v>238.02</v>
      </c>
      <c r="K357" s="21" t="n">
        <v>40918</v>
      </c>
      <c r="L357" s="22" t="n">
        <v>240.07</v>
      </c>
      <c r="M357" s="8" t="s">
        <v>73</v>
      </c>
      <c r="N357" s="4" t="n">
        <v>4</v>
      </c>
      <c r="O357" s="6" t="n">
        <f aca="false">IF(C357="롱",(J357-E357)/E357,(E357-J357)/E357)</f>
        <v>-0.0317305345374664</v>
      </c>
    </row>
    <row r="358" customFormat="false" ht="17.15" hidden="false" customHeight="false" outlineLevel="0" collapsed="false">
      <c r="A358" s="4" t="n">
        <v>5</v>
      </c>
      <c r="B358" s="4" t="s">
        <v>20</v>
      </c>
      <c r="C358" s="8" t="s">
        <v>72</v>
      </c>
      <c r="D358" s="21" t="n">
        <v>40911</v>
      </c>
      <c r="E358" s="22" t="n">
        <v>245.82</v>
      </c>
      <c r="F358" s="21" t="n">
        <v>40912</v>
      </c>
      <c r="G358" s="22" t="n">
        <v>246.89</v>
      </c>
      <c r="H358" s="22" t="n">
        <v>222.47</v>
      </c>
      <c r="I358" s="21" t="n">
        <v>40914</v>
      </c>
      <c r="J358" s="22" t="n">
        <v>240.57</v>
      </c>
      <c r="K358" s="21" t="n">
        <v>40917</v>
      </c>
      <c r="L358" s="22" t="n">
        <v>238.88</v>
      </c>
      <c r="M358" s="8" t="s">
        <v>73</v>
      </c>
      <c r="N358" s="4" t="n">
        <v>3</v>
      </c>
      <c r="O358" s="6" t="n">
        <f aca="false">IF(C358="롱",(J358-E358)/E358,(E358-J358)/E358)</f>
        <v>-0.021357090554064</v>
      </c>
    </row>
    <row r="359" customFormat="false" ht="17.15" hidden="false" customHeight="false" outlineLevel="0" collapsed="false">
      <c r="A359" s="4" t="n">
        <v>4</v>
      </c>
      <c r="B359" s="4" t="s">
        <v>18</v>
      </c>
      <c r="C359" s="8" t="s">
        <v>72</v>
      </c>
      <c r="D359" s="21" t="n">
        <v>40913</v>
      </c>
      <c r="E359" s="22" t="n">
        <v>243.56</v>
      </c>
      <c r="F359" s="21" t="n">
        <v>40914</v>
      </c>
      <c r="G359" s="22" t="n">
        <v>243.97</v>
      </c>
      <c r="H359" s="22" t="n">
        <v>220.66</v>
      </c>
      <c r="I359" s="21" t="n">
        <v>40976</v>
      </c>
      <c r="J359" s="22" t="n">
        <v>262.85</v>
      </c>
      <c r="K359" s="21" t="n">
        <v>40977</v>
      </c>
      <c r="L359" s="22" t="n">
        <v>265.27</v>
      </c>
      <c r="M359" s="8" t="s">
        <v>73</v>
      </c>
      <c r="N359" s="4" t="n">
        <v>42</v>
      </c>
      <c r="O359" s="6" t="n">
        <f aca="false">IF(C359="롱",(J359-E359)/E359,(E359-J359)/E359)</f>
        <v>0.0792001970766958</v>
      </c>
    </row>
    <row r="360" customFormat="false" ht="17.15" hidden="false" customHeight="false" outlineLevel="0" collapsed="false">
      <c r="A360" s="4" t="n">
        <v>1</v>
      </c>
      <c r="B360" s="4" t="s">
        <v>12</v>
      </c>
      <c r="C360" s="8" t="s">
        <v>72</v>
      </c>
      <c r="D360" s="21" t="n">
        <v>40918</v>
      </c>
      <c r="E360" s="22" t="n">
        <v>241.69</v>
      </c>
      <c r="F360" s="21" t="n">
        <v>40919</v>
      </c>
      <c r="G360" s="22" t="n">
        <v>242.19</v>
      </c>
      <c r="H360" s="22" t="n">
        <v>218.32</v>
      </c>
      <c r="I360" s="21" t="n">
        <v>40955</v>
      </c>
      <c r="J360" s="22" t="n">
        <v>261.89</v>
      </c>
      <c r="K360" s="21" t="n">
        <v>40956</v>
      </c>
      <c r="L360" s="22" t="n">
        <v>265.9</v>
      </c>
      <c r="M360" s="8" t="s">
        <v>73</v>
      </c>
      <c r="N360" s="4" t="n">
        <v>25</v>
      </c>
      <c r="O360" s="6" t="n">
        <f aca="false">IF(C360="롱",(J360-E360)/E360,(E360-J360)/E360)</f>
        <v>0.0835781372832967</v>
      </c>
    </row>
    <row r="361" customFormat="false" ht="17.15" hidden="false" customHeight="false" outlineLevel="0" collapsed="false">
      <c r="A361" s="4" t="n">
        <v>10</v>
      </c>
      <c r="B361" s="4" t="s">
        <v>30</v>
      </c>
      <c r="C361" s="8" t="s">
        <v>72</v>
      </c>
      <c r="D361" s="21" t="n">
        <v>40918</v>
      </c>
      <c r="E361" s="22" t="n">
        <v>241.69</v>
      </c>
      <c r="F361" s="21" t="n">
        <v>40919</v>
      </c>
      <c r="G361" s="22" t="n">
        <v>242.19</v>
      </c>
      <c r="H361" s="22" t="n">
        <v>218.32</v>
      </c>
      <c r="I361" s="21" t="n">
        <v>40966</v>
      </c>
      <c r="J361" s="22" t="n">
        <v>261.3</v>
      </c>
      <c r="K361" s="21" t="n">
        <v>40967</v>
      </c>
      <c r="L361" s="22" t="n">
        <v>262.19</v>
      </c>
      <c r="M361" s="8" t="s">
        <v>73</v>
      </c>
      <c r="N361" s="4" t="n">
        <v>32</v>
      </c>
      <c r="O361" s="6" t="n">
        <f aca="false">IF(C361="롱",(J361-E361)/E361,(E361-J361)/E361)</f>
        <v>0.0811369936695768</v>
      </c>
    </row>
    <row r="362" customFormat="false" ht="17.15" hidden="false" customHeight="false" outlineLevel="0" collapsed="false">
      <c r="A362" s="4" t="n">
        <v>5</v>
      </c>
      <c r="B362" s="4" t="s">
        <v>20</v>
      </c>
      <c r="C362" s="8" t="s">
        <v>72</v>
      </c>
      <c r="D362" s="21" t="n">
        <v>40920</v>
      </c>
      <c r="E362" s="22" t="n">
        <v>243.46</v>
      </c>
      <c r="F362" s="21" t="n">
        <v>40921</v>
      </c>
      <c r="G362" s="22" t="n">
        <v>243.6</v>
      </c>
      <c r="H362" s="22" t="n">
        <v>220.48</v>
      </c>
      <c r="I362" s="21" t="n">
        <v>40924</v>
      </c>
      <c r="J362" s="22" t="n">
        <v>243.1</v>
      </c>
      <c r="K362" s="21" t="n">
        <v>40925</v>
      </c>
      <c r="L362" s="22" t="n">
        <v>245.79</v>
      </c>
      <c r="M362" s="8" t="s">
        <v>73</v>
      </c>
      <c r="N362" s="4" t="n">
        <v>2</v>
      </c>
      <c r="O362" s="6" t="n">
        <f aca="false">IF(C362="롱",(J362-E362)/E362,(E362-J362)/E362)</f>
        <v>-0.00147868232974622</v>
      </c>
    </row>
    <row r="363" customFormat="false" ht="17.15" hidden="false" customHeight="false" outlineLevel="0" collapsed="false">
      <c r="A363" s="4" t="n">
        <v>5</v>
      </c>
      <c r="B363" s="4" t="s">
        <v>20</v>
      </c>
      <c r="C363" s="8" t="s">
        <v>72</v>
      </c>
      <c r="D363" s="21" t="n">
        <v>40925</v>
      </c>
      <c r="E363" s="22" t="n">
        <v>247.81</v>
      </c>
      <c r="F363" s="21" t="n">
        <v>40926</v>
      </c>
      <c r="G363" s="22" t="n">
        <v>247.57</v>
      </c>
      <c r="H363" s="22" t="n">
        <v>227.18</v>
      </c>
      <c r="I363" s="21" t="n">
        <v>41016</v>
      </c>
      <c r="J363" s="22" t="n">
        <v>263.32</v>
      </c>
      <c r="K363" s="21" t="n">
        <v>41017</v>
      </c>
      <c r="L363" s="22" t="n">
        <v>267.39</v>
      </c>
      <c r="M363" s="8" t="s">
        <v>73</v>
      </c>
      <c r="N363" s="4" t="n">
        <v>61</v>
      </c>
      <c r="O363" s="6" t="n">
        <f aca="false">IF(C363="롱",(J363-E363)/E363,(E363-J363)/E363)</f>
        <v>0.0625882732738791</v>
      </c>
    </row>
    <row r="364" customFormat="false" ht="17.15" hidden="false" customHeight="false" outlineLevel="0" collapsed="false">
      <c r="A364" s="4" t="n">
        <v>6</v>
      </c>
      <c r="B364" s="4" t="s">
        <v>22</v>
      </c>
      <c r="C364" s="8" t="s">
        <v>72</v>
      </c>
      <c r="D364" s="21" t="n">
        <v>40927</v>
      </c>
      <c r="E364" s="22" t="n">
        <v>251.27</v>
      </c>
      <c r="F364" s="21" t="n">
        <v>40928</v>
      </c>
      <c r="G364" s="22" t="n">
        <v>252.28</v>
      </c>
      <c r="H364" s="22" t="n">
        <v>231.93</v>
      </c>
      <c r="I364" s="21" t="n">
        <v>40938</v>
      </c>
      <c r="J364" s="22" t="n">
        <v>255.21</v>
      </c>
      <c r="K364" s="21" t="n">
        <v>40939</v>
      </c>
      <c r="L364" s="22" t="n">
        <v>255.45</v>
      </c>
      <c r="M364" s="8" t="s">
        <v>73</v>
      </c>
      <c r="N364" s="4" t="n">
        <v>5</v>
      </c>
      <c r="O364" s="6" t="n">
        <f aca="false">IF(C364="롱",(J364-E364)/E364,(E364-J364)/E364)</f>
        <v>0.0156803438532256</v>
      </c>
    </row>
    <row r="365" customFormat="false" ht="17.15" hidden="false" customHeight="false" outlineLevel="0" collapsed="false">
      <c r="A365" s="4" t="n">
        <v>6</v>
      </c>
      <c r="B365" s="4" t="s">
        <v>22</v>
      </c>
      <c r="C365" s="8" t="s">
        <v>72</v>
      </c>
      <c r="D365" s="21" t="n">
        <v>40941</v>
      </c>
      <c r="E365" s="22" t="n">
        <v>260.35</v>
      </c>
      <c r="F365" s="21" t="n">
        <v>40942</v>
      </c>
      <c r="G365" s="22" t="n">
        <v>259.95</v>
      </c>
      <c r="H365" s="22" t="n">
        <v>241.89</v>
      </c>
      <c r="I365" s="21" t="n">
        <v>40949</v>
      </c>
      <c r="J365" s="22" t="n">
        <v>261.17</v>
      </c>
      <c r="K365" s="21" t="n">
        <v>40952</v>
      </c>
      <c r="L365" s="22" t="n">
        <v>262.14</v>
      </c>
      <c r="M365" s="8" t="s">
        <v>73</v>
      </c>
      <c r="N365" s="4" t="n">
        <v>6</v>
      </c>
      <c r="O365" s="6" t="n">
        <f aca="false">IF(C365="롱",(J365-E365)/E365,(E365-J365)/E365)</f>
        <v>0.00314960629921257</v>
      </c>
    </row>
    <row r="366" customFormat="false" ht="17.15" hidden="false" customHeight="false" outlineLevel="0" collapsed="false">
      <c r="A366" s="4" t="n">
        <v>1</v>
      </c>
      <c r="B366" s="4" t="s">
        <v>12</v>
      </c>
      <c r="C366" s="8" t="s">
        <v>72</v>
      </c>
      <c r="D366" s="21" t="n">
        <v>40956</v>
      </c>
      <c r="E366" s="22" t="n">
        <v>265.82</v>
      </c>
      <c r="F366" s="21" t="n">
        <v>40959</v>
      </c>
      <c r="G366" s="22" t="n">
        <v>268.28</v>
      </c>
      <c r="H366" s="22" t="n">
        <v>247.54</v>
      </c>
      <c r="I366" s="21" t="n">
        <v>40960</v>
      </c>
      <c r="J366" s="22" t="n">
        <v>265.89</v>
      </c>
      <c r="K366" s="21" t="n">
        <v>40961</v>
      </c>
      <c r="L366" s="22" t="n">
        <v>264.88</v>
      </c>
      <c r="M366" s="8" t="s">
        <v>73</v>
      </c>
      <c r="N366" s="4" t="n">
        <v>2</v>
      </c>
      <c r="O366" s="6" t="n">
        <f aca="false">IF(C366="롱",(J366-E366)/E366,(E366-J366)/E366)</f>
        <v>0.000263336092092368</v>
      </c>
    </row>
    <row r="367" customFormat="false" ht="17.15" hidden="false" customHeight="false" outlineLevel="0" collapsed="false">
      <c r="A367" s="4" t="n">
        <v>11</v>
      </c>
      <c r="B367" s="4" t="s">
        <v>32</v>
      </c>
      <c r="C367" s="8" t="s">
        <v>74</v>
      </c>
      <c r="D367" s="21" t="n">
        <v>40974</v>
      </c>
      <c r="E367" s="22" t="n">
        <v>262.85</v>
      </c>
      <c r="F367" s="21" t="n">
        <v>40975</v>
      </c>
      <c r="G367" s="22" t="n">
        <v>258.65</v>
      </c>
      <c r="H367" s="22" t="n">
        <v>280.26</v>
      </c>
      <c r="I367" s="21" t="n">
        <v>40977</v>
      </c>
      <c r="J367" s="22" t="n">
        <v>265.62</v>
      </c>
      <c r="K367" s="21" t="n">
        <v>40980</v>
      </c>
      <c r="L367" s="22" t="n">
        <v>265.67</v>
      </c>
      <c r="M367" s="8" t="s">
        <v>73</v>
      </c>
      <c r="N367" s="4" t="n">
        <v>3</v>
      </c>
      <c r="O367" s="6" t="n">
        <f aca="false">IF(C367="롱",(J367-E367)/E367,(E367-J367)/E367)</f>
        <v>-0.0105383298459197</v>
      </c>
    </row>
    <row r="368" customFormat="false" ht="17.15" hidden="false" customHeight="false" outlineLevel="0" collapsed="false">
      <c r="A368" s="4" t="n">
        <v>4</v>
      </c>
      <c r="B368" s="4" t="s">
        <v>18</v>
      </c>
      <c r="C368" s="8" t="s">
        <v>72</v>
      </c>
      <c r="D368" s="21" t="n">
        <v>40982</v>
      </c>
      <c r="E368" s="22" t="n">
        <v>269.85</v>
      </c>
      <c r="F368" s="21" t="n">
        <v>40983</v>
      </c>
      <c r="G368" s="22" t="n">
        <v>269.81</v>
      </c>
      <c r="H368" s="22" t="n">
        <v>251.47</v>
      </c>
      <c r="I368" s="21" t="n">
        <v>41009</v>
      </c>
      <c r="J368" s="22" t="n">
        <v>265.38</v>
      </c>
      <c r="K368" s="21" t="n">
        <v>41011</v>
      </c>
      <c r="L368" s="22" t="n">
        <v>263.88</v>
      </c>
      <c r="M368" s="8" t="s">
        <v>73</v>
      </c>
      <c r="N368" s="4" t="n">
        <v>19</v>
      </c>
      <c r="O368" s="6" t="n">
        <f aca="false">IF(C368="롱",(J368-E368)/E368,(E368-J368)/E368)</f>
        <v>-0.0165647581989995</v>
      </c>
    </row>
    <row r="369" customFormat="false" ht="17.15" hidden="false" customHeight="false" outlineLevel="0" collapsed="false">
      <c r="A369" s="4" t="n">
        <v>1</v>
      </c>
      <c r="B369" s="4" t="s">
        <v>12</v>
      </c>
      <c r="C369" s="8" t="s">
        <v>72</v>
      </c>
      <c r="D369" s="21" t="n">
        <v>40983</v>
      </c>
      <c r="E369" s="22" t="n">
        <v>269.76</v>
      </c>
      <c r="F369" s="21" t="n">
        <v>40984</v>
      </c>
      <c r="G369" s="22" t="n">
        <v>271.39</v>
      </c>
      <c r="H369" s="22" t="n">
        <v>251.93</v>
      </c>
      <c r="I369" s="21" t="n">
        <v>40989</v>
      </c>
      <c r="J369" s="22" t="n">
        <v>267.79</v>
      </c>
      <c r="K369" s="21" t="n">
        <v>40990</v>
      </c>
      <c r="L369" s="22" t="n">
        <v>267.6</v>
      </c>
      <c r="M369" s="8" t="s">
        <v>73</v>
      </c>
      <c r="N369" s="4" t="n">
        <v>4</v>
      </c>
      <c r="O369" s="6" t="n">
        <f aca="false">IF(C369="롱",(J369-E369)/E369,(E369-J369)/E369)</f>
        <v>-0.00730278766310784</v>
      </c>
    </row>
    <row r="370" customFormat="false" ht="17.15" hidden="false" customHeight="false" outlineLevel="0" collapsed="false">
      <c r="A370" s="4" t="n">
        <v>3</v>
      </c>
      <c r="B370" s="4" t="s">
        <v>16</v>
      </c>
      <c r="C370" s="8" t="s">
        <v>72</v>
      </c>
      <c r="D370" s="21" t="n">
        <v>41012</v>
      </c>
      <c r="E370" s="22" t="n">
        <v>266.86</v>
      </c>
      <c r="F370" s="21" t="n">
        <v>41015</v>
      </c>
      <c r="G370" s="22" t="n">
        <v>263.58</v>
      </c>
      <c r="H370" s="22" t="n">
        <v>251.38</v>
      </c>
      <c r="I370" s="21" t="n">
        <v>41016</v>
      </c>
      <c r="J370" s="22" t="n">
        <v>263.32</v>
      </c>
      <c r="K370" s="21" t="n">
        <v>41017</v>
      </c>
      <c r="L370" s="22" t="n">
        <v>267.39</v>
      </c>
      <c r="M370" s="8" t="s">
        <v>73</v>
      </c>
      <c r="N370" s="4" t="n">
        <v>2</v>
      </c>
      <c r="O370" s="6" t="n">
        <f aca="false">IF(C370="롱",(J370-E370)/E370,(E370-J370)/E370)</f>
        <v>-0.0132653825976168</v>
      </c>
    </row>
    <row r="371" customFormat="false" ht="17.15" hidden="false" customHeight="false" outlineLevel="0" collapsed="false">
      <c r="A371" s="4" t="n">
        <v>5</v>
      </c>
      <c r="B371" s="4" t="s">
        <v>20</v>
      </c>
      <c r="C371" s="8" t="s">
        <v>72</v>
      </c>
      <c r="D371" s="21" t="n">
        <v>41017</v>
      </c>
      <c r="E371" s="22" t="n">
        <v>266.22</v>
      </c>
      <c r="F371" s="21" t="n">
        <v>41018</v>
      </c>
      <c r="G371" s="22" t="n">
        <v>265.6</v>
      </c>
      <c r="H371" s="22" t="n">
        <v>250.3</v>
      </c>
      <c r="I371" s="21" t="n">
        <v>41019</v>
      </c>
      <c r="J371" s="22" t="n">
        <v>261.84</v>
      </c>
      <c r="K371" s="21" t="n">
        <v>41022</v>
      </c>
      <c r="L371" s="22" t="n">
        <v>261.31</v>
      </c>
      <c r="M371" s="8" t="s">
        <v>73</v>
      </c>
      <c r="N371" s="4" t="n">
        <v>2</v>
      </c>
      <c r="O371" s="6" t="n">
        <f aca="false">IF(C371="롱",(J371-E371)/E371,(E371-J371)/E371)</f>
        <v>-0.0164525580347083</v>
      </c>
    </row>
    <row r="372" customFormat="false" ht="17.15" hidden="false" customHeight="false" outlineLevel="0" collapsed="false">
      <c r="A372" s="4" t="n">
        <v>1</v>
      </c>
      <c r="B372" s="4" t="s">
        <v>12</v>
      </c>
      <c r="C372" s="8" t="s">
        <v>72</v>
      </c>
      <c r="D372" s="21" t="n">
        <v>41031</v>
      </c>
      <c r="E372" s="22" t="n">
        <v>266.61</v>
      </c>
      <c r="F372" s="21" t="n">
        <v>41032</v>
      </c>
      <c r="G372" s="22" t="n">
        <v>266.05</v>
      </c>
      <c r="H372" s="22" t="n">
        <v>250.5</v>
      </c>
      <c r="I372" s="21" t="n">
        <v>41036</v>
      </c>
      <c r="J372" s="22" t="n">
        <v>259.73</v>
      </c>
      <c r="K372" s="21" t="n">
        <v>41037</v>
      </c>
      <c r="L372" s="22" t="n">
        <v>261.28</v>
      </c>
      <c r="M372" s="8" t="s">
        <v>73</v>
      </c>
      <c r="N372" s="4" t="n">
        <v>3</v>
      </c>
      <c r="O372" s="6" t="n">
        <f aca="false">IF(C372="롱",(J372-E372)/E372,(E372-J372)/E372)</f>
        <v>-0.0258054836652789</v>
      </c>
    </row>
    <row r="373" customFormat="false" ht="17.15" hidden="false" customHeight="false" outlineLevel="0" collapsed="false">
      <c r="A373" s="4" t="n">
        <v>5</v>
      </c>
      <c r="B373" s="4" t="s">
        <v>20</v>
      </c>
      <c r="C373" s="8" t="s">
        <v>72</v>
      </c>
      <c r="D373" s="21" t="n">
        <v>41031</v>
      </c>
      <c r="E373" s="22" t="n">
        <v>266.61</v>
      </c>
      <c r="F373" s="21" t="n">
        <v>41032</v>
      </c>
      <c r="G373" s="22" t="n">
        <v>266.05</v>
      </c>
      <c r="H373" s="22" t="n">
        <v>250.5</v>
      </c>
      <c r="I373" s="21" t="n">
        <v>41033</v>
      </c>
      <c r="J373" s="22" t="n">
        <v>264.4</v>
      </c>
      <c r="K373" s="21" t="n">
        <v>41036</v>
      </c>
      <c r="L373" s="22" t="n">
        <v>259.71</v>
      </c>
      <c r="M373" s="8" t="s">
        <v>73</v>
      </c>
      <c r="N373" s="4" t="n">
        <v>2</v>
      </c>
      <c r="O373" s="6" t="n">
        <f aca="false">IF(C373="롱",(J373-E373)/E373,(E373-J373)/E373)</f>
        <v>-0.0082892614680621</v>
      </c>
    </row>
    <row r="374" customFormat="false" ht="17.15" hidden="false" customHeight="false" outlineLevel="0" collapsed="false">
      <c r="A374" s="4" t="n">
        <v>6</v>
      </c>
      <c r="B374" s="4" t="s">
        <v>22</v>
      </c>
      <c r="C374" s="8" t="s">
        <v>72</v>
      </c>
      <c r="D374" s="21" t="n">
        <v>41031</v>
      </c>
      <c r="E374" s="22" t="n">
        <v>266.61</v>
      </c>
      <c r="F374" s="21" t="n">
        <v>41032</v>
      </c>
      <c r="G374" s="22" t="n">
        <v>266.05</v>
      </c>
      <c r="H374" s="22" t="n">
        <v>250.5</v>
      </c>
      <c r="I374" s="21" t="n">
        <v>41033</v>
      </c>
      <c r="J374" s="22" t="n">
        <v>264.4</v>
      </c>
      <c r="K374" s="21" t="n">
        <v>41036</v>
      </c>
      <c r="L374" s="22" t="n">
        <v>259.71</v>
      </c>
      <c r="M374" s="8" t="s">
        <v>73</v>
      </c>
      <c r="N374" s="4" t="n">
        <v>2</v>
      </c>
      <c r="O374" s="6" t="n">
        <f aca="false">IF(C374="롱",(J374-E374)/E374,(E374-J374)/E374)</f>
        <v>-0.0082892614680621</v>
      </c>
    </row>
    <row r="375" customFormat="false" ht="17.15" hidden="false" customHeight="false" outlineLevel="0" collapsed="false">
      <c r="A375" s="4" t="n">
        <v>4</v>
      </c>
      <c r="B375" s="4" t="s">
        <v>18</v>
      </c>
      <c r="C375" s="8" t="s">
        <v>72</v>
      </c>
      <c r="D375" s="21" t="n">
        <v>41033</v>
      </c>
      <c r="E375" s="22" t="n">
        <v>264.4</v>
      </c>
      <c r="F375" s="21" t="n">
        <v>41036</v>
      </c>
      <c r="G375" s="22" t="n">
        <v>259.71</v>
      </c>
      <c r="H375" s="22" t="n">
        <v>249.46</v>
      </c>
      <c r="I375" s="21" t="n">
        <v>41036</v>
      </c>
      <c r="J375" s="22" t="n">
        <v>259.73</v>
      </c>
      <c r="K375" s="21" t="n">
        <v>41037</v>
      </c>
      <c r="L375" s="22" t="n">
        <v>261.28</v>
      </c>
      <c r="M375" s="8" t="s">
        <v>73</v>
      </c>
      <c r="N375" s="4" t="n">
        <v>1</v>
      </c>
      <c r="O375" s="6" t="n">
        <f aca="false">IF(C375="롱",(J375-E375)/E375,(E375-J375)/E375)</f>
        <v>-0.017662632375189</v>
      </c>
    </row>
    <row r="376" customFormat="false" ht="17.15" hidden="false" customHeight="false" outlineLevel="0" collapsed="false">
      <c r="A376" s="4" t="n">
        <v>7</v>
      </c>
      <c r="B376" s="4" t="s">
        <v>24</v>
      </c>
      <c r="C376" s="8" t="s">
        <v>72</v>
      </c>
      <c r="D376" s="21" t="n">
        <v>41036</v>
      </c>
      <c r="E376" s="22" t="n">
        <v>259.73</v>
      </c>
      <c r="F376" s="21" t="n">
        <v>41037</v>
      </c>
      <c r="G376" s="22" t="n">
        <v>261.28</v>
      </c>
      <c r="H376" s="22" t="n">
        <v>244.68</v>
      </c>
      <c r="I376" s="21" t="n">
        <v>41038</v>
      </c>
      <c r="J376" s="22" t="n">
        <v>258.79</v>
      </c>
      <c r="K376" s="21" t="n">
        <v>41039</v>
      </c>
      <c r="L376" s="22" t="n">
        <v>258</v>
      </c>
      <c r="M376" s="8" t="s">
        <v>73</v>
      </c>
      <c r="N376" s="4" t="n">
        <v>2</v>
      </c>
      <c r="O376" s="6" t="n">
        <f aca="false">IF(C376="롱",(J376-E376)/E376,(E376-J376)/E376)</f>
        <v>-0.00361914295614676</v>
      </c>
    </row>
    <row r="377" customFormat="false" ht="17.15" hidden="false" customHeight="false" outlineLevel="0" collapsed="false">
      <c r="A377" s="4" t="n">
        <v>11</v>
      </c>
      <c r="B377" s="4" t="s">
        <v>32</v>
      </c>
      <c r="C377" s="8" t="s">
        <v>74</v>
      </c>
      <c r="D377" s="21" t="n">
        <v>41096</v>
      </c>
      <c r="E377" s="22" t="n">
        <v>245.07</v>
      </c>
      <c r="F377" s="21" t="n">
        <v>41099</v>
      </c>
      <c r="G377" s="22" t="n">
        <v>242.36</v>
      </c>
      <c r="H377" s="22" t="n">
        <v>262.96</v>
      </c>
      <c r="I377" s="21" t="n">
        <v>41117</v>
      </c>
      <c r="J377" s="22" t="n">
        <v>242.23</v>
      </c>
      <c r="K377" s="21" t="n">
        <v>41120</v>
      </c>
      <c r="L377" s="22" t="n">
        <v>244.8</v>
      </c>
      <c r="M377" s="8" t="s">
        <v>73</v>
      </c>
      <c r="N377" s="4" t="n">
        <v>15</v>
      </c>
      <c r="O377" s="6" t="n">
        <f aca="false">IF(C377="롱",(J377-E377)/E377,(E377-J377)/E377)</f>
        <v>0.0115885257273432</v>
      </c>
    </row>
    <row r="378" customFormat="false" ht="17.15" hidden="false" customHeight="false" outlineLevel="0" collapsed="false">
      <c r="A378" s="4" t="n">
        <v>9</v>
      </c>
      <c r="B378" s="4" t="s">
        <v>28</v>
      </c>
      <c r="C378" s="8" t="s">
        <v>72</v>
      </c>
      <c r="D378" s="21" t="n">
        <v>41102</v>
      </c>
      <c r="E378" s="22" t="n">
        <v>234.66</v>
      </c>
      <c r="F378" s="21" t="n">
        <v>41103</v>
      </c>
      <c r="G378" s="22" t="n">
        <v>235.49</v>
      </c>
      <c r="H378" s="22" t="n">
        <v>216.21</v>
      </c>
      <c r="I378" s="21" t="n">
        <v>41103</v>
      </c>
      <c r="J378" s="22" t="n">
        <v>238.77</v>
      </c>
      <c r="K378" s="21" t="n">
        <v>41106</v>
      </c>
      <c r="L378" s="22" t="n">
        <v>239.81</v>
      </c>
      <c r="M378" s="8" t="s">
        <v>73</v>
      </c>
      <c r="N378" s="4" t="n">
        <v>1</v>
      </c>
      <c r="O378" s="6" t="n">
        <f aca="false">IF(C378="롱",(J378-E378)/E378,(E378-J378)/E378)</f>
        <v>0.0175147021222194</v>
      </c>
    </row>
    <row r="379" customFormat="false" ht="17.15" hidden="false" customHeight="false" outlineLevel="0" collapsed="false">
      <c r="A379" s="4" t="n">
        <v>9</v>
      </c>
      <c r="B379" s="4" t="s">
        <v>28</v>
      </c>
      <c r="C379" s="8" t="s">
        <v>72</v>
      </c>
      <c r="D379" s="21" t="n">
        <v>41115</v>
      </c>
      <c r="E379" s="22" t="n">
        <v>233.49</v>
      </c>
      <c r="F379" s="21" t="n">
        <v>41116</v>
      </c>
      <c r="G379" s="22" t="n">
        <v>234.75</v>
      </c>
      <c r="H379" s="22" t="n">
        <v>213.9</v>
      </c>
      <c r="I379" s="21" t="n">
        <v>41117</v>
      </c>
      <c r="J379" s="22" t="n">
        <v>242.23</v>
      </c>
      <c r="K379" s="21" t="n">
        <v>41120</v>
      </c>
      <c r="L379" s="22" t="n">
        <v>244.8</v>
      </c>
      <c r="M379" s="8" t="s">
        <v>73</v>
      </c>
      <c r="N379" s="4" t="n">
        <v>2</v>
      </c>
      <c r="O379" s="6" t="n">
        <f aca="false">IF(C379="롱",(J379-E379)/E379,(E379-J379)/E379)</f>
        <v>0.0374320099361856</v>
      </c>
    </row>
    <row r="380" customFormat="false" ht="17.15" hidden="false" customHeight="false" outlineLevel="0" collapsed="false">
      <c r="A380" s="4" t="n">
        <v>2</v>
      </c>
      <c r="B380" s="4" t="s">
        <v>14</v>
      </c>
      <c r="C380" s="8" t="s">
        <v>72</v>
      </c>
      <c r="D380" s="21" t="n">
        <v>41157</v>
      </c>
      <c r="E380" s="22" t="n">
        <v>245.75</v>
      </c>
      <c r="F380" s="21" t="n">
        <v>41158</v>
      </c>
      <c r="G380" s="22" t="n">
        <v>246.79</v>
      </c>
      <c r="H380" s="22" t="n">
        <v>229.22</v>
      </c>
      <c r="I380" s="21" t="n">
        <v>41164</v>
      </c>
      <c r="J380" s="22" t="n">
        <v>256.95</v>
      </c>
      <c r="K380" s="21" t="n">
        <v>41165</v>
      </c>
      <c r="L380" s="22" t="n">
        <v>256.68</v>
      </c>
      <c r="M380" s="8" t="s">
        <v>73</v>
      </c>
      <c r="N380" s="4" t="n">
        <v>5</v>
      </c>
      <c r="O380" s="6" t="n">
        <f aca="false">IF(C380="롱",(J380-E380)/E380,(E380-J380)/E380)</f>
        <v>0.0455747711088504</v>
      </c>
    </row>
    <row r="381" customFormat="false" ht="17.15" hidden="false" customHeight="false" outlineLevel="0" collapsed="false">
      <c r="A381" s="4" t="n">
        <v>3</v>
      </c>
      <c r="B381" s="4" t="s">
        <v>16</v>
      </c>
      <c r="C381" s="8" t="s">
        <v>72</v>
      </c>
      <c r="D381" s="21" t="n">
        <v>41159</v>
      </c>
      <c r="E381" s="22" t="n">
        <v>254.02</v>
      </c>
      <c r="F381" s="21" t="n">
        <v>41162</v>
      </c>
      <c r="G381" s="22" t="n">
        <v>254.8</v>
      </c>
      <c r="H381" s="22" t="n">
        <v>237.91</v>
      </c>
      <c r="I381" s="21" t="n">
        <v>41192</v>
      </c>
      <c r="J381" s="22" t="n">
        <v>255.15</v>
      </c>
      <c r="K381" s="21" t="n">
        <v>41193</v>
      </c>
      <c r="L381" s="22" t="n">
        <v>253.14</v>
      </c>
      <c r="M381" s="8" t="s">
        <v>73</v>
      </c>
      <c r="N381" s="4" t="n">
        <v>21</v>
      </c>
      <c r="O381" s="6" t="n">
        <f aca="false">IF(C381="롱",(J381-E381)/E381,(E381-J381)/E381)</f>
        <v>0.00444846862451774</v>
      </c>
    </row>
    <row r="382" customFormat="false" ht="17.15" hidden="false" customHeight="false" outlineLevel="0" collapsed="false">
      <c r="A382" s="4" t="n">
        <v>5</v>
      </c>
      <c r="B382" s="4" t="s">
        <v>20</v>
      </c>
      <c r="C382" s="8" t="s">
        <v>72</v>
      </c>
      <c r="D382" s="21" t="n">
        <v>41159</v>
      </c>
      <c r="E382" s="22" t="n">
        <v>254.02</v>
      </c>
      <c r="F382" s="21" t="n">
        <v>41162</v>
      </c>
      <c r="G382" s="22" t="n">
        <v>254.8</v>
      </c>
      <c r="H382" s="22" t="n">
        <v>237.91</v>
      </c>
      <c r="I382" s="21" t="n">
        <v>41193</v>
      </c>
      <c r="J382" s="22" t="n">
        <v>252.84</v>
      </c>
      <c r="K382" s="21" t="n">
        <v>41194</v>
      </c>
      <c r="L382" s="22" t="n">
        <v>253.5</v>
      </c>
      <c r="M382" s="8" t="s">
        <v>73</v>
      </c>
      <c r="N382" s="4" t="n">
        <v>22</v>
      </c>
      <c r="O382" s="6" t="n">
        <f aca="false">IF(C382="롱",(J382-E382)/E382,(E382-J382)/E382)</f>
        <v>-0.00464530351940795</v>
      </c>
    </row>
    <row r="383" customFormat="false" ht="17.15" hidden="false" customHeight="false" outlineLevel="0" collapsed="false">
      <c r="A383" s="4" t="n">
        <v>1</v>
      </c>
      <c r="B383" s="4" t="s">
        <v>12</v>
      </c>
      <c r="C383" s="8" t="s">
        <v>72</v>
      </c>
      <c r="D383" s="21" t="n">
        <v>41165</v>
      </c>
      <c r="E383" s="22" t="n">
        <v>256.87</v>
      </c>
      <c r="F383" s="21" t="n">
        <v>41166</v>
      </c>
      <c r="G383" s="22" t="n">
        <v>263.14</v>
      </c>
      <c r="H383" s="22" t="n">
        <v>240.49</v>
      </c>
      <c r="I383" s="21" t="n">
        <v>41180</v>
      </c>
      <c r="J383" s="22" t="n">
        <v>262.49</v>
      </c>
      <c r="K383" s="21" t="n">
        <v>41184</v>
      </c>
      <c r="L383" s="22" t="n">
        <v>262.82</v>
      </c>
      <c r="M383" s="8" t="s">
        <v>73</v>
      </c>
      <c r="N383" s="4" t="n">
        <v>11</v>
      </c>
      <c r="O383" s="6" t="n">
        <f aca="false">IF(C383="롱",(J383-E383)/E383,(E383-J383)/E383)</f>
        <v>0.0218787713629463</v>
      </c>
    </row>
    <row r="384" customFormat="false" ht="17.15" hidden="false" customHeight="false" outlineLevel="0" collapsed="false">
      <c r="A384" s="4" t="n">
        <v>4</v>
      </c>
      <c r="B384" s="4" t="s">
        <v>18</v>
      </c>
      <c r="C384" s="8" t="s">
        <v>72</v>
      </c>
      <c r="D384" s="21" t="n">
        <v>41165</v>
      </c>
      <c r="E384" s="22" t="n">
        <v>256.87</v>
      </c>
      <c r="F384" s="21" t="n">
        <v>41166</v>
      </c>
      <c r="G384" s="22" t="n">
        <v>263.14</v>
      </c>
      <c r="H384" s="22" t="n">
        <v>240.49</v>
      </c>
      <c r="I384" s="21" t="n">
        <v>41192</v>
      </c>
      <c r="J384" s="22" t="n">
        <v>255.15</v>
      </c>
      <c r="K384" s="21" t="n">
        <v>41193</v>
      </c>
      <c r="L384" s="22" t="n">
        <v>253.14</v>
      </c>
      <c r="M384" s="8" t="s">
        <v>73</v>
      </c>
      <c r="N384" s="4" t="n">
        <v>17</v>
      </c>
      <c r="O384" s="6" t="n">
        <f aca="false">IF(C384="롱",(J384-E384)/E384,(E384-J384)/E384)</f>
        <v>-0.00669599408260988</v>
      </c>
    </row>
    <row r="385" customFormat="false" ht="17.15" hidden="false" customHeight="false" outlineLevel="0" collapsed="false">
      <c r="A385" s="4" t="n">
        <v>5</v>
      </c>
      <c r="B385" s="4" t="s">
        <v>20</v>
      </c>
      <c r="C385" s="8" t="s">
        <v>72</v>
      </c>
      <c r="D385" s="21" t="n">
        <v>41198</v>
      </c>
      <c r="E385" s="22" t="n">
        <v>253.98</v>
      </c>
      <c r="F385" s="21" t="n">
        <v>41199</v>
      </c>
      <c r="G385" s="22" t="n">
        <v>255.98</v>
      </c>
      <c r="H385" s="22" t="n">
        <v>240.81</v>
      </c>
      <c r="I385" s="21" t="n">
        <v>41204</v>
      </c>
      <c r="J385" s="22" t="n">
        <v>254.22</v>
      </c>
      <c r="K385" s="21" t="n">
        <v>41205</v>
      </c>
      <c r="L385" s="22" t="n">
        <v>254.41</v>
      </c>
      <c r="M385" s="8" t="s">
        <v>73</v>
      </c>
      <c r="N385" s="4" t="n">
        <v>4</v>
      </c>
      <c r="O385" s="6" t="n">
        <f aca="false">IF(C385="롱",(J385-E385)/E385,(E385-J385)/E385)</f>
        <v>0.000944956295771357</v>
      </c>
    </row>
    <row r="386" customFormat="false" ht="17.15" hidden="false" customHeight="false" outlineLevel="0" collapsed="false">
      <c r="A386" s="4" t="n">
        <v>3</v>
      </c>
      <c r="B386" s="4" t="s">
        <v>16</v>
      </c>
      <c r="C386" s="8" t="s">
        <v>72</v>
      </c>
      <c r="D386" s="21" t="n">
        <v>41200</v>
      </c>
      <c r="E386" s="22" t="n">
        <v>257.27</v>
      </c>
      <c r="F386" s="21" t="n">
        <v>41201</v>
      </c>
      <c r="G386" s="22" t="n">
        <v>256.45</v>
      </c>
      <c r="H386" s="22" t="n">
        <v>243.72</v>
      </c>
      <c r="I386" s="21" t="n">
        <v>41204</v>
      </c>
      <c r="J386" s="22" t="n">
        <v>254.22</v>
      </c>
      <c r="K386" s="21" t="n">
        <v>41205</v>
      </c>
      <c r="L386" s="22" t="n">
        <v>254.41</v>
      </c>
      <c r="M386" s="8" t="s">
        <v>73</v>
      </c>
      <c r="N386" s="4" t="n">
        <v>2</v>
      </c>
      <c r="O386" s="6" t="n">
        <f aca="false">IF(C386="롱",(J386-E386)/E386,(E386-J386)/E386)</f>
        <v>-0.011855249348933</v>
      </c>
    </row>
    <row r="387" customFormat="false" ht="17.15" hidden="false" customHeight="false" outlineLevel="0" collapsed="false">
      <c r="A387" s="4" t="n">
        <v>2</v>
      </c>
      <c r="B387" s="4" t="s">
        <v>14</v>
      </c>
      <c r="C387" s="8" t="s">
        <v>72</v>
      </c>
      <c r="D387" s="21" t="n">
        <v>41206</v>
      </c>
      <c r="E387" s="22" t="n">
        <v>249.8</v>
      </c>
      <c r="F387" s="21" t="n">
        <v>41207</v>
      </c>
      <c r="G387" s="22" t="n">
        <v>248.68</v>
      </c>
      <c r="H387" s="22" t="n">
        <v>235.74</v>
      </c>
      <c r="I387" s="21" t="n">
        <v>41220</v>
      </c>
      <c r="J387" s="22" t="n">
        <v>253.7</v>
      </c>
      <c r="K387" s="21" t="n">
        <v>41221</v>
      </c>
      <c r="L387" s="22" t="n">
        <v>250.33</v>
      </c>
      <c r="M387" s="8" t="s">
        <v>73</v>
      </c>
      <c r="N387" s="4" t="n">
        <v>10</v>
      </c>
      <c r="O387" s="6" t="n">
        <f aca="false">IF(C387="롱",(J387-E387)/E387,(E387-J387)/E387)</f>
        <v>0.0156124899919935</v>
      </c>
    </row>
    <row r="388" customFormat="false" ht="17.15" hidden="false" customHeight="false" outlineLevel="0" collapsed="false">
      <c r="A388" s="4" t="n">
        <v>1</v>
      </c>
      <c r="B388" s="4" t="s">
        <v>12</v>
      </c>
      <c r="C388" s="8" t="s">
        <v>72</v>
      </c>
      <c r="D388" s="21" t="n">
        <v>41219</v>
      </c>
      <c r="E388" s="22" t="n">
        <v>252.3</v>
      </c>
      <c r="F388" s="21" t="n">
        <v>41220</v>
      </c>
      <c r="G388" s="22" t="n">
        <v>253.01</v>
      </c>
      <c r="H388" s="22" t="n">
        <v>236.45</v>
      </c>
      <c r="I388" s="21" t="n">
        <v>41226</v>
      </c>
      <c r="J388" s="22" t="n">
        <v>246.9</v>
      </c>
      <c r="K388" s="21" t="n">
        <v>41227</v>
      </c>
      <c r="L388" s="22" t="n">
        <v>247.17</v>
      </c>
      <c r="M388" s="8" t="s">
        <v>73</v>
      </c>
      <c r="N388" s="4" t="n">
        <v>5</v>
      </c>
      <c r="O388" s="6" t="n">
        <f aca="false">IF(C388="롱",(J388-E388)/E388,(E388-J388)/E388)</f>
        <v>-0.0214030915576695</v>
      </c>
    </row>
    <row r="389" customFormat="false" ht="17.15" hidden="false" customHeight="false" outlineLevel="0" collapsed="false">
      <c r="A389" s="4" t="n">
        <v>2</v>
      </c>
      <c r="B389" s="4" t="s">
        <v>14</v>
      </c>
      <c r="C389" s="8" t="s">
        <v>72</v>
      </c>
      <c r="D389" s="21" t="n">
        <v>41228</v>
      </c>
      <c r="E389" s="22" t="n">
        <v>244.64</v>
      </c>
      <c r="F389" s="21" t="n">
        <v>41229</v>
      </c>
      <c r="G389" s="22" t="n">
        <v>243.88</v>
      </c>
      <c r="H389" s="22" t="n">
        <v>228.22</v>
      </c>
      <c r="I389" s="21" t="n">
        <v>41236</v>
      </c>
      <c r="J389" s="22" t="n">
        <v>251.44</v>
      </c>
      <c r="K389" s="21" t="n">
        <v>41239</v>
      </c>
      <c r="L389" s="22" t="n">
        <v>252.26</v>
      </c>
      <c r="M389" s="8" t="s">
        <v>73</v>
      </c>
      <c r="N389" s="4" t="n">
        <v>6</v>
      </c>
      <c r="O389" s="6" t="n">
        <f aca="false">IF(C389="롱",(J389-E389)/E389,(E389-J389)/E389)</f>
        <v>0.0277959450621322</v>
      </c>
    </row>
    <row r="390" customFormat="false" ht="17.15" hidden="false" customHeight="false" outlineLevel="0" collapsed="false">
      <c r="A390" s="4" t="n">
        <v>6</v>
      </c>
      <c r="B390" s="4" t="s">
        <v>22</v>
      </c>
      <c r="C390" s="8" t="s">
        <v>72</v>
      </c>
      <c r="D390" s="21" t="n">
        <v>41256</v>
      </c>
      <c r="E390" s="22" t="n">
        <v>265.79</v>
      </c>
      <c r="F390" s="21" t="n">
        <v>41257</v>
      </c>
      <c r="G390" s="22" t="n">
        <v>263.76</v>
      </c>
      <c r="H390" s="22" t="n">
        <v>253.61</v>
      </c>
      <c r="I390" s="21" t="n">
        <v>41260</v>
      </c>
      <c r="J390" s="22" t="n">
        <v>262.76</v>
      </c>
      <c r="K390" s="21" t="n">
        <v>41261</v>
      </c>
      <c r="L390" s="22" t="n">
        <v>263.76</v>
      </c>
      <c r="M390" s="8" t="s">
        <v>73</v>
      </c>
      <c r="N390" s="4" t="n">
        <v>2</v>
      </c>
      <c r="O390" s="6" t="n">
        <f aca="false">IF(C390="롱",(J390-E390)/E390,(E390-J390)/E390)</f>
        <v>-0.0113999774257874</v>
      </c>
    </row>
    <row r="391" customFormat="false" ht="17.15" hidden="false" customHeight="false" outlineLevel="0" collapsed="false">
      <c r="A391" s="4" t="n">
        <v>1</v>
      </c>
      <c r="B391" s="4" t="s">
        <v>12</v>
      </c>
      <c r="C391" s="8" t="s">
        <v>72</v>
      </c>
      <c r="D391" s="21" t="n">
        <v>41276</v>
      </c>
      <c r="E391" s="22" t="n">
        <v>269.16</v>
      </c>
      <c r="F391" s="21" t="n">
        <v>41277</v>
      </c>
      <c r="G391" s="22" t="n">
        <v>270.54</v>
      </c>
      <c r="H391" s="22" t="n">
        <v>256.69</v>
      </c>
      <c r="I391" s="21" t="n">
        <v>41282</v>
      </c>
      <c r="J391" s="22" t="n">
        <v>263.95</v>
      </c>
      <c r="K391" s="21" t="n">
        <v>41283</v>
      </c>
      <c r="L391" s="22" t="n">
        <v>264.48</v>
      </c>
      <c r="M391" s="8" t="s">
        <v>73</v>
      </c>
      <c r="N391" s="4" t="n">
        <v>4</v>
      </c>
      <c r="O391" s="6" t="n">
        <f aca="false">IF(C391="롱",(J391-E391)/E391,(E391-J391)/E391)</f>
        <v>-0.01935651657007</v>
      </c>
    </row>
    <row r="392" customFormat="false" ht="17.15" hidden="false" customHeight="false" outlineLevel="0" collapsed="false">
      <c r="A392" s="4" t="n">
        <v>6</v>
      </c>
      <c r="B392" s="4" t="s">
        <v>22</v>
      </c>
      <c r="C392" s="8" t="s">
        <v>72</v>
      </c>
      <c r="D392" s="21" t="n">
        <v>41276</v>
      </c>
      <c r="E392" s="22" t="n">
        <v>269.16</v>
      </c>
      <c r="F392" s="21" t="n">
        <v>41277</v>
      </c>
      <c r="G392" s="22" t="n">
        <v>270.54</v>
      </c>
      <c r="H392" s="22" t="n">
        <v>256.69</v>
      </c>
      <c r="I392" s="21" t="n">
        <v>41281</v>
      </c>
      <c r="J392" s="22" t="n">
        <v>265.97</v>
      </c>
      <c r="K392" s="21" t="n">
        <v>41282</v>
      </c>
      <c r="L392" s="22" t="n">
        <v>264.81</v>
      </c>
      <c r="M392" s="8" t="s">
        <v>73</v>
      </c>
      <c r="N392" s="4" t="n">
        <v>3</v>
      </c>
      <c r="O392" s="6" t="n">
        <f aca="false">IF(C392="롱",(J392-E392)/E392,(E392-J392)/E392)</f>
        <v>-0.0118516867290831</v>
      </c>
    </row>
    <row r="393" customFormat="false" ht="17.15" hidden="false" customHeight="false" outlineLevel="0" collapsed="false">
      <c r="A393" s="4" t="n">
        <v>3</v>
      </c>
      <c r="B393" s="4" t="s">
        <v>16</v>
      </c>
      <c r="C393" s="8" t="s">
        <v>72</v>
      </c>
      <c r="D393" s="21" t="n">
        <v>41296</v>
      </c>
      <c r="E393" s="22" t="n">
        <v>262.91</v>
      </c>
      <c r="F393" s="21" t="n">
        <v>41297</v>
      </c>
      <c r="G393" s="22" t="n">
        <v>264.04</v>
      </c>
      <c r="H393" s="22" t="n">
        <v>247.18</v>
      </c>
      <c r="I393" s="21" t="n">
        <v>41298</v>
      </c>
      <c r="J393" s="22" t="n">
        <v>258.74</v>
      </c>
      <c r="K393" s="21" t="n">
        <v>41299</v>
      </c>
      <c r="L393" s="22" t="n">
        <v>258.94</v>
      </c>
      <c r="M393" s="8" t="s">
        <v>73</v>
      </c>
      <c r="N393" s="4" t="n">
        <v>2</v>
      </c>
      <c r="O393" s="6" t="n">
        <f aca="false">IF(C393="롱",(J393-E393)/E393,(E393-J393)/E393)</f>
        <v>-0.0158609410064281</v>
      </c>
    </row>
    <row r="394" customFormat="false" ht="17.15" hidden="false" customHeight="false" outlineLevel="0" collapsed="false">
      <c r="A394" s="4" t="n">
        <v>2</v>
      </c>
      <c r="B394" s="4" t="s">
        <v>14</v>
      </c>
      <c r="C394" s="8" t="s">
        <v>72</v>
      </c>
      <c r="D394" s="21" t="n">
        <v>41299</v>
      </c>
      <c r="E394" s="22" t="n">
        <v>256.06</v>
      </c>
      <c r="F394" s="21" t="n">
        <v>41302</v>
      </c>
      <c r="G394" s="22" t="n">
        <v>255.01</v>
      </c>
      <c r="H394" s="22" t="n">
        <v>239.7</v>
      </c>
      <c r="I394" s="21" t="n">
        <v>41318</v>
      </c>
      <c r="J394" s="22" t="n">
        <v>260.92</v>
      </c>
      <c r="K394" s="21" t="n">
        <v>41319</v>
      </c>
      <c r="L394" s="22" t="n">
        <v>261.14</v>
      </c>
      <c r="M394" s="8" t="s">
        <v>73</v>
      </c>
      <c r="N394" s="4" t="n">
        <v>12</v>
      </c>
      <c r="O394" s="6" t="n">
        <f aca="false">IF(C394="롱",(J394-E394)/E394,(E394-J394)/E394)</f>
        <v>0.0189799265797079</v>
      </c>
    </row>
    <row r="395" customFormat="false" ht="17.15" hidden="false" customHeight="false" outlineLevel="0" collapsed="false">
      <c r="A395" s="4" t="n">
        <v>5</v>
      </c>
      <c r="B395" s="4" t="s">
        <v>20</v>
      </c>
      <c r="C395" s="8" t="s">
        <v>72</v>
      </c>
      <c r="D395" s="21" t="n">
        <v>41303</v>
      </c>
      <c r="E395" s="22" t="n">
        <v>257.22</v>
      </c>
      <c r="F395" s="21" t="n">
        <v>41304</v>
      </c>
      <c r="G395" s="22" t="n">
        <v>258.08</v>
      </c>
      <c r="H395" s="22" t="n">
        <v>240.71</v>
      </c>
      <c r="I395" s="21" t="n">
        <v>41309</v>
      </c>
      <c r="J395" s="22" t="n">
        <v>256.89</v>
      </c>
      <c r="K395" s="21" t="n">
        <v>41310</v>
      </c>
      <c r="L395" s="22" t="n">
        <v>254.49</v>
      </c>
      <c r="M395" s="8" t="s">
        <v>73</v>
      </c>
      <c r="N395" s="4" t="n">
        <v>4</v>
      </c>
      <c r="O395" s="6" t="n">
        <f aca="false">IF(C395="롱",(J395-E395)/E395,(E395-J395)/E395)</f>
        <v>-0.00128294844879885</v>
      </c>
    </row>
    <row r="396" customFormat="false" ht="17.15" hidden="false" customHeight="false" outlineLevel="0" collapsed="false">
      <c r="A396" s="4" t="n">
        <v>1</v>
      </c>
      <c r="B396" s="4" t="s">
        <v>12</v>
      </c>
      <c r="C396" s="8" t="s">
        <v>72</v>
      </c>
      <c r="D396" s="21" t="n">
        <v>41318</v>
      </c>
      <c r="E396" s="22" t="n">
        <v>260.92</v>
      </c>
      <c r="F396" s="21" t="n">
        <v>41319</v>
      </c>
      <c r="G396" s="22" t="n">
        <v>261.14</v>
      </c>
      <c r="H396" s="22" t="n">
        <v>246.16</v>
      </c>
      <c r="I396" s="21" t="n">
        <v>41344</v>
      </c>
      <c r="J396" s="22" t="n">
        <v>264.15</v>
      </c>
      <c r="K396" s="21" t="n">
        <v>41345</v>
      </c>
      <c r="L396" s="22" t="n">
        <v>264.66</v>
      </c>
      <c r="M396" s="8" t="s">
        <v>73</v>
      </c>
      <c r="N396" s="4" t="n">
        <v>17</v>
      </c>
      <c r="O396" s="6" t="n">
        <f aca="false">IF(C396="롱",(J396-E396)/E396,(E396-J396)/E396)</f>
        <v>0.0123792733404874</v>
      </c>
    </row>
    <row r="397" customFormat="false" ht="17.15" hidden="false" customHeight="false" outlineLevel="0" collapsed="false">
      <c r="A397" s="4" t="n">
        <v>5</v>
      </c>
      <c r="B397" s="4" t="s">
        <v>20</v>
      </c>
      <c r="C397" s="8" t="s">
        <v>72</v>
      </c>
      <c r="D397" s="21" t="n">
        <v>41318</v>
      </c>
      <c r="E397" s="22" t="n">
        <v>260.92</v>
      </c>
      <c r="F397" s="21" t="n">
        <v>41319</v>
      </c>
      <c r="G397" s="22" t="n">
        <v>261.14</v>
      </c>
      <c r="H397" s="22" t="n">
        <v>246.16</v>
      </c>
      <c r="I397" s="21" t="n">
        <v>41348</v>
      </c>
      <c r="J397" s="22" t="n">
        <v>260.84</v>
      </c>
      <c r="K397" s="21" t="n">
        <v>41351</v>
      </c>
      <c r="L397" s="22" t="n">
        <v>259.03</v>
      </c>
      <c r="M397" s="8" t="s">
        <v>73</v>
      </c>
      <c r="N397" s="4" t="n">
        <v>21</v>
      </c>
      <c r="O397" s="6" t="n">
        <f aca="false">IF(C397="롱",(J397-E397)/E397,(E397-J397)/E397)</f>
        <v>-0.000306607389238238</v>
      </c>
    </row>
    <row r="398" customFormat="false" ht="17.15" hidden="false" customHeight="false" outlineLevel="0" collapsed="false">
      <c r="A398" s="4" t="n">
        <v>4</v>
      </c>
      <c r="B398" s="4" t="s">
        <v>18</v>
      </c>
      <c r="C398" s="8" t="s">
        <v>72</v>
      </c>
      <c r="D398" s="21" t="n">
        <v>41320</v>
      </c>
      <c r="E398" s="22" t="n">
        <v>261.61</v>
      </c>
      <c r="F398" s="21" t="n">
        <v>41323</v>
      </c>
      <c r="G398" s="22" t="n">
        <v>261.3</v>
      </c>
      <c r="H398" s="22" t="n">
        <v>247.84</v>
      </c>
      <c r="I398" s="21" t="n">
        <v>41346</v>
      </c>
      <c r="J398" s="22" t="n">
        <v>263.33</v>
      </c>
      <c r="K398" s="21" t="n">
        <v>41347</v>
      </c>
      <c r="L398" s="22" t="n">
        <v>263.41</v>
      </c>
      <c r="M398" s="8" t="s">
        <v>73</v>
      </c>
      <c r="N398" s="4" t="n">
        <v>17</v>
      </c>
      <c r="O398" s="6" t="n">
        <f aca="false">IF(C398="롱",(J398-E398)/E398,(E398-J398)/E398)</f>
        <v>0.00657467222200975</v>
      </c>
    </row>
    <row r="399" customFormat="false" ht="17.15" hidden="false" customHeight="false" outlineLevel="0" collapsed="false">
      <c r="A399" s="4" t="n">
        <v>6</v>
      </c>
      <c r="B399" s="4" t="s">
        <v>22</v>
      </c>
      <c r="C399" s="8" t="s">
        <v>72</v>
      </c>
      <c r="D399" s="21" t="n">
        <v>41320</v>
      </c>
      <c r="E399" s="22" t="n">
        <v>261.61</v>
      </c>
      <c r="F399" s="21" t="n">
        <v>41323</v>
      </c>
      <c r="G399" s="22" t="n">
        <v>261.3</v>
      </c>
      <c r="H399" s="22" t="n">
        <v>247.84</v>
      </c>
      <c r="I399" s="21" t="n">
        <v>41330</v>
      </c>
      <c r="J399" s="22" t="n">
        <v>266.01</v>
      </c>
      <c r="K399" s="21" t="n">
        <v>41331</v>
      </c>
      <c r="L399" s="22" t="n">
        <v>263.76</v>
      </c>
      <c r="M399" s="8" t="s">
        <v>73</v>
      </c>
      <c r="N399" s="4" t="n">
        <v>6</v>
      </c>
      <c r="O399" s="6" t="n">
        <f aca="false">IF(C399="롱",(J399-E399)/E399,(E399-J399)/E399)</f>
        <v>0.0168189289400251</v>
      </c>
    </row>
    <row r="400" customFormat="false" ht="17.15" hidden="false" customHeight="false" outlineLevel="0" collapsed="false">
      <c r="A400" s="4" t="n">
        <v>3</v>
      </c>
      <c r="B400" s="4" t="s">
        <v>16</v>
      </c>
      <c r="C400" s="8" t="s">
        <v>72</v>
      </c>
      <c r="D400" s="21" t="n">
        <v>41347</v>
      </c>
      <c r="E400" s="22" t="n">
        <v>263.37</v>
      </c>
      <c r="F400" s="21" t="n">
        <v>41348</v>
      </c>
      <c r="G400" s="22" t="n">
        <v>264.44</v>
      </c>
      <c r="H400" s="22" t="n">
        <v>250.12</v>
      </c>
      <c r="I400" s="21" t="n">
        <v>41348</v>
      </c>
      <c r="J400" s="22" t="n">
        <v>260.84</v>
      </c>
      <c r="K400" s="21" t="n">
        <v>41351</v>
      </c>
      <c r="L400" s="22" t="n">
        <v>259.03</v>
      </c>
      <c r="M400" s="8" t="s">
        <v>73</v>
      </c>
      <c r="N400" s="4" t="n">
        <v>1</v>
      </c>
      <c r="O400" s="6" t="n">
        <f aca="false">IF(C400="롱",(J400-E400)/E400,(E400-J400)/E400)</f>
        <v>-0.00960625735657072</v>
      </c>
    </row>
    <row r="401" customFormat="false" ht="17.15" hidden="false" customHeight="false" outlineLevel="0" collapsed="false">
      <c r="A401" s="4" t="n">
        <v>7</v>
      </c>
      <c r="B401" s="4" t="s">
        <v>24</v>
      </c>
      <c r="C401" s="8" t="s">
        <v>72</v>
      </c>
      <c r="D401" s="21" t="n">
        <v>41355</v>
      </c>
      <c r="E401" s="22" t="n">
        <v>255.33</v>
      </c>
      <c r="F401" s="21" t="n">
        <v>41358</v>
      </c>
      <c r="G401" s="22" t="n">
        <v>258.18</v>
      </c>
      <c r="H401" s="22" t="n">
        <v>241.52</v>
      </c>
      <c r="I401" s="21" t="n">
        <v>41369</v>
      </c>
      <c r="J401" s="22" t="n">
        <v>252.77</v>
      </c>
      <c r="K401" s="21" t="n">
        <v>41372</v>
      </c>
      <c r="L401" s="22" t="n">
        <v>252.85</v>
      </c>
      <c r="M401" s="8" t="s">
        <v>73</v>
      </c>
      <c r="N401" s="4" t="n">
        <v>10</v>
      </c>
      <c r="O401" s="6" t="n">
        <f aca="false">IF(C401="롱",(J401-E401)/E401,(E401-J401)/E401)</f>
        <v>-0.0100262405514432</v>
      </c>
    </row>
    <row r="402" customFormat="false" ht="17.15" hidden="false" customHeight="false" outlineLevel="0" collapsed="false">
      <c r="A402" s="4" t="n">
        <v>3</v>
      </c>
      <c r="B402" s="4" t="s">
        <v>16</v>
      </c>
      <c r="C402" s="8" t="s">
        <v>72</v>
      </c>
      <c r="D402" s="21" t="n">
        <v>41360</v>
      </c>
      <c r="E402" s="22" t="n">
        <v>261.86</v>
      </c>
      <c r="F402" s="21" t="n">
        <v>41361</v>
      </c>
      <c r="G402" s="22" t="n">
        <v>261.44</v>
      </c>
      <c r="H402" s="22" t="n">
        <v>247.32</v>
      </c>
      <c r="I402" s="21" t="n">
        <v>41368</v>
      </c>
      <c r="J402" s="22" t="n">
        <v>257.05</v>
      </c>
      <c r="K402" s="21" t="n">
        <v>41369</v>
      </c>
      <c r="L402" s="22" t="n">
        <v>255.4</v>
      </c>
      <c r="M402" s="8" t="s">
        <v>73</v>
      </c>
      <c r="N402" s="4" t="n">
        <v>6</v>
      </c>
      <c r="O402" s="6" t="n">
        <f aca="false">IF(C402="롱",(J402-E402)/E402,(E402-J402)/E402)</f>
        <v>-0.0183685939051402</v>
      </c>
    </row>
    <row r="403" customFormat="false" ht="17.15" hidden="false" customHeight="false" outlineLevel="0" collapsed="false">
      <c r="A403" s="4" t="n">
        <v>5</v>
      </c>
      <c r="B403" s="4" t="s">
        <v>20</v>
      </c>
      <c r="C403" s="8" t="s">
        <v>72</v>
      </c>
      <c r="D403" s="21" t="n">
        <v>41360</v>
      </c>
      <c r="E403" s="22" t="n">
        <v>261.86</v>
      </c>
      <c r="F403" s="21" t="n">
        <v>41361</v>
      </c>
      <c r="G403" s="22" t="n">
        <v>261.44</v>
      </c>
      <c r="H403" s="22" t="n">
        <v>247.32</v>
      </c>
      <c r="I403" s="21" t="n">
        <v>41366</v>
      </c>
      <c r="J403" s="22" t="n">
        <v>260.79</v>
      </c>
      <c r="K403" s="21" t="n">
        <v>41367</v>
      </c>
      <c r="L403" s="22" t="n">
        <v>261.32</v>
      </c>
      <c r="M403" s="8" t="s">
        <v>73</v>
      </c>
      <c r="N403" s="4" t="n">
        <v>4</v>
      </c>
      <c r="O403" s="6" t="n">
        <f aca="false">IF(C403="롱",(J403-E403)/E403,(E403-J403)/E403)</f>
        <v>-0.00408615290613302</v>
      </c>
    </row>
    <row r="404" customFormat="false" ht="17.15" hidden="false" customHeight="false" outlineLevel="0" collapsed="false">
      <c r="A404" s="4" t="n">
        <v>1</v>
      </c>
      <c r="B404" s="4" t="s">
        <v>12</v>
      </c>
      <c r="C404" s="8" t="s">
        <v>72</v>
      </c>
      <c r="D404" s="21" t="n">
        <v>41362</v>
      </c>
      <c r="E404" s="22" t="n">
        <v>263.39</v>
      </c>
      <c r="F404" s="21" t="n">
        <v>41365</v>
      </c>
      <c r="G404" s="22" t="n">
        <v>264.16</v>
      </c>
      <c r="H404" s="22" t="n">
        <v>249.34</v>
      </c>
      <c r="I404" s="21" t="n">
        <v>41368</v>
      </c>
      <c r="J404" s="22" t="n">
        <v>257.05</v>
      </c>
      <c r="K404" s="21" t="n">
        <v>41369</v>
      </c>
      <c r="L404" s="22" t="n">
        <v>255.4</v>
      </c>
      <c r="M404" s="8" t="s">
        <v>73</v>
      </c>
      <c r="N404" s="4" t="n">
        <v>4</v>
      </c>
      <c r="O404" s="6" t="n">
        <f aca="false">IF(C404="롱",(J404-E404)/E404,(E404-J404)/E404)</f>
        <v>-0.0240707695812293</v>
      </c>
    </row>
    <row r="405" customFormat="false" ht="17.15" hidden="false" customHeight="false" outlineLevel="0" collapsed="false">
      <c r="A405" s="4" t="n">
        <v>4</v>
      </c>
      <c r="B405" s="4" t="s">
        <v>18</v>
      </c>
      <c r="C405" s="8" t="s">
        <v>72</v>
      </c>
      <c r="D405" s="21" t="n">
        <v>41365</v>
      </c>
      <c r="E405" s="22" t="n">
        <v>262.27</v>
      </c>
      <c r="F405" s="21" t="n">
        <v>41366</v>
      </c>
      <c r="G405" s="22" t="n">
        <v>262.37</v>
      </c>
      <c r="H405" s="22" t="n">
        <v>248.39</v>
      </c>
      <c r="I405" s="21" t="n">
        <v>41368</v>
      </c>
      <c r="J405" s="22" t="n">
        <v>257.05</v>
      </c>
      <c r="K405" s="21" t="n">
        <v>41369</v>
      </c>
      <c r="L405" s="22" t="n">
        <v>255.4</v>
      </c>
      <c r="M405" s="8" t="s">
        <v>73</v>
      </c>
      <c r="N405" s="4" t="n">
        <v>3</v>
      </c>
      <c r="O405" s="6" t="n">
        <f aca="false">IF(C405="롱",(J405-E405)/E405,(E405-J405)/E405)</f>
        <v>-0.0199031532390284</v>
      </c>
    </row>
    <row r="406" customFormat="false" ht="17.15" hidden="false" customHeight="false" outlineLevel="0" collapsed="false">
      <c r="A406" s="4" t="n">
        <v>10</v>
      </c>
      <c r="B406" s="4" t="s">
        <v>30</v>
      </c>
      <c r="C406" s="8" t="s">
        <v>72</v>
      </c>
      <c r="D406" s="21" t="n">
        <v>41407</v>
      </c>
      <c r="E406" s="22" t="n">
        <v>253.29</v>
      </c>
      <c r="F406" s="21" t="n">
        <v>41408</v>
      </c>
      <c r="G406" s="22" t="n">
        <v>254.09</v>
      </c>
      <c r="H406" s="22" t="n">
        <v>238.4</v>
      </c>
      <c r="I406" s="21" t="n">
        <v>41430</v>
      </c>
      <c r="J406" s="22" t="n">
        <v>256.51</v>
      </c>
      <c r="K406" s="21" t="n">
        <v>41432</v>
      </c>
      <c r="L406" s="22" t="n">
        <v>255.51</v>
      </c>
      <c r="M406" s="8" t="s">
        <v>73</v>
      </c>
      <c r="N406" s="4" t="n">
        <v>16</v>
      </c>
      <c r="O406" s="6" t="n">
        <f aca="false">IF(C406="롱",(J406-E406)/E406,(E406-J406)/E406)</f>
        <v>0.0127127008567255</v>
      </c>
    </row>
    <row r="407" customFormat="false" ht="17.15" hidden="false" customHeight="false" outlineLevel="0" collapsed="false">
      <c r="A407" s="4" t="n">
        <v>9</v>
      </c>
      <c r="B407" s="4" t="s">
        <v>28</v>
      </c>
      <c r="C407" s="8" t="s">
        <v>72</v>
      </c>
      <c r="D407" s="21" t="n">
        <v>41449</v>
      </c>
      <c r="E407" s="22" t="n">
        <v>233.47</v>
      </c>
      <c r="F407" s="21" t="n">
        <v>41450</v>
      </c>
      <c r="G407" s="22" t="n">
        <v>232.25</v>
      </c>
      <c r="H407" s="22" t="n">
        <v>217.88</v>
      </c>
      <c r="I407" s="21" t="n">
        <v>41452</v>
      </c>
      <c r="J407" s="22" t="n">
        <v>238.65</v>
      </c>
      <c r="K407" s="21" t="n">
        <v>41453</v>
      </c>
      <c r="L407" s="22" t="n">
        <v>240.01</v>
      </c>
      <c r="M407" s="8" t="s">
        <v>73</v>
      </c>
      <c r="N407" s="4" t="n">
        <v>3</v>
      </c>
      <c r="O407" s="6" t="n">
        <f aca="false">IF(C407="롱",(J407-E407)/E407,(E407-J407)/E407)</f>
        <v>0.0221870047543582</v>
      </c>
    </row>
    <row r="408" customFormat="false" ht="17.15" hidden="false" customHeight="false" outlineLevel="0" collapsed="false">
      <c r="A408" s="4" t="n">
        <v>9</v>
      </c>
      <c r="B408" s="4" t="s">
        <v>28</v>
      </c>
      <c r="C408" s="8" t="s">
        <v>72</v>
      </c>
      <c r="D408" s="21" t="n">
        <v>41463</v>
      </c>
      <c r="E408" s="22" t="n">
        <v>235.12</v>
      </c>
      <c r="F408" s="21" t="n">
        <v>41464</v>
      </c>
      <c r="G408" s="22" t="n">
        <v>236.69</v>
      </c>
      <c r="H408" s="22" t="n">
        <v>215.63</v>
      </c>
      <c r="I408" s="21" t="n">
        <v>41464</v>
      </c>
      <c r="J408" s="22" t="n">
        <v>236.94</v>
      </c>
      <c r="K408" s="21" t="n">
        <v>41465</v>
      </c>
      <c r="L408" s="22" t="n">
        <v>237.74</v>
      </c>
      <c r="M408" s="8" t="s">
        <v>73</v>
      </c>
      <c r="N408" s="4" t="n">
        <v>1</v>
      </c>
      <c r="O408" s="6" t="n">
        <f aca="false">IF(C408="롱",(J408-E408)/E408,(E408-J408)/E408)</f>
        <v>0.0077407281388227</v>
      </c>
    </row>
    <row r="409" customFormat="false" ht="17.15" hidden="false" customHeight="false" outlineLevel="0" collapsed="false">
      <c r="A409" s="4" t="n">
        <v>11</v>
      </c>
      <c r="B409" s="4" t="s">
        <v>32</v>
      </c>
      <c r="C409" s="8" t="s">
        <v>74</v>
      </c>
      <c r="D409" s="21" t="n">
        <v>41506</v>
      </c>
      <c r="E409" s="22" t="n">
        <v>245.13</v>
      </c>
      <c r="F409" s="21" t="n">
        <v>41507</v>
      </c>
      <c r="G409" s="22" t="n">
        <v>245.48</v>
      </c>
      <c r="H409" s="22" t="n">
        <v>258.21</v>
      </c>
      <c r="I409" s="21" t="n">
        <v>41515</v>
      </c>
      <c r="J409" s="22" t="n">
        <v>248.86</v>
      </c>
      <c r="K409" s="21" t="n">
        <v>41516</v>
      </c>
      <c r="L409" s="22" t="n">
        <v>250.52</v>
      </c>
      <c r="M409" s="8" t="s">
        <v>73</v>
      </c>
      <c r="N409" s="4" t="n">
        <v>7</v>
      </c>
      <c r="O409" s="6" t="n">
        <f aca="false">IF(C409="롱",(J409-E409)/E409,(E409-J409)/E409)</f>
        <v>-0.0152164157793824</v>
      </c>
    </row>
    <row r="410" customFormat="false" ht="17.15" hidden="false" customHeight="false" outlineLevel="0" collapsed="false">
      <c r="A410" s="4" t="n">
        <v>1</v>
      </c>
      <c r="B410" s="4" t="s">
        <v>12</v>
      </c>
      <c r="C410" s="8" t="s">
        <v>72</v>
      </c>
      <c r="D410" s="21" t="n">
        <v>41562</v>
      </c>
      <c r="E410" s="22" t="n">
        <v>269.02</v>
      </c>
      <c r="F410" s="21" t="n">
        <v>41563</v>
      </c>
      <c r="G410" s="22" t="n">
        <v>268.92</v>
      </c>
      <c r="H410" s="22" t="n">
        <v>256.42</v>
      </c>
      <c r="I410" s="21" t="n">
        <v>41571</v>
      </c>
      <c r="J410" s="22" t="n">
        <v>269.36</v>
      </c>
      <c r="K410" s="21" t="n">
        <v>41572</v>
      </c>
      <c r="L410" s="22" t="n">
        <v>269.42</v>
      </c>
      <c r="M410" s="8" t="s">
        <v>73</v>
      </c>
      <c r="N410" s="4" t="n">
        <v>7</v>
      </c>
      <c r="O410" s="6" t="n">
        <f aca="false">IF(C410="롱",(J410-E410)/E410,(E410-J410)/E410)</f>
        <v>0.00126384655415966</v>
      </c>
    </row>
    <row r="411" customFormat="false" ht="17.15" hidden="false" customHeight="false" outlineLevel="0" collapsed="false">
      <c r="A411" s="4" t="n">
        <v>2</v>
      </c>
      <c r="B411" s="4" t="s">
        <v>14</v>
      </c>
      <c r="C411" s="8" t="s">
        <v>72</v>
      </c>
      <c r="D411" s="21" t="n">
        <v>41586</v>
      </c>
      <c r="E411" s="22" t="n">
        <v>260.53</v>
      </c>
      <c r="F411" s="21" t="n">
        <v>41589</v>
      </c>
      <c r="G411" s="22" t="n">
        <v>262.14</v>
      </c>
      <c r="H411" s="22" t="n">
        <v>247.91</v>
      </c>
      <c r="I411" s="21" t="n">
        <v>41597</v>
      </c>
      <c r="J411" s="22" t="n">
        <v>267.81</v>
      </c>
      <c r="K411" s="21" t="n">
        <v>41598</v>
      </c>
      <c r="L411" s="22" t="n">
        <v>267.23</v>
      </c>
      <c r="M411" s="8" t="s">
        <v>73</v>
      </c>
      <c r="N411" s="4" t="n">
        <v>7</v>
      </c>
      <c r="O411" s="6" t="n">
        <f aca="false">IF(C411="롱",(J411-E411)/E411,(E411-J411)/E411)</f>
        <v>0.0279430391893449</v>
      </c>
    </row>
    <row r="412" customFormat="false" ht="17.15" hidden="false" customHeight="false" outlineLevel="0" collapsed="false">
      <c r="A412" s="4" t="n">
        <v>3</v>
      </c>
      <c r="B412" s="4" t="s">
        <v>16</v>
      </c>
      <c r="C412" s="8" t="s">
        <v>72</v>
      </c>
      <c r="D412" s="21" t="n">
        <v>41593</v>
      </c>
      <c r="E412" s="22" t="n">
        <v>264.2</v>
      </c>
      <c r="F412" s="21" t="n">
        <v>41596</v>
      </c>
      <c r="G412" s="22" t="n">
        <v>265.38</v>
      </c>
      <c r="H412" s="22" t="n">
        <v>249.46</v>
      </c>
      <c r="I412" s="21" t="n">
        <v>41612</v>
      </c>
      <c r="J412" s="22" t="n">
        <v>261.48</v>
      </c>
      <c r="K412" s="21" t="n">
        <v>41613</v>
      </c>
      <c r="L412" s="22" t="n">
        <v>262.5</v>
      </c>
      <c r="M412" s="8" t="s">
        <v>73</v>
      </c>
      <c r="N412" s="4" t="n">
        <v>13</v>
      </c>
      <c r="O412" s="6" t="n">
        <f aca="false">IF(C412="롱",(J412-E412)/E412,(E412-J412)/E412)</f>
        <v>-0.0102952308856925</v>
      </c>
    </row>
    <row r="413" customFormat="false" ht="17.15" hidden="false" customHeight="false" outlineLevel="0" collapsed="false">
      <c r="A413" s="4" t="n">
        <v>5</v>
      </c>
      <c r="B413" s="4" t="s">
        <v>20</v>
      </c>
      <c r="C413" s="8" t="s">
        <v>72</v>
      </c>
      <c r="D413" s="21" t="n">
        <v>41593</v>
      </c>
      <c r="E413" s="22" t="n">
        <v>264.2</v>
      </c>
      <c r="F413" s="21" t="n">
        <v>41596</v>
      </c>
      <c r="G413" s="22" t="n">
        <v>265.38</v>
      </c>
      <c r="H413" s="22" t="n">
        <v>249.46</v>
      </c>
      <c r="I413" s="21" t="n">
        <v>41612</v>
      </c>
      <c r="J413" s="22" t="n">
        <v>261.48</v>
      </c>
      <c r="K413" s="21" t="n">
        <v>41613</v>
      </c>
      <c r="L413" s="22" t="n">
        <v>262.5</v>
      </c>
      <c r="M413" s="8" t="s">
        <v>73</v>
      </c>
      <c r="N413" s="4" t="n">
        <v>13</v>
      </c>
      <c r="O413" s="6" t="n">
        <f aca="false">IF(C413="롱",(J413-E413)/E413,(E413-J413)/E413)</f>
        <v>-0.0102952308856925</v>
      </c>
    </row>
    <row r="414" customFormat="false" ht="17.15" hidden="false" customHeight="false" outlineLevel="0" collapsed="false">
      <c r="A414" s="4" t="n">
        <v>1</v>
      </c>
      <c r="B414" s="4" t="s">
        <v>12</v>
      </c>
      <c r="C414" s="8" t="s">
        <v>72</v>
      </c>
      <c r="D414" s="21" t="n">
        <v>41603</v>
      </c>
      <c r="E414" s="22" t="n">
        <v>265.21</v>
      </c>
      <c r="F414" s="21" t="n">
        <v>41604</v>
      </c>
      <c r="G414" s="22" t="n">
        <v>264.02</v>
      </c>
      <c r="H414" s="22" t="n">
        <v>249.61</v>
      </c>
      <c r="I414" s="21" t="n">
        <v>41612</v>
      </c>
      <c r="J414" s="22" t="n">
        <v>261.48</v>
      </c>
      <c r="K414" s="21" t="n">
        <v>41613</v>
      </c>
      <c r="L414" s="22" t="n">
        <v>262.5</v>
      </c>
      <c r="M414" s="8" t="s">
        <v>73</v>
      </c>
      <c r="N414" s="4" t="n">
        <v>7</v>
      </c>
      <c r="O414" s="6" t="n">
        <f aca="false">IF(C414="롱",(J414-E414)/E414,(E414-J414)/E414)</f>
        <v>-0.0140643263828663</v>
      </c>
    </row>
    <row r="415" customFormat="false" ht="17.15" hidden="false" customHeight="false" outlineLevel="0" collapsed="false">
      <c r="A415" s="4" t="n">
        <v>6</v>
      </c>
      <c r="B415" s="4" t="s">
        <v>22</v>
      </c>
      <c r="C415" s="8" t="s">
        <v>72</v>
      </c>
      <c r="D415" s="21" t="n">
        <v>41604</v>
      </c>
      <c r="E415" s="22" t="n">
        <v>266.26</v>
      </c>
      <c r="F415" s="21" t="n">
        <v>41605</v>
      </c>
      <c r="G415" s="22" t="n">
        <v>265.28</v>
      </c>
      <c r="H415" s="22" t="n">
        <v>250.32</v>
      </c>
      <c r="I415" s="21" t="n">
        <v>41610</v>
      </c>
      <c r="J415" s="22" t="n">
        <v>267.58</v>
      </c>
      <c r="K415" s="21" t="n">
        <v>41611</v>
      </c>
      <c r="L415" s="22" t="n">
        <v>266.64</v>
      </c>
      <c r="M415" s="8" t="s">
        <v>73</v>
      </c>
      <c r="N415" s="4" t="n">
        <v>4</v>
      </c>
      <c r="O415" s="6" t="n">
        <f aca="false">IF(C415="롱",(J415-E415)/E415,(E415-J415)/E415)</f>
        <v>0.0049575602794261</v>
      </c>
    </row>
    <row r="416" customFormat="false" ht="17.15" hidden="false" customHeight="false" outlineLevel="0" collapsed="false">
      <c r="A416" s="4" t="n">
        <v>7</v>
      </c>
      <c r="B416" s="4" t="s">
        <v>24</v>
      </c>
      <c r="C416" s="8" t="s">
        <v>72</v>
      </c>
      <c r="D416" s="21" t="n">
        <v>41620</v>
      </c>
      <c r="E416" s="22" t="n">
        <v>259.05</v>
      </c>
      <c r="F416" s="21" t="n">
        <v>41621</v>
      </c>
      <c r="G416" s="22" t="n">
        <v>258.29</v>
      </c>
      <c r="H416" s="22" t="n">
        <v>243.42</v>
      </c>
      <c r="I416" s="21" t="n">
        <v>41641</v>
      </c>
      <c r="J416" s="22" t="n">
        <v>257.64</v>
      </c>
      <c r="K416" s="21" t="n">
        <v>41642</v>
      </c>
      <c r="L416" s="22" t="n">
        <v>257.05</v>
      </c>
      <c r="M416" s="8" t="s">
        <v>73</v>
      </c>
      <c r="N416" s="4" t="n">
        <v>13</v>
      </c>
      <c r="O416" s="6" t="n">
        <f aca="false">IF(C416="롱",(J416-E416)/E416,(E416-J416)/E416)</f>
        <v>-0.00544296467863357</v>
      </c>
    </row>
    <row r="417" customFormat="false" ht="17.15" hidden="false" customHeight="false" outlineLevel="0" collapsed="false">
      <c r="A417" s="4" t="n">
        <v>1</v>
      </c>
      <c r="B417" s="4" t="s">
        <v>12</v>
      </c>
      <c r="C417" s="8" t="s">
        <v>72</v>
      </c>
      <c r="D417" s="21" t="n">
        <v>41631</v>
      </c>
      <c r="E417" s="22" t="n">
        <v>263.24</v>
      </c>
      <c r="F417" s="21" t="n">
        <v>41632</v>
      </c>
      <c r="G417" s="22" t="n">
        <v>263.72</v>
      </c>
      <c r="H417" s="22" t="n">
        <v>249.36</v>
      </c>
      <c r="I417" s="21" t="n">
        <v>41642</v>
      </c>
      <c r="J417" s="22" t="n">
        <v>254.48</v>
      </c>
      <c r="K417" s="21" t="n">
        <v>41645</v>
      </c>
      <c r="L417" s="22" t="n">
        <v>254.7</v>
      </c>
      <c r="M417" s="8" t="s">
        <v>73</v>
      </c>
      <c r="N417" s="4" t="n">
        <v>7</v>
      </c>
      <c r="O417" s="6" t="n">
        <f aca="false">IF(C417="롱",(J417-E417)/E417,(E417-J417)/E417)</f>
        <v>-0.0332776173833765</v>
      </c>
    </row>
    <row r="418" customFormat="false" ht="17.15" hidden="false" customHeight="false" outlineLevel="0" collapsed="false">
      <c r="A418" s="4" t="n">
        <v>6</v>
      </c>
      <c r="B418" s="4" t="s">
        <v>22</v>
      </c>
      <c r="C418" s="8" t="s">
        <v>72</v>
      </c>
      <c r="D418" s="21" t="n">
        <v>41631</v>
      </c>
      <c r="E418" s="22" t="n">
        <v>263.24</v>
      </c>
      <c r="F418" s="21" t="n">
        <v>41632</v>
      </c>
      <c r="G418" s="22" t="n">
        <v>263.72</v>
      </c>
      <c r="H418" s="22" t="n">
        <v>249.36</v>
      </c>
      <c r="I418" s="21" t="n">
        <v>41641</v>
      </c>
      <c r="J418" s="22" t="n">
        <v>257.64</v>
      </c>
      <c r="K418" s="21" t="n">
        <v>41642</v>
      </c>
      <c r="L418" s="22" t="n">
        <v>257.05</v>
      </c>
      <c r="M418" s="8" t="s">
        <v>73</v>
      </c>
      <c r="N418" s="4" t="n">
        <v>6</v>
      </c>
      <c r="O418" s="6" t="n">
        <f aca="false">IF(C418="롱",(J418-E418)/E418,(E418-J418)/E418)</f>
        <v>-0.0212733627108343</v>
      </c>
    </row>
    <row r="419" customFormat="false" ht="17.15" hidden="false" customHeight="false" outlineLevel="0" collapsed="false">
      <c r="A419" s="4" t="n">
        <v>4</v>
      </c>
      <c r="B419" s="4" t="s">
        <v>18</v>
      </c>
      <c r="C419" s="8" t="s">
        <v>72</v>
      </c>
      <c r="D419" s="21" t="n">
        <v>41635</v>
      </c>
      <c r="E419" s="22" t="n">
        <v>263.32</v>
      </c>
      <c r="F419" s="21" t="n">
        <v>41638</v>
      </c>
      <c r="G419" s="22" t="n">
        <v>263.55</v>
      </c>
      <c r="H419" s="22" t="n">
        <v>250.24</v>
      </c>
      <c r="I419" s="21" t="n">
        <v>41642</v>
      </c>
      <c r="J419" s="22" t="n">
        <v>254.48</v>
      </c>
      <c r="K419" s="21" t="n">
        <v>41645</v>
      </c>
      <c r="L419" s="22" t="n">
        <v>254.7</v>
      </c>
      <c r="M419" s="8" t="s">
        <v>73</v>
      </c>
      <c r="N419" s="4" t="n">
        <v>4</v>
      </c>
      <c r="O419" s="6" t="n">
        <f aca="false">IF(C419="롱",(J419-E419)/E419,(E419-J419)/E419)</f>
        <v>-0.0335713200668388</v>
      </c>
    </row>
    <row r="420" customFormat="false" ht="17.15" hidden="false" customHeight="false" outlineLevel="0" collapsed="false">
      <c r="A420" s="4" t="n">
        <v>1</v>
      </c>
      <c r="B420" s="4" t="s">
        <v>12</v>
      </c>
      <c r="C420" s="8" t="s">
        <v>72</v>
      </c>
      <c r="D420" s="21" t="n">
        <v>41747</v>
      </c>
      <c r="E420" s="22" t="n">
        <v>261.52</v>
      </c>
      <c r="F420" s="21" t="n">
        <v>41750</v>
      </c>
      <c r="G420" s="22" t="n">
        <v>261.77</v>
      </c>
      <c r="H420" s="22" t="n">
        <v>250.69</v>
      </c>
      <c r="I420" s="21" t="n">
        <v>41750</v>
      </c>
      <c r="J420" s="22" t="n">
        <v>260.9</v>
      </c>
      <c r="K420" s="21" t="n">
        <v>41751</v>
      </c>
      <c r="L420" s="22" t="n">
        <v>261.17</v>
      </c>
      <c r="M420" s="8" t="s">
        <v>73</v>
      </c>
      <c r="N420" s="4" t="n">
        <v>1</v>
      </c>
      <c r="O420" s="6" t="n">
        <f aca="false">IF(C420="롱",(J420-E420)/E420,(E420-J420)/E420)</f>
        <v>-0.00237075558274704</v>
      </c>
    </row>
    <row r="421" customFormat="false" ht="17.15" hidden="false" customHeight="false" outlineLevel="0" collapsed="false">
      <c r="A421" s="4" t="n">
        <v>2</v>
      </c>
      <c r="B421" s="4" t="s">
        <v>14</v>
      </c>
      <c r="C421" s="8" t="s">
        <v>72</v>
      </c>
      <c r="D421" s="21" t="n">
        <v>41758</v>
      </c>
      <c r="E421" s="22" t="n">
        <v>255.8</v>
      </c>
      <c r="F421" s="21" t="n">
        <v>41759</v>
      </c>
      <c r="G421" s="22" t="n">
        <v>257.16</v>
      </c>
      <c r="H421" s="22" t="n">
        <v>245.49</v>
      </c>
      <c r="I421" s="21" t="n">
        <v>41773</v>
      </c>
      <c r="J421" s="22" t="n">
        <v>262.43</v>
      </c>
      <c r="K421" s="21" t="n">
        <v>41774</v>
      </c>
      <c r="L421" s="22" t="n">
        <v>261.98</v>
      </c>
      <c r="M421" s="8" t="s">
        <v>73</v>
      </c>
      <c r="N421" s="4" t="n">
        <v>8</v>
      </c>
      <c r="O421" s="6" t="n">
        <f aca="false">IF(C421="롱",(J421-E421)/E421,(E421-J421)/E421)</f>
        <v>0.0259186864738076</v>
      </c>
    </row>
    <row r="422" customFormat="false" ht="17.15" hidden="false" customHeight="false" outlineLevel="0" collapsed="false">
      <c r="A422" s="4" t="n">
        <v>3</v>
      </c>
      <c r="B422" s="4" t="s">
        <v>16</v>
      </c>
      <c r="C422" s="8" t="s">
        <v>72</v>
      </c>
      <c r="D422" s="21" t="n">
        <v>41772</v>
      </c>
      <c r="E422" s="22" t="n">
        <v>258.4</v>
      </c>
      <c r="F422" s="21" t="n">
        <v>41773</v>
      </c>
      <c r="G422" s="22" t="n">
        <v>259.63</v>
      </c>
      <c r="H422" s="22" t="n">
        <v>246.88</v>
      </c>
      <c r="I422" s="21" t="n">
        <v>41803</v>
      </c>
      <c r="J422" s="22" t="n">
        <v>258.75</v>
      </c>
      <c r="K422" s="21" t="n">
        <v>41806</v>
      </c>
      <c r="L422" s="22" t="n">
        <v>258.16</v>
      </c>
      <c r="M422" s="8" t="s">
        <v>73</v>
      </c>
      <c r="N422" s="4" t="n">
        <v>21</v>
      </c>
      <c r="O422" s="6" t="n">
        <f aca="false">IF(C422="롱",(J422-E422)/E422,(E422-J422)/E422)</f>
        <v>0.00135448916408678</v>
      </c>
    </row>
    <row r="423" customFormat="false" ht="17.15" hidden="false" customHeight="false" outlineLevel="0" collapsed="false">
      <c r="A423" s="4" t="n">
        <v>5</v>
      </c>
      <c r="B423" s="4" t="s">
        <v>20</v>
      </c>
      <c r="C423" s="8" t="s">
        <v>72</v>
      </c>
      <c r="D423" s="21" t="n">
        <v>41772</v>
      </c>
      <c r="E423" s="22" t="n">
        <v>258.4</v>
      </c>
      <c r="F423" s="21" t="n">
        <v>41773</v>
      </c>
      <c r="G423" s="22" t="n">
        <v>259.63</v>
      </c>
      <c r="H423" s="22" t="n">
        <v>246.88</v>
      </c>
      <c r="I423" s="21" t="n">
        <v>41808</v>
      </c>
      <c r="J423" s="22" t="n">
        <v>258.7</v>
      </c>
      <c r="K423" s="21" t="n">
        <v>41809</v>
      </c>
      <c r="L423" s="22" t="n">
        <v>259.19</v>
      </c>
      <c r="M423" s="8" t="s">
        <v>73</v>
      </c>
      <c r="N423" s="4" t="n">
        <v>24</v>
      </c>
      <c r="O423" s="6" t="n">
        <f aca="false">IF(C423="롱",(J423-E423)/E423,(E423-J423)/E423)</f>
        <v>0.00116099071207435</v>
      </c>
    </row>
    <row r="424" customFormat="false" ht="17.15" hidden="false" customHeight="false" outlineLevel="0" collapsed="false">
      <c r="A424" s="4" t="n">
        <v>1</v>
      </c>
      <c r="B424" s="4" t="s">
        <v>12</v>
      </c>
      <c r="C424" s="8" t="s">
        <v>72</v>
      </c>
      <c r="D424" s="21" t="n">
        <v>41773</v>
      </c>
      <c r="E424" s="22" t="n">
        <v>262.43</v>
      </c>
      <c r="F424" s="21" t="n">
        <v>41774</v>
      </c>
      <c r="G424" s="22" t="n">
        <v>261.98</v>
      </c>
      <c r="H424" s="22" t="n">
        <v>250.73</v>
      </c>
      <c r="I424" s="21" t="n">
        <v>41789</v>
      </c>
      <c r="J424" s="22" t="n">
        <v>259.94</v>
      </c>
      <c r="K424" s="21" t="n">
        <v>41792</v>
      </c>
      <c r="L424" s="22" t="n">
        <v>260.49</v>
      </c>
      <c r="M424" s="8" t="s">
        <v>73</v>
      </c>
      <c r="N424" s="4" t="n">
        <v>12</v>
      </c>
      <c r="O424" s="6" t="n">
        <f aca="false">IF(C424="롱",(J424-E424)/E424,(E424-J424)/E424)</f>
        <v>-0.00948824448424345</v>
      </c>
    </row>
    <row r="425" customFormat="false" ht="17.15" hidden="false" customHeight="false" outlineLevel="0" collapsed="false">
      <c r="A425" s="4" t="n">
        <v>6</v>
      </c>
      <c r="B425" s="4" t="s">
        <v>22</v>
      </c>
      <c r="C425" s="8" t="s">
        <v>72</v>
      </c>
      <c r="D425" s="21" t="n">
        <v>41773</v>
      </c>
      <c r="E425" s="22" t="n">
        <v>262.43</v>
      </c>
      <c r="F425" s="21" t="n">
        <v>41774</v>
      </c>
      <c r="G425" s="22" t="n">
        <v>261.98</v>
      </c>
      <c r="H425" s="22" t="n">
        <v>250.73</v>
      </c>
      <c r="I425" s="21" t="n">
        <v>41780</v>
      </c>
      <c r="J425" s="22" t="n">
        <v>262.4</v>
      </c>
      <c r="K425" s="21" t="n">
        <v>41781</v>
      </c>
      <c r="L425" s="22" t="n">
        <v>263.41</v>
      </c>
      <c r="M425" s="8" t="s">
        <v>73</v>
      </c>
      <c r="N425" s="4" t="n">
        <v>5</v>
      </c>
      <c r="O425" s="6" t="n">
        <f aca="false">IF(C425="롱",(J425-E425)/E425,(E425-J425)/E425)</f>
        <v>-0.000114316198605455</v>
      </c>
    </row>
    <row r="426" customFormat="false" ht="17.15" hidden="false" customHeight="false" outlineLevel="0" collapsed="false">
      <c r="A426" s="4" t="n">
        <v>4</v>
      </c>
      <c r="B426" s="4" t="s">
        <v>18</v>
      </c>
      <c r="C426" s="8" t="s">
        <v>72</v>
      </c>
      <c r="D426" s="21" t="n">
        <v>41774</v>
      </c>
      <c r="E426" s="22" t="n">
        <v>262.4</v>
      </c>
      <c r="F426" s="21" t="n">
        <v>41775</v>
      </c>
      <c r="G426" s="22" t="n">
        <v>261.45</v>
      </c>
      <c r="H426" s="22" t="n">
        <v>250.69</v>
      </c>
      <c r="I426" s="21" t="n">
        <v>41799</v>
      </c>
      <c r="J426" s="22" t="n">
        <v>259.68</v>
      </c>
      <c r="K426" s="21" t="n">
        <v>41800</v>
      </c>
      <c r="L426" s="22" t="n">
        <v>261.24</v>
      </c>
      <c r="M426" s="8" t="s">
        <v>73</v>
      </c>
      <c r="N426" s="4" t="n">
        <v>15</v>
      </c>
      <c r="O426" s="6" t="n">
        <f aca="false">IF(C426="롱",(J426-E426)/E426,(E426-J426)/E426)</f>
        <v>-0.0103658536585365</v>
      </c>
    </row>
    <row r="427" customFormat="false" ht="17.15" hidden="false" customHeight="false" outlineLevel="0" collapsed="false">
      <c r="A427" s="4" t="n">
        <v>4</v>
      </c>
      <c r="B427" s="4" t="s">
        <v>18</v>
      </c>
      <c r="C427" s="8" t="s">
        <v>72</v>
      </c>
      <c r="D427" s="21" t="n">
        <v>41800</v>
      </c>
      <c r="E427" s="22" t="n">
        <v>262.64</v>
      </c>
      <c r="F427" s="21" t="n">
        <v>41801</v>
      </c>
      <c r="G427" s="22" t="n">
        <v>262.19</v>
      </c>
      <c r="H427" s="22" t="n">
        <v>250.09</v>
      </c>
      <c r="I427" s="21" t="n">
        <v>41801</v>
      </c>
      <c r="J427" s="22" t="n">
        <v>262.62</v>
      </c>
      <c r="K427" s="21" t="n">
        <v>41802</v>
      </c>
      <c r="L427" s="22" t="n">
        <v>262.57</v>
      </c>
      <c r="M427" s="8" t="s">
        <v>73</v>
      </c>
      <c r="N427" s="4" t="n">
        <v>1</v>
      </c>
      <c r="O427" s="6" t="n">
        <f aca="false">IF(C427="롱",(J427-E427)/E427,(E427-J427)/E427)</f>
        <v>-7.61498629301775E-005</v>
      </c>
    </row>
    <row r="428" customFormat="false" ht="17.15" hidden="false" customHeight="false" outlineLevel="0" collapsed="false">
      <c r="A428" s="4" t="n">
        <v>2</v>
      </c>
      <c r="B428" s="4" t="s">
        <v>14</v>
      </c>
      <c r="C428" s="8" t="s">
        <v>72</v>
      </c>
      <c r="D428" s="21" t="n">
        <v>41803</v>
      </c>
      <c r="E428" s="22" t="n">
        <v>258.75</v>
      </c>
      <c r="F428" s="21" t="n">
        <v>41806</v>
      </c>
      <c r="G428" s="22" t="n">
        <v>258.16</v>
      </c>
      <c r="H428" s="22" t="n">
        <v>246.81</v>
      </c>
      <c r="I428" s="21" t="n">
        <v>41822</v>
      </c>
      <c r="J428" s="22" t="n">
        <v>262.04</v>
      </c>
      <c r="K428" s="21" t="n">
        <v>41823</v>
      </c>
      <c r="L428" s="22" t="n">
        <v>262.03</v>
      </c>
      <c r="M428" s="8" t="s">
        <v>73</v>
      </c>
      <c r="N428" s="4" t="n">
        <v>13</v>
      </c>
      <c r="O428" s="6" t="n">
        <f aca="false">IF(C428="롱",(J428-E428)/E428,(E428-J428)/E428)</f>
        <v>0.0127149758454107</v>
      </c>
    </row>
    <row r="429" customFormat="false" ht="17.15" hidden="false" customHeight="false" outlineLevel="0" collapsed="false">
      <c r="A429" s="4" t="n">
        <v>5</v>
      </c>
      <c r="B429" s="4" t="s">
        <v>20</v>
      </c>
      <c r="C429" s="8" t="s">
        <v>72</v>
      </c>
      <c r="D429" s="21" t="n">
        <v>41814</v>
      </c>
      <c r="E429" s="22" t="n">
        <v>259.75</v>
      </c>
      <c r="F429" s="21" t="n">
        <v>41815</v>
      </c>
      <c r="G429" s="22" t="n">
        <v>259.51</v>
      </c>
      <c r="H429" s="22" t="n">
        <v>246.68</v>
      </c>
      <c r="I429" s="21" t="n">
        <v>41815</v>
      </c>
      <c r="J429" s="22" t="n">
        <v>258.16</v>
      </c>
      <c r="K429" s="21" t="n">
        <v>41816</v>
      </c>
      <c r="L429" s="22" t="n">
        <v>258.2</v>
      </c>
      <c r="M429" s="8" t="s">
        <v>73</v>
      </c>
      <c r="N429" s="4" t="n">
        <v>1</v>
      </c>
      <c r="O429" s="6" t="n">
        <f aca="false">IF(C429="롱",(J429-E429)/E429,(E429-J429)/E429)</f>
        <v>-0.00612127045235794</v>
      </c>
    </row>
    <row r="430" customFormat="false" ht="17.15" hidden="false" customHeight="false" outlineLevel="0" collapsed="false">
      <c r="A430" s="4" t="n">
        <v>3</v>
      </c>
      <c r="B430" s="4" t="s">
        <v>16</v>
      </c>
      <c r="C430" s="8" t="s">
        <v>72</v>
      </c>
      <c r="D430" s="21" t="n">
        <v>41816</v>
      </c>
      <c r="E430" s="22" t="n">
        <v>260.03</v>
      </c>
      <c r="F430" s="21" t="n">
        <v>41817</v>
      </c>
      <c r="G430" s="22" t="n">
        <v>259.28</v>
      </c>
      <c r="H430" s="22" t="n">
        <v>247.38</v>
      </c>
      <c r="I430" s="21" t="n">
        <v>41831</v>
      </c>
      <c r="J430" s="22" t="n">
        <v>256.72</v>
      </c>
      <c r="K430" s="21" t="n">
        <v>41834</v>
      </c>
      <c r="L430" s="22" t="n">
        <v>258.11</v>
      </c>
      <c r="M430" s="8" t="s">
        <v>73</v>
      </c>
      <c r="N430" s="4" t="n">
        <v>11</v>
      </c>
      <c r="O430" s="6" t="n">
        <f aca="false">IF(C430="롱",(J430-E430)/E430,(E430-J430)/E430)</f>
        <v>-0.0127293004653307</v>
      </c>
    </row>
    <row r="431" customFormat="false" ht="17.15" hidden="false" customHeight="false" outlineLevel="0" collapsed="false">
      <c r="A431" s="4" t="n">
        <v>5</v>
      </c>
      <c r="B431" s="4" t="s">
        <v>20</v>
      </c>
      <c r="C431" s="8" t="s">
        <v>72</v>
      </c>
      <c r="D431" s="21" t="n">
        <v>41816</v>
      </c>
      <c r="E431" s="22" t="n">
        <v>260.03</v>
      </c>
      <c r="F431" s="21" t="n">
        <v>41817</v>
      </c>
      <c r="G431" s="22" t="n">
        <v>259.28</v>
      </c>
      <c r="H431" s="22" t="n">
        <v>247.38</v>
      </c>
      <c r="I431" s="21" t="n">
        <v>41817</v>
      </c>
      <c r="J431" s="22" t="n">
        <v>258.78</v>
      </c>
      <c r="K431" s="21" t="n">
        <v>41820</v>
      </c>
      <c r="L431" s="22" t="n">
        <v>259.81</v>
      </c>
      <c r="M431" s="8" t="s">
        <v>73</v>
      </c>
      <c r="N431" s="4" t="n">
        <v>1</v>
      </c>
      <c r="O431" s="6" t="n">
        <f aca="false">IF(C431="롱",(J431-E431)/E431,(E431-J431)/E431)</f>
        <v>-0.00480713763796485</v>
      </c>
    </row>
    <row r="432" customFormat="false" ht="17.15" hidden="false" customHeight="false" outlineLevel="0" collapsed="false">
      <c r="A432" s="4" t="n">
        <v>5</v>
      </c>
      <c r="B432" s="4" t="s">
        <v>20</v>
      </c>
      <c r="C432" s="8" t="s">
        <v>72</v>
      </c>
      <c r="D432" s="21" t="n">
        <v>41820</v>
      </c>
      <c r="E432" s="22" t="n">
        <v>260.56</v>
      </c>
      <c r="F432" s="21" t="n">
        <v>41821</v>
      </c>
      <c r="G432" s="22" t="n">
        <v>259.14</v>
      </c>
      <c r="H432" s="22" t="n">
        <v>248.09</v>
      </c>
      <c r="I432" s="21" t="n">
        <v>41821</v>
      </c>
      <c r="J432" s="22" t="n">
        <v>259.74</v>
      </c>
      <c r="K432" s="21" t="n">
        <v>41822</v>
      </c>
      <c r="L432" s="22" t="n">
        <v>261.01</v>
      </c>
      <c r="M432" s="8" t="s">
        <v>73</v>
      </c>
      <c r="N432" s="4" t="n">
        <v>1</v>
      </c>
      <c r="O432" s="6" t="n">
        <f aca="false">IF(C432="롱",(J432-E432)/E432,(E432-J432)/E432)</f>
        <v>-0.00314706785385321</v>
      </c>
    </row>
    <row r="433" customFormat="false" ht="17.15" hidden="false" customHeight="false" outlineLevel="0" collapsed="false">
      <c r="A433" s="4" t="n">
        <v>1</v>
      </c>
      <c r="B433" s="4" t="s">
        <v>12</v>
      </c>
      <c r="C433" s="8" t="s">
        <v>72</v>
      </c>
      <c r="D433" s="21" t="n">
        <v>41821</v>
      </c>
      <c r="E433" s="22" t="n">
        <v>259.74</v>
      </c>
      <c r="F433" s="21" t="n">
        <v>41822</v>
      </c>
      <c r="G433" s="22" t="n">
        <v>261.01</v>
      </c>
      <c r="H433" s="22" t="n">
        <v>247.69</v>
      </c>
      <c r="I433" s="21" t="n">
        <v>41830</v>
      </c>
      <c r="J433" s="22" t="n">
        <v>259.17</v>
      </c>
      <c r="K433" s="21" t="n">
        <v>41831</v>
      </c>
      <c r="L433" s="22" t="n">
        <v>257.14</v>
      </c>
      <c r="M433" s="8" t="s">
        <v>73</v>
      </c>
      <c r="N433" s="4" t="n">
        <v>7</v>
      </c>
      <c r="O433" s="6" t="n">
        <f aca="false">IF(C433="롱",(J433-E433)/E433,(E433-J433)/E433)</f>
        <v>-0.00219450219450217</v>
      </c>
    </row>
    <row r="434" customFormat="false" ht="17.15" hidden="false" customHeight="false" outlineLevel="0" collapsed="false">
      <c r="A434" s="4" t="n">
        <v>4</v>
      </c>
      <c r="B434" s="4" t="s">
        <v>18</v>
      </c>
      <c r="C434" s="8" t="s">
        <v>72</v>
      </c>
      <c r="D434" s="21" t="n">
        <v>41822</v>
      </c>
      <c r="E434" s="22" t="n">
        <v>262.04</v>
      </c>
      <c r="F434" s="21" t="n">
        <v>41823</v>
      </c>
      <c r="G434" s="22" t="n">
        <v>262.03</v>
      </c>
      <c r="H434" s="22" t="n">
        <v>249.87</v>
      </c>
      <c r="I434" s="21" t="n">
        <v>41831</v>
      </c>
      <c r="J434" s="22" t="n">
        <v>256.72</v>
      </c>
      <c r="K434" s="21" t="n">
        <v>41834</v>
      </c>
      <c r="L434" s="22" t="n">
        <v>258.11</v>
      </c>
      <c r="M434" s="8" t="s">
        <v>73</v>
      </c>
      <c r="N434" s="4" t="n">
        <v>7</v>
      </c>
      <c r="O434" s="6" t="n">
        <f aca="false">IF(C434="롱",(J434-E434)/E434,(E434-J434)/E434)</f>
        <v>-0.0203022439322241</v>
      </c>
    </row>
    <row r="435" customFormat="false" ht="17.15" hidden="false" customHeight="false" outlineLevel="0" collapsed="false">
      <c r="A435" s="4" t="n">
        <v>5</v>
      </c>
      <c r="B435" s="4" t="s">
        <v>20</v>
      </c>
      <c r="C435" s="8" t="s">
        <v>72</v>
      </c>
      <c r="D435" s="21" t="n">
        <v>41822</v>
      </c>
      <c r="E435" s="22" t="n">
        <v>262.04</v>
      </c>
      <c r="F435" s="21" t="n">
        <v>41823</v>
      </c>
      <c r="G435" s="22" t="n">
        <v>262.03</v>
      </c>
      <c r="H435" s="22" t="n">
        <v>249.87</v>
      </c>
      <c r="I435" s="21" t="n">
        <v>41828</v>
      </c>
      <c r="J435" s="22" t="n">
        <v>259.93</v>
      </c>
      <c r="K435" s="21" t="n">
        <v>41829</v>
      </c>
      <c r="L435" s="22" t="n">
        <v>258.6</v>
      </c>
      <c r="M435" s="8" t="s">
        <v>73</v>
      </c>
      <c r="N435" s="4" t="n">
        <v>4</v>
      </c>
      <c r="O435" s="6" t="n">
        <f aca="false">IF(C435="롱",(J435-E435)/E435,(E435-J435)/E435)</f>
        <v>-0.00805220577011149</v>
      </c>
    </row>
    <row r="436" customFormat="false" ht="17.15" hidden="false" customHeight="false" outlineLevel="0" collapsed="false">
      <c r="A436" s="4" t="n">
        <v>7</v>
      </c>
      <c r="B436" s="4" t="s">
        <v>24</v>
      </c>
      <c r="C436" s="8" t="s">
        <v>72</v>
      </c>
      <c r="D436" s="21" t="n">
        <v>41828</v>
      </c>
      <c r="E436" s="22" t="n">
        <v>259.93</v>
      </c>
      <c r="F436" s="21" t="n">
        <v>41829</v>
      </c>
      <c r="G436" s="22" t="n">
        <v>258.6</v>
      </c>
      <c r="H436" s="22" t="n">
        <v>248.87</v>
      </c>
      <c r="I436" s="21" t="n">
        <v>41848</v>
      </c>
      <c r="J436" s="22" t="n">
        <v>265.53</v>
      </c>
      <c r="K436" s="21" t="n">
        <v>41849</v>
      </c>
      <c r="L436" s="22" t="n">
        <v>266.2</v>
      </c>
      <c r="M436" s="8" t="s">
        <v>73</v>
      </c>
      <c r="N436" s="4" t="n">
        <v>14</v>
      </c>
      <c r="O436" s="6" t="n">
        <f aca="false">IF(C436="롱",(J436-E436)/E436,(E436-J436)/E436)</f>
        <v>0.0215442619166697</v>
      </c>
    </row>
    <row r="437" customFormat="false" ht="17.15" hidden="false" customHeight="false" outlineLevel="0" collapsed="false">
      <c r="A437" s="4" t="n">
        <v>3</v>
      </c>
      <c r="B437" s="4" t="s">
        <v>16</v>
      </c>
      <c r="C437" s="8" t="s">
        <v>72</v>
      </c>
      <c r="D437" s="21" t="n">
        <v>41835</v>
      </c>
      <c r="E437" s="22" t="n">
        <v>260.4</v>
      </c>
      <c r="F437" s="21" t="n">
        <v>41836</v>
      </c>
      <c r="G437" s="22" t="n">
        <v>260.85</v>
      </c>
      <c r="H437" s="22" t="n">
        <v>249.26</v>
      </c>
      <c r="I437" s="21" t="n">
        <v>41850</v>
      </c>
      <c r="J437" s="22" t="n">
        <v>271.17</v>
      </c>
      <c r="K437" s="21" t="n">
        <v>41851</v>
      </c>
      <c r="L437" s="22" t="n">
        <v>270.93</v>
      </c>
      <c r="M437" s="8" t="s">
        <v>73</v>
      </c>
      <c r="N437" s="4" t="n">
        <v>11</v>
      </c>
      <c r="O437" s="6" t="n">
        <f aca="false">IF(C437="롱",(J437-E437)/E437,(E437-J437)/E437)</f>
        <v>0.0413594470046084</v>
      </c>
    </row>
    <row r="438" customFormat="false" ht="17.15" hidden="false" customHeight="false" outlineLevel="0" collapsed="false">
      <c r="A438" s="4" t="n">
        <v>5</v>
      </c>
      <c r="B438" s="4" t="s">
        <v>20</v>
      </c>
      <c r="C438" s="8" t="s">
        <v>72</v>
      </c>
      <c r="D438" s="21" t="n">
        <v>41835</v>
      </c>
      <c r="E438" s="22" t="n">
        <v>260.4</v>
      </c>
      <c r="F438" s="21" t="n">
        <v>41836</v>
      </c>
      <c r="G438" s="22" t="n">
        <v>260.85</v>
      </c>
      <c r="H438" s="22" t="n">
        <v>249.26</v>
      </c>
      <c r="I438" s="21" t="n">
        <v>41885</v>
      </c>
      <c r="J438" s="22" t="n">
        <v>262.27</v>
      </c>
      <c r="K438" s="21" t="n">
        <v>41886</v>
      </c>
      <c r="L438" s="22" t="n">
        <v>263.52</v>
      </c>
      <c r="M438" s="8" t="s">
        <v>73</v>
      </c>
      <c r="N438" s="4" t="n">
        <v>35</v>
      </c>
      <c r="O438" s="6" t="n">
        <f aca="false">IF(C438="롱",(J438-E438)/E438,(E438-J438)/E438)</f>
        <v>0.00718125960061446</v>
      </c>
    </row>
    <row r="439" customFormat="false" ht="17.15" hidden="false" customHeight="false" outlineLevel="0" collapsed="false">
      <c r="A439" s="4" t="n">
        <v>1</v>
      </c>
      <c r="B439" s="4" t="s">
        <v>12</v>
      </c>
      <c r="C439" s="8" t="s">
        <v>72</v>
      </c>
      <c r="D439" s="21" t="n">
        <v>41836</v>
      </c>
      <c r="E439" s="22" t="n">
        <v>260.82</v>
      </c>
      <c r="F439" s="21" t="n">
        <v>41837</v>
      </c>
      <c r="G439" s="22" t="n">
        <v>261.8</v>
      </c>
      <c r="H439" s="22" t="n">
        <v>249.99</v>
      </c>
      <c r="I439" s="21" t="n">
        <v>41859</v>
      </c>
      <c r="J439" s="22" t="n">
        <v>262.02</v>
      </c>
      <c r="K439" s="21" t="n">
        <v>41862</v>
      </c>
      <c r="L439" s="22" t="n">
        <v>264.59</v>
      </c>
      <c r="M439" s="8" t="s">
        <v>73</v>
      </c>
      <c r="N439" s="4" t="n">
        <v>17</v>
      </c>
      <c r="O439" s="6" t="n">
        <f aca="false">IF(C439="롱",(J439-E439)/E439,(E439-J439)/E439)</f>
        <v>0.00460087416609151</v>
      </c>
    </row>
    <row r="440" customFormat="false" ht="17.15" hidden="false" customHeight="false" outlineLevel="0" collapsed="false">
      <c r="A440" s="4" t="n">
        <v>6</v>
      </c>
      <c r="B440" s="4" t="s">
        <v>22</v>
      </c>
      <c r="C440" s="8" t="s">
        <v>72</v>
      </c>
      <c r="D440" s="21" t="n">
        <v>41836</v>
      </c>
      <c r="E440" s="22" t="n">
        <v>260.82</v>
      </c>
      <c r="F440" s="21" t="n">
        <v>41837</v>
      </c>
      <c r="G440" s="22" t="n">
        <v>261.8</v>
      </c>
      <c r="H440" s="22" t="n">
        <v>249.99</v>
      </c>
      <c r="I440" s="21" t="n">
        <v>41852</v>
      </c>
      <c r="J440" s="22" t="n">
        <v>268.56</v>
      </c>
      <c r="K440" s="21" t="n">
        <v>41855</v>
      </c>
      <c r="L440" s="22" t="n">
        <v>269.66</v>
      </c>
      <c r="M440" s="8" t="s">
        <v>73</v>
      </c>
      <c r="N440" s="4" t="n">
        <v>12</v>
      </c>
      <c r="O440" s="6" t="n">
        <f aca="false">IF(C440="롱",(J440-E440)/E440,(E440-J440)/E440)</f>
        <v>0.0296756383712906</v>
      </c>
    </row>
    <row r="441" customFormat="false" ht="17.15" hidden="false" customHeight="false" outlineLevel="0" collapsed="false">
      <c r="A441" s="4" t="n">
        <v>4</v>
      </c>
      <c r="B441" s="4" t="s">
        <v>18</v>
      </c>
      <c r="C441" s="8" t="s">
        <v>72</v>
      </c>
      <c r="D441" s="21" t="n">
        <v>41837</v>
      </c>
      <c r="E441" s="22" t="n">
        <v>261.93</v>
      </c>
      <c r="F441" s="21" t="n">
        <v>41838</v>
      </c>
      <c r="G441" s="22" t="n">
        <v>259.97</v>
      </c>
      <c r="H441" s="22" t="n">
        <v>251.1</v>
      </c>
      <c r="I441" s="21" t="n">
        <v>41863</v>
      </c>
      <c r="J441" s="22" t="n">
        <v>263.34</v>
      </c>
      <c r="K441" s="21" t="n">
        <v>41864</v>
      </c>
      <c r="L441" s="22" t="n">
        <v>264.14</v>
      </c>
      <c r="M441" s="8" t="s">
        <v>73</v>
      </c>
      <c r="N441" s="4" t="n">
        <v>18</v>
      </c>
      <c r="O441" s="6" t="n">
        <f aca="false">IF(C441="롱",(J441-E441)/E441,(E441-J441)/E441)</f>
        <v>0.00538311762684675</v>
      </c>
    </row>
    <row r="442" customFormat="false" ht="17.15" hidden="false" customHeight="false" outlineLevel="0" collapsed="false">
      <c r="A442" s="4" t="n">
        <v>7</v>
      </c>
      <c r="B442" s="4" t="s">
        <v>24</v>
      </c>
      <c r="C442" s="8" t="s">
        <v>72</v>
      </c>
      <c r="D442" s="21" t="n">
        <v>41859</v>
      </c>
      <c r="E442" s="22" t="n">
        <v>262.02</v>
      </c>
      <c r="F442" s="21" t="n">
        <v>41862</v>
      </c>
      <c r="G442" s="22" t="n">
        <v>264.59</v>
      </c>
      <c r="H442" s="22" t="n">
        <v>250.08</v>
      </c>
      <c r="I442" s="21" t="n">
        <v>41912</v>
      </c>
      <c r="J442" s="22" t="n">
        <v>256.77</v>
      </c>
      <c r="K442" s="21" t="n">
        <v>41913</v>
      </c>
      <c r="L442" s="22" t="n">
        <v>255.78</v>
      </c>
      <c r="M442" s="8" t="s">
        <v>73</v>
      </c>
      <c r="N442" s="4" t="n">
        <v>33</v>
      </c>
      <c r="O442" s="6" t="n">
        <f aca="false">IF(C442="롱",(J442-E442)/E442,(E442-J442)/E442)</f>
        <v>-0.0200366384245477</v>
      </c>
    </row>
    <row r="443" customFormat="false" ht="17.15" hidden="false" customHeight="false" outlineLevel="0" collapsed="false">
      <c r="A443" s="4" t="n">
        <v>3</v>
      </c>
      <c r="B443" s="4" t="s">
        <v>16</v>
      </c>
      <c r="C443" s="8" t="s">
        <v>72</v>
      </c>
      <c r="D443" s="21" t="n">
        <v>41864</v>
      </c>
      <c r="E443" s="22" t="n">
        <v>265.91</v>
      </c>
      <c r="F443" s="21" t="n">
        <v>41865</v>
      </c>
      <c r="G443" s="22" t="n">
        <v>266.47</v>
      </c>
      <c r="H443" s="22" t="n">
        <v>253.59</v>
      </c>
      <c r="I443" s="21" t="n">
        <v>41884</v>
      </c>
      <c r="J443" s="22" t="n">
        <v>262.61</v>
      </c>
      <c r="K443" s="21" t="n">
        <v>41885</v>
      </c>
      <c r="L443" s="22" t="n">
        <v>262.49</v>
      </c>
      <c r="M443" s="8" t="s">
        <v>73</v>
      </c>
      <c r="N443" s="4" t="n">
        <v>13</v>
      </c>
      <c r="O443" s="6" t="n">
        <f aca="false">IF(C443="롱",(J443-E443)/E443,(E443-J443)/E443)</f>
        <v>-0.0124102139821745</v>
      </c>
    </row>
    <row r="444" customFormat="false" ht="17.15" hidden="false" customHeight="false" outlineLevel="0" collapsed="false">
      <c r="A444" s="4" t="n">
        <v>10</v>
      </c>
      <c r="B444" s="4" t="s">
        <v>30</v>
      </c>
      <c r="C444" s="8" t="s">
        <v>72</v>
      </c>
      <c r="D444" s="21" t="n">
        <v>41864</v>
      </c>
      <c r="E444" s="22" t="n">
        <v>265.91</v>
      </c>
      <c r="F444" s="21" t="n">
        <v>41865</v>
      </c>
      <c r="G444" s="22" t="n">
        <v>266.47</v>
      </c>
      <c r="H444" s="22" t="n">
        <v>253.59</v>
      </c>
      <c r="I444" s="21" t="n">
        <v>41869</v>
      </c>
      <c r="J444" s="22" t="n">
        <v>264.24</v>
      </c>
      <c r="K444" s="21" t="n">
        <v>41870</v>
      </c>
      <c r="L444" s="22" t="n">
        <v>266.07</v>
      </c>
      <c r="M444" s="8" t="s">
        <v>73</v>
      </c>
      <c r="N444" s="4" t="n">
        <v>2</v>
      </c>
      <c r="O444" s="6" t="n">
        <f aca="false">IF(C444="롱",(J444-E444)/E444,(E444-J444)/E444)</f>
        <v>-0.00628032040916105</v>
      </c>
    </row>
    <row r="445" customFormat="false" ht="17.15" hidden="false" customHeight="false" outlineLevel="0" collapsed="false">
      <c r="A445" s="4" t="n">
        <v>11</v>
      </c>
      <c r="B445" s="4" t="s">
        <v>32</v>
      </c>
      <c r="C445" s="8" t="s">
        <v>74</v>
      </c>
      <c r="D445" s="21" t="n">
        <v>41869</v>
      </c>
      <c r="E445" s="22" t="n">
        <v>264.24</v>
      </c>
      <c r="F445" s="21" t="n">
        <v>41870</v>
      </c>
      <c r="G445" s="22" t="n">
        <v>266.07</v>
      </c>
      <c r="H445" s="22" t="n">
        <v>276.94</v>
      </c>
      <c r="I445" s="21" t="n">
        <v>41870</v>
      </c>
      <c r="J445" s="22" t="n">
        <v>266.62</v>
      </c>
      <c r="K445" s="21" t="n">
        <v>41871</v>
      </c>
      <c r="L445" s="22" t="n">
        <v>268.03</v>
      </c>
      <c r="M445" s="8" t="s">
        <v>73</v>
      </c>
      <c r="N445" s="4" t="n">
        <v>1</v>
      </c>
      <c r="O445" s="6" t="n">
        <f aca="false">IF(C445="롱",(J445-E445)/E445,(E445-J445)/E445)</f>
        <v>-0.00900696336663637</v>
      </c>
    </row>
    <row r="446" customFormat="false" ht="17.15" hidden="false" customHeight="false" outlineLevel="0" collapsed="false">
      <c r="A446" s="4" t="n">
        <v>4</v>
      </c>
      <c r="B446" s="4" t="s">
        <v>18</v>
      </c>
      <c r="C446" s="8" t="s">
        <v>72</v>
      </c>
      <c r="D446" s="21" t="n">
        <v>41871</v>
      </c>
      <c r="E446" s="22" t="n">
        <v>266.79</v>
      </c>
      <c r="F446" s="21" t="n">
        <v>41872</v>
      </c>
      <c r="G446" s="22" t="n">
        <v>265.98</v>
      </c>
      <c r="H446" s="22" t="n">
        <v>253.56</v>
      </c>
      <c r="I446" s="21" t="n">
        <v>41872</v>
      </c>
      <c r="J446" s="22" t="n">
        <v>262.53</v>
      </c>
      <c r="K446" s="21" t="n">
        <v>41873</v>
      </c>
      <c r="L446" s="22" t="n">
        <v>263.08</v>
      </c>
      <c r="M446" s="8" t="s">
        <v>73</v>
      </c>
      <c r="N446" s="4" t="n">
        <v>1</v>
      </c>
      <c r="O446" s="6" t="n">
        <f aca="false">IF(C446="롱",(J446-E446)/E446,(E446-J446)/E446)</f>
        <v>-0.0159676149780728</v>
      </c>
    </row>
    <row r="447" customFormat="false" ht="17.15" hidden="false" customHeight="false" outlineLevel="0" collapsed="false">
      <c r="A447" s="4" t="n">
        <v>4</v>
      </c>
      <c r="B447" s="4" t="s">
        <v>18</v>
      </c>
      <c r="C447" s="8" t="s">
        <v>72</v>
      </c>
      <c r="D447" s="21" t="n">
        <v>41883</v>
      </c>
      <c r="E447" s="22" t="n">
        <v>265.27</v>
      </c>
      <c r="F447" s="21" t="n">
        <v>41884</v>
      </c>
      <c r="G447" s="22" t="n">
        <v>264.96</v>
      </c>
      <c r="H447" s="22" t="n">
        <v>252.5</v>
      </c>
      <c r="I447" s="21" t="n">
        <v>41884</v>
      </c>
      <c r="J447" s="22" t="n">
        <v>262.61</v>
      </c>
      <c r="K447" s="21" t="n">
        <v>41885</v>
      </c>
      <c r="L447" s="22" t="n">
        <v>262.49</v>
      </c>
      <c r="M447" s="8" t="s">
        <v>73</v>
      </c>
      <c r="N447" s="4" t="n">
        <v>1</v>
      </c>
      <c r="O447" s="6" t="n">
        <f aca="false">IF(C447="롱",(J447-E447)/E447,(E447-J447)/E447)</f>
        <v>-0.0100275191314509</v>
      </c>
    </row>
    <row r="448" customFormat="false" ht="17.15" hidden="false" customHeight="false" outlineLevel="0" collapsed="false">
      <c r="A448" s="4" t="n">
        <v>5</v>
      </c>
      <c r="B448" s="4" t="s">
        <v>20</v>
      </c>
      <c r="C448" s="8" t="s">
        <v>72</v>
      </c>
      <c r="D448" s="21" t="n">
        <v>41886</v>
      </c>
      <c r="E448" s="22" t="n">
        <v>263.19</v>
      </c>
      <c r="F448" s="21" t="n">
        <v>41887</v>
      </c>
      <c r="G448" s="22" t="n">
        <v>262.9</v>
      </c>
      <c r="H448" s="22" t="n">
        <v>250.41</v>
      </c>
      <c r="I448" s="21" t="n">
        <v>41887</v>
      </c>
      <c r="J448" s="22" t="n">
        <v>262.09</v>
      </c>
      <c r="K448" s="21" t="n">
        <v>41893</v>
      </c>
      <c r="L448" s="22" t="n">
        <v>261.72</v>
      </c>
      <c r="M448" s="8" t="s">
        <v>73</v>
      </c>
      <c r="N448" s="4" t="n">
        <v>1</v>
      </c>
      <c r="O448" s="6" t="n">
        <f aca="false">IF(C448="롱",(J448-E448)/E448,(E448-J448)/E448)</f>
        <v>-0.00417949010220762</v>
      </c>
    </row>
    <row r="449" customFormat="false" ht="17.15" hidden="false" customHeight="false" outlineLevel="0" collapsed="false">
      <c r="A449" s="4" t="n">
        <v>2</v>
      </c>
      <c r="B449" s="4" t="s">
        <v>14</v>
      </c>
      <c r="C449" s="8" t="s">
        <v>72</v>
      </c>
      <c r="D449" s="21" t="n">
        <v>41893</v>
      </c>
      <c r="E449" s="22" t="n">
        <v>259.8</v>
      </c>
      <c r="F449" s="21" t="n">
        <v>41894</v>
      </c>
      <c r="G449" s="22" t="n">
        <v>261.01</v>
      </c>
      <c r="H449" s="22" t="n">
        <v>247.35</v>
      </c>
      <c r="I449" s="21" t="n">
        <v>41922</v>
      </c>
      <c r="J449" s="22" t="n">
        <v>246.48</v>
      </c>
      <c r="K449" s="21" t="n">
        <v>41925</v>
      </c>
      <c r="L449" s="22" t="n">
        <v>241.95</v>
      </c>
      <c r="M449" s="8" t="s">
        <v>76</v>
      </c>
      <c r="N449" s="4" t="n">
        <v>19</v>
      </c>
      <c r="O449" s="6" t="n">
        <f aca="false">IF(C449="롱",(J449-E449)/E449,(E449-J449)/E449)</f>
        <v>-0.0512702078521941</v>
      </c>
    </row>
    <row r="450" customFormat="false" ht="17.15" hidden="false" customHeight="false" outlineLevel="0" collapsed="false">
      <c r="A450" s="4" t="n">
        <v>3</v>
      </c>
      <c r="B450" s="4" t="s">
        <v>16</v>
      </c>
      <c r="C450" s="8" t="s">
        <v>72</v>
      </c>
      <c r="D450" s="21" t="n">
        <v>41899</v>
      </c>
      <c r="E450" s="22" t="n">
        <v>264.01</v>
      </c>
      <c r="F450" s="21" t="n">
        <v>41900</v>
      </c>
      <c r="G450" s="22" t="n">
        <v>263.35</v>
      </c>
      <c r="H450" s="22" t="n">
        <v>252.08</v>
      </c>
      <c r="I450" s="21" t="n">
        <v>41904</v>
      </c>
      <c r="J450" s="22" t="n">
        <v>260.15</v>
      </c>
      <c r="K450" s="21" t="n">
        <v>41905</v>
      </c>
      <c r="L450" s="22" t="n">
        <v>258.53</v>
      </c>
      <c r="M450" s="8" t="s">
        <v>73</v>
      </c>
      <c r="N450" s="4" t="n">
        <v>3</v>
      </c>
      <c r="O450" s="6" t="n">
        <f aca="false">IF(C450="롱",(J450-E450)/E450,(E450-J450)/E450)</f>
        <v>-0.0146206583083975</v>
      </c>
    </row>
    <row r="451" customFormat="false" ht="17.15" hidden="false" customHeight="false" outlineLevel="0" collapsed="false">
      <c r="A451" s="4" t="n">
        <v>5</v>
      </c>
      <c r="B451" s="4" t="s">
        <v>20</v>
      </c>
      <c r="C451" s="8" t="s">
        <v>72</v>
      </c>
      <c r="D451" s="21" t="n">
        <v>41899</v>
      </c>
      <c r="E451" s="22" t="n">
        <v>264.01</v>
      </c>
      <c r="F451" s="21" t="n">
        <v>41900</v>
      </c>
      <c r="G451" s="22" t="n">
        <v>263.35</v>
      </c>
      <c r="H451" s="22" t="n">
        <v>252.08</v>
      </c>
      <c r="I451" s="21" t="n">
        <v>41900</v>
      </c>
      <c r="J451" s="22" t="n">
        <v>261.72</v>
      </c>
      <c r="K451" s="21" t="n">
        <v>41901</v>
      </c>
      <c r="L451" s="22" t="n">
        <v>262.99</v>
      </c>
      <c r="M451" s="8" t="s">
        <v>73</v>
      </c>
      <c r="N451" s="4" t="n">
        <v>1</v>
      </c>
      <c r="O451" s="6" t="n">
        <f aca="false">IF(C451="롱",(J451-E451)/E451,(E451-J451)/E451)</f>
        <v>-0.00867391386689884</v>
      </c>
    </row>
    <row r="452" customFormat="false" ht="17.15" hidden="false" customHeight="false" outlineLevel="0" collapsed="false">
      <c r="A452" s="4" t="n">
        <v>3</v>
      </c>
      <c r="B452" s="4" t="s">
        <v>16</v>
      </c>
      <c r="C452" s="8" t="s">
        <v>72</v>
      </c>
      <c r="D452" s="21" t="n">
        <v>42048</v>
      </c>
      <c r="E452" s="22" t="n">
        <v>249.76</v>
      </c>
      <c r="F452" s="21" t="n">
        <v>42051</v>
      </c>
      <c r="G452" s="22" t="n">
        <v>250.17</v>
      </c>
      <c r="H452" s="22" t="n">
        <v>238.48</v>
      </c>
      <c r="I452" s="21" t="n">
        <v>42108</v>
      </c>
      <c r="J452" s="22" t="n">
        <v>265.57</v>
      </c>
      <c r="K452" s="21" t="n">
        <v>42109</v>
      </c>
      <c r="L452" s="22" t="n">
        <v>265.76</v>
      </c>
      <c r="M452" s="8" t="s">
        <v>73</v>
      </c>
      <c r="N452" s="4" t="n">
        <v>39</v>
      </c>
      <c r="O452" s="6" t="n">
        <f aca="false">IF(C452="롱",(J452-E452)/E452,(E452-J452)/E452)</f>
        <v>0.0633007687379885</v>
      </c>
    </row>
    <row r="453" customFormat="false" ht="17.15" hidden="false" customHeight="false" outlineLevel="0" collapsed="false">
      <c r="A453" s="4" t="n">
        <v>5</v>
      </c>
      <c r="B453" s="4" t="s">
        <v>20</v>
      </c>
      <c r="C453" s="8" t="s">
        <v>72</v>
      </c>
      <c r="D453" s="21" t="n">
        <v>42048</v>
      </c>
      <c r="E453" s="22" t="n">
        <v>249.76</v>
      </c>
      <c r="F453" s="21" t="n">
        <v>42051</v>
      </c>
      <c r="G453" s="22" t="n">
        <v>250.17</v>
      </c>
      <c r="H453" s="22" t="n">
        <v>238.48</v>
      </c>
      <c r="I453" s="21" t="n">
        <v>42151</v>
      </c>
      <c r="J453" s="22" t="n">
        <v>260.16</v>
      </c>
      <c r="K453" s="21" t="n">
        <v>42152</v>
      </c>
      <c r="L453" s="22" t="n">
        <v>261.13</v>
      </c>
      <c r="M453" s="8" t="s">
        <v>73</v>
      </c>
      <c r="N453" s="4" t="n">
        <v>67</v>
      </c>
      <c r="O453" s="6" t="n">
        <f aca="false">IF(C453="롱",(J453-E453)/E453,(E453-J453)/E453)</f>
        <v>0.0416399743754005</v>
      </c>
    </row>
    <row r="454" customFormat="false" ht="17.15" hidden="false" customHeight="false" outlineLevel="0" collapsed="false">
      <c r="A454" s="4" t="n">
        <v>1</v>
      </c>
      <c r="B454" s="4" t="s">
        <v>12</v>
      </c>
      <c r="C454" s="8" t="s">
        <v>72</v>
      </c>
      <c r="D454" s="21" t="n">
        <v>42059</v>
      </c>
      <c r="E454" s="22" t="n">
        <v>251.28</v>
      </c>
      <c r="F454" s="21" t="n">
        <v>42060</v>
      </c>
      <c r="G454" s="22" t="n">
        <v>252.72</v>
      </c>
      <c r="H454" s="22" t="n">
        <v>240.98</v>
      </c>
      <c r="I454" s="21" t="n">
        <v>42074</v>
      </c>
      <c r="J454" s="22" t="n">
        <v>252.16</v>
      </c>
      <c r="K454" s="21" t="n">
        <v>42075</v>
      </c>
      <c r="L454" s="22" t="n">
        <v>251.67</v>
      </c>
      <c r="M454" s="8" t="s">
        <v>73</v>
      </c>
      <c r="N454" s="4" t="n">
        <v>11</v>
      </c>
      <c r="O454" s="6" t="n">
        <f aca="false">IF(C454="롱",(J454-E454)/E454,(E454-J454)/E454)</f>
        <v>0.00350206940464818</v>
      </c>
    </row>
    <row r="455" customFormat="false" ht="17.15" hidden="false" customHeight="false" outlineLevel="0" collapsed="false">
      <c r="A455" s="4" t="n">
        <v>4</v>
      </c>
      <c r="B455" s="4" t="s">
        <v>18</v>
      </c>
      <c r="C455" s="8" t="s">
        <v>72</v>
      </c>
      <c r="D455" s="21" t="n">
        <v>42059</v>
      </c>
      <c r="E455" s="22" t="n">
        <v>251.28</v>
      </c>
      <c r="F455" s="21" t="n">
        <v>42060</v>
      </c>
      <c r="G455" s="22" t="n">
        <v>252.72</v>
      </c>
      <c r="H455" s="22" t="n">
        <v>240.98</v>
      </c>
      <c r="I455" s="21" t="n">
        <v>42079</v>
      </c>
      <c r="J455" s="22" t="n">
        <v>252.44</v>
      </c>
      <c r="K455" s="21" t="n">
        <v>42080</v>
      </c>
      <c r="L455" s="22" t="n">
        <v>253.77</v>
      </c>
      <c r="M455" s="8" t="s">
        <v>73</v>
      </c>
      <c r="N455" s="4" t="n">
        <v>14</v>
      </c>
      <c r="O455" s="6" t="n">
        <f aca="false">IF(C455="롱",(J455-E455)/E455,(E455-J455)/E455)</f>
        <v>0.00461636421521807</v>
      </c>
    </row>
    <row r="456" customFormat="false" ht="17.15" hidden="false" customHeight="false" outlineLevel="0" collapsed="false">
      <c r="A456" s="4" t="n">
        <v>6</v>
      </c>
      <c r="B456" s="4" t="s">
        <v>22</v>
      </c>
      <c r="C456" s="8" t="s">
        <v>72</v>
      </c>
      <c r="D456" s="21" t="n">
        <v>42059</v>
      </c>
      <c r="E456" s="22" t="n">
        <v>251.28</v>
      </c>
      <c r="F456" s="21" t="n">
        <v>42060</v>
      </c>
      <c r="G456" s="22" t="n">
        <v>252.72</v>
      </c>
      <c r="H456" s="22" t="n">
        <v>240.98</v>
      </c>
      <c r="I456" s="21" t="n">
        <v>42062</v>
      </c>
      <c r="J456" s="22" t="n">
        <v>251.46</v>
      </c>
      <c r="K456" s="21" t="n">
        <v>42065</v>
      </c>
      <c r="L456" s="22" t="n">
        <v>253.13</v>
      </c>
      <c r="M456" s="8" t="s">
        <v>73</v>
      </c>
      <c r="N456" s="4" t="n">
        <v>3</v>
      </c>
      <c r="O456" s="6" t="n">
        <f aca="false">IF(C456="롱",(J456-E456)/E456,(E456-J456)/E456)</f>
        <v>0.000716332378223523</v>
      </c>
    </row>
    <row r="457" customFormat="false" ht="17.15" hidden="false" customHeight="false" outlineLevel="0" collapsed="false">
      <c r="A457" s="4" t="n">
        <v>1</v>
      </c>
      <c r="B457" s="4" t="s">
        <v>12</v>
      </c>
      <c r="C457" s="8" t="s">
        <v>72</v>
      </c>
      <c r="D457" s="21" t="n">
        <v>42080</v>
      </c>
      <c r="E457" s="22" t="n">
        <v>258.18</v>
      </c>
      <c r="F457" s="21" t="n">
        <v>42081</v>
      </c>
      <c r="G457" s="22" t="n">
        <v>258.45</v>
      </c>
      <c r="H457" s="22" t="n">
        <v>247.57</v>
      </c>
      <c r="I457" s="21" t="n">
        <v>42090</v>
      </c>
      <c r="J457" s="22" t="n">
        <v>255.54</v>
      </c>
      <c r="K457" s="21" t="n">
        <v>42093</v>
      </c>
      <c r="L457" s="22" t="n">
        <v>256.45</v>
      </c>
      <c r="M457" s="8" t="s">
        <v>73</v>
      </c>
      <c r="N457" s="4" t="n">
        <v>8</v>
      </c>
      <c r="O457" s="6" t="n">
        <f aca="false">IF(C457="롱",(J457-E457)/E457,(E457-J457)/E457)</f>
        <v>-0.0102254241227051</v>
      </c>
    </row>
    <row r="458" customFormat="false" ht="17.15" hidden="false" customHeight="false" outlineLevel="0" collapsed="false">
      <c r="A458" s="4" t="n">
        <v>4</v>
      </c>
      <c r="B458" s="4" t="s">
        <v>18</v>
      </c>
      <c r="C458" s="8" t="s">
        <v>72</v>
      </c>
      <c r="D458" s="21" t="n">
        <v>42080</v>
      </c>
      <c r="E458" s="22" t="n">
        <v>258.18</v>
      </c>
      <c r="F458" s="21" t="n">
        <v>42081</v>
      </c>
      <c r="G458" s="22" t="n">
        <v>258.45</v>
      </c>
      <c r="H458" s="22" t="n">
        <v>247.57</v>
      </c>
      <c r="I458" s="21" t="n">
        <v>42131</v>
      </c>
      <c r="J458" s="22" t="n">
        <v>262.47</v>
      </c>
      <c r="K458" s="21" t="n">
        <v>42132</v>
      </c>
      <c r="L458" s="22" t="n">
        <v>262.11</v>
      </c>
      <c r="M458" s="8" t="s">
        <v>73</v>
      </c>
      <c r="N458" s="4" t="n">
        <v>35</v>
      </c>
      <c r="O458" s="6" t="n">
        <f aca="false">IF(C458="롱",(J458-E458)/E458,(E458-J458)/E458)</f>
        <v>0.0166163141993959</v>
      </c>
    </row>
    <row r="459" customFormat="false" ht="17.15" hidden="false" customHeight="false" outlineLevel="0" collapsed="false">
      <c r="A459" s="4" t="n">
        <v>6</v>
      </c>
      <c r="B459" s="4" t="s">
        <v>22</v>
      </c>
      <c r="C459" s="8" t="s">
        <v>72</v>
      </c>
      <c r="D459" s="21" t="n">
        <v>42080</v>
      </c>
      <c r="E459" s="22" t="n">
        <v>258.18</v>
      </c>
      <c r="F459" s="21" t="n">
        <v>42081</v>
      </c>
      <c r="G459" s="22" t="n">
        <v>258.45</v>
      </c>
      <c r="H459" s="22" t="n">
        <v>247.57</v>
      </c>
      <c r="I459" s="21" t="n">
        <v>42088</v>
      </c>
      <c r="J459" s="22" t="n">
        <v>258.94</v>
      </c>
      <c r="K459" s="21" t="n">
        <v>42089</v>
      </c>
      <c r="L459" s="22" t="n">
        <v>256.69</v>
      </c>
      <c r="M459" s="8" t="s">
        <v>73</v>
      </c>
      <c r="N459" s="4" t="n">
        <v>6</v>
      </c>
      <c r="O459" s="6" t="n">
        <f aca="false">IF(C459="롱",(J459-E459)/E459,(E459-J459)/E459)</f>
        <v>0.00294368270199082</v>
      </c>
    </row>
    <row r="460" customFormat="false" ht="17.15" hidden="false" customHeight="false" outlineLevel="0" collapsed="false">
      <c r="A460" s="4" t="n">
        <v>1</v>
      </c>
      <c r="B460" s="4" t="s">
        <v>12</v>
      </c>
      <c r="C460" s="8" t="s">
        <v>72</v>
      </c>
      <c r="D460" s="21" t="n">
        <v>42104</v>
      </c>
      <c r="E460" s="22" t="n">
        <v>261.95</v>
      </c>
      <c r="F460" s="21" t="n">
        <v>42107</v>
      </c>
      <c r="G460" s="22" t="n">
        <v>262.62</v>
      </c>
      <c r="H460" s="22" t="n">
        <v>250.82</v>
      </c>
      <c r="I460" s="21" t="n">
        <v>42124</v>
      </c>
      <c r="J460" s="22" t="n">
        <v>266.42</v>
      </c>
      <c r="K460" s="21" t="n">
        <v>42128</v>
      </c>
      <c r="L460" s="22" t="n">
        <v>267.57</v>
      </c>
      <c r="M460" s="8" t="s">
        <v>73</v>
      </c>
      <c r="N460" s="4" t="n">
        <v>14</v>
      </c>
      <c r="O460" s="6" t="n">
        <f aca="false">IF(C460="롱",(J460-E460)/E460,(E460-J460)/E460)</f>
        <v>0.017064325252911</v>
      </c>
    </row>
    <row r="461" customFormat="false" ht="17.15" hidden="false" customHeight="false" outlineLevel="0" collapsed="false">
      <c r="A461" s="4" t="n">
        <v>6</v>
      </c>
      <c r="B461" s="4" t="s">
        <v>22</v>
      </c>
      <c r="C461" s="8" t="s">
        <v>72</v>
      </c>
      <c r="D461" s="21" t="n">
        <v>42108</v>
      </c>
      <c r="E461" s="22" t="n">
        <v>265.57</v>
      </c>
      <c r="F461" s="21" t="n">
        <v>42109</v>
      </c>
      <c r="G461" s="22" t="n">
        <v>265.76</v>
      </c>
      <c r="H461" s="22" t="n">
        <v>255.24</v>
      </c>
      <c r="I461" s="21" t="n">
        <v>42121</v>
      </c>
      <c r="J461" s="22" t="n">
        <v>270.05</v>
      </c>
      <c r="K461" s="21" t="n">
        <v>42122</v>
      </c>
      <c r="L461" s="22" t="n">
        <v>270.63</v>
      </c>
      <c r="M461" s="8" t="s">
        <v>73</v>
      </c>
      <c r="N461" s="4" t="n">
        <v>9</v>
      </c>
      <c r="O461" s="6" t="n">
        <f aca="false">IF(C461="롱",(J461-E461)/E461,(E461-J461)/E461)</f>
        <v>0.0168693753059458</v>
      </c>
    </row>
    <row r="462" customFormat="false" ht="17.15" hidden="false" customHeight="false" outlineLevel="0" collapsed="false">
      <c r="A462" s="4" t="n">
        <v>3</v>
      </c>
      <c r="B462" s="4" t="s">
        <v>16</v>
      </c>
      <c r="C462" s="8" t="s">
        <v>72</v>
      </c>
      <c r="D462" s="21" t="n">
        <v>42138</v>
      </c>
      <c r="E462" s="22" t="n">
        <v>263.69</v>
      </c>
      <c r="F462" s="21" t="n">
        <v>42139</v>
      </c>
      <c r="G462" s="22" t="n">
        <v>265.24</v>
      </c>
      <c r="H462" s="22" t="n">
        <v>250.1</v>
      </c>
      <c r="I462" s="21" t="n">
        <v>42139</v>
      </c>
      <c r="J462" s="22" t="n">
        <v>261.33</v>
      </c>
      <c r="K462" s="21" t="n">
        <v>42142</v>
      </c>
      <c r="L462" s="22" t="n">
        <v>261.28</v>
      </c>
      <c r="M462" s="8" t="s">
        <v>73</v>
      </c>
      <c r="N462" s="4" t="n">
        <v>1</v>
      </c>
      <c r="O462" s="6" t="n">
        <f aca="false">IF(C462="롱",(J462-E462)/E462,(E462-J462)/E462)</f>
        <v>-0.00894990329553648</v>
      </c>
    </row>
    <row r="463" customFormat="false" ht="17.15" hidden="false" customHeight="false" outlineLevel="0" collapsed="false">
      <c r="A463" s="4" t="n">
        <v>3</v>
      </c>
      <c r="B463" s="4" t="s">
        <v>16</v>
      </c>
      <c r="C463" s="8" t="s">
        <v>72</v>
      </c>
      <c r="D463" s="21" t="n">
        <v>42144</v>
      </c>
      <c r="E463" s="22" t="n">
        <v>265.36</v>
      </c>
      <c r="F463" s="21" t="n">
        <v>42145</v>
      </c>
      <c r="G463" s="22" t="n">
        <v>265.2</v>
      </c>
      <c r="H463" s="22" t="n">
        <v>250.9</v>
      </c>
      <c r="I463" s="21" t="n">
        <v>42151</v>
      </c>
      <c r="J463" s="22" t="n">
        <v>260.16</v>
      </c>
      <c r="K463" s="21" t="n">
        <v>42152</v>
      </c>
      <c r="L463" s="22" t="n">
        <v>261.13</v>
      </c>
      <c r="M463" s="8" t="s">
        <v>73</v>
      </c>
      <c r="N463" s="4" t="n">
        <v>4</v>
      </c>
      <c r="O463" s="6" t="n">
        <f aca="false">IF(C463="롱",(J463-E463)/E463,(E463-J463)/E463)</f>
        <v>-0.0195960205004522</v>
      </c>
    </row>
    <row r="464" customFormat="false" ht="17.15" hidden="false" customHeight="false" outlineLevel="0" collapsed="false">
      <c r="A464" s="4" t="n">
        <v>2</v>
      </c>
      <c r="B464" s="4" t="s">
        <v>14</v>
      </c>
      <c r="C464" s="8" t="s">
        <v>72</v>
      </c>
      <c r="D464" s="21" t="n">
        <v>42156</v>
      </c>
      <c r="E464" s="22" t="n">
        <v>258.74</v>
      </c>
      <c r="F464" s="21" t="n">
        <v>42157</v>
      </c>
      <c r="G464" s="22" t="n">
        <v>258.8</v>
      </c>
      <c r="H464" s="22" t="n">
        <v>244.69</v>
      </c>
      <c r="I464" s="21" t="n">
        <v>42194</v>
      </c>
      <c r="J464" s="22" t="n">
        <v>243.17</v>
      </c>
      <c r="K464" s="21" t="n">
        <v>42195</v>
      </c>
      <c r="L464" s="22" t="n">
        <v>247.8</v>
      </c>
      <c r="M464" s="8" t="s">
        <v>76</v>
      </c>
      <c r="N464" s="4" t="n">
        <v>28</v>
      </c>
      <c r="O464" s="6" t="n">
        <f aca="false">IF(C464="롱",(J464-E464)/E464,(E464-J464)/E464)</f>
        <v>-0.0601762386952154</v>
      </c>
    </row>
    <row r="465" customFormat="false" ht="17.15" hidden="false" customHeight="false" outlineLevel="0" collapsed="false">
      <c r="A465" s="4" t="n">
        <v>11</v>
      </c>
      <c r="B465" s="4" t="s">
        <v>32</v>
      </c>
      <c r="C465" s="8" t="s">
        <v>74</v>
      </c>
      <c r="D465" s="21" t="n">
        <v>42202</v>
      </c>
      <c r="E465" s="22" t="n">
        <v>250.23</v>
      </c>
      <c r="F465" s="21" t="n">
        <v>42205</v>
      </c>
      <c r="G465" s="22" t="n">
        <v>250.02</v>
      </c>
      <c r="H465" s="22" t="n">
        <v>265.79</v>
      </c>
      <c r="I465" s="21" t="n">
        <v>42256</v>
      </c>
      <c r="J465" s="22" t="n">
        <v>234.4</v>
      </c>
      <c r="K465" s="21" t="n">
        <v>42257</v>
      </c>
      <c r="L465" s="22" t="n">
        <v>232.34</v>
      </c>
      <c r="M465" s="8" t="s">
        <v>73</v>
      </c>
      <c r="N465" s="4" t="n">
        <v>37</v>
      </c>
      <c r="O465" s="6" t="n">
        <f aca="false">IF(C465="롱",(J465-E465)/E465,(E465-J465)/E465)</f>
        <v>0.0632617991447867</v>
      </c>
    </row>
    <row r="466" customFormat="false" ht="17.15" hidden="false" customHeight="false" outlineLevel="0" collapsed="false">
      <c r="A466" s="4" t="n">
        <v>9</v>
      </c>
      <c r="B466" s="4" t="s">
        <v>28</v>
      </c>
      <c r="C466" s="8" t="s">
        <v>72</v>
      </c>
      <c r="D466" s="21" t="n">
        <v>42233</v>
      </c>
      <c r="E466" s="22" t="n">
        <v>235.37</v>
      </c>
      <c r="F466" s="21" t="n">
        <v>42234</v>
      </c>
      <c r="G466" s="22" t="n">
        <v>236.69</v>
      </c>
      <c r="H466" s="22" t="n">
        <v>221.76</v>
      </c>
      <c r="I466" s="21" t="n">
        <v>42240</v>
      </c>
      <c r="J466" s="22" t="n">
        <v>221.76</v>
      </c>
      <c r="K466" s="21" t="n">
        <v>42241</v>
      </c>
      <c r="L466" s="22" t="n">
        <v>222.56</v>
      </c>
      <c r="M466" s="8" t="s">
        <v>75</v>
      </c>
      <c r="N466" s="4" t="n">
        <v>5</v>
      </c>
      <c r="O466" s="6" t="n">
        <f aca="false">IF(C466="롱",(J466-E466)/E466,(E466-J466)/E466)</f>
        <v>-0.057823851807792</v>
      </c>
    </row>
    <row r="467" customFormat="false" ht="17.15" hidden="false" customHeight="false" outlineLevel="0" collapsed="false">
      <c r="A467" s="4" t="n">
        <v>9</v>
      </c>
      <c r="B467" s="4" t="s">
        <v>28</v>
      </c>
      <c r="C467" s="8" t="s">
        <v>72</v>
      </c>
      <c r="D467" s="21" t="n">
        <v>42248</v>
      </c>
      <c r="E467" s="22" t="n">
        <v>229.55</v>
      </c>
      <c r="F467" s="21" t="n">
        <v>42249</v>
      </c>
      <c r="G467" s="22" t="n">
        <v>226.36</v>
      </c>
      <c r="H467" s="22" t="n">
        <v>210.79</v>
      </c>
      <c r="I467" s="21" t="n">
        <v>42256</v>
      </c>
      <c r="J467" s="22" t="n">
        <v>234.4</v>
      </c>
      <c r="K467" s="21" t="n">
        <v>42257</v>
      </c>
      <c r="L467" s="22" t="n">
        <v>232.34</v>
      </c>
      <c r="M467" s="8" t="s">
        <v>73</v>
      </c>
      <c r="N467" s="4" t="n">
        <v>6</v>
      </c>
      <c r="O467" s="6" t="n">
        <f aca="false">IF(C467="롱",(J467-E467)/E467,(E467-J467)/E467)</f>
        <v>0.021128294489218</v>
      </c>
    </row>
    <row r="468" customFormat="false" ht="17.15" hidden="false" customHeight="false" outlineLevel="0" collapsed="false">
      <c r="A468" s="4" t="n">
        <v>2</v>
      </c>
      <c r="B468" s="4" t="s">
        <v>14</v>
      </c>
      <c r="C468" s="8" t="s">
        <v>72</v>
      </c>
      <c r="D468" s="21" t="n">
        <v>42321</v>
      </c>
      <c r="E468" s="22" t="n">
        <v>242.71</v>
      </c>
      <c r="F468" s="21" t="n">
        <v>42324</v>
      </c>
      <c r="G468" s="22" t="n">
        <v>239.41</v>
      </c>
      <c r="H468" s="22" t="n">
        <v>231.16</v>
      </c>
      <c r="I468" s="21" t="n">
        <v>42334</v>
      </c>
      <c r="J468" s="22" t="n">
        <v>249.43</v>
      </c>
      <c r="K468" s="21" t="n">
        <v>42335</v>
      </c>
      <c r="L468" s="22" t="n">
        <v>250.46</v>
      </c>
      <c r="M468" s="8" t="s">
        <v>73</v>
      </c>
      <c r="N468" s="4" t="n">
        <v>9</v>
      </c>
      <c r="O468" s="6" t="n">
        <f aca="false">IF(C468="롱",(J468-E468)/E468,(E468-J468)/E468)</f>
        <v>0.0276873635202505</v>
      </c>
    </row>
    <row r="469" customFormat="false" ht="17.15" hidden="false" customHeight="false" outlineLevel="0" collapsed="false">
      <c r="A469" s="4" t="n">
        <v>3</v>
      </c>
      <c r="B469" s="4" t="s">
        <v>16</v>
      </c>
      <c r="C469" s="8" t="s">
        <v>72</v>
      </c>
      <c r="D469" s="21" t="n">
        <v>42331</v>
      </c>
      <c r="E469" s="22" t="n">
        <v>245.92</v>
      </c>
      <c r="F469" s="21" t="n">
        <v>42332</v>
      </c>
      <c r="G469" s="22" t="n">
        <v>245.96</v>
      </c>
      <c r="H469" s="22" t="n">
        <v>233.9</v>
      </c>
      <c r="I469" s="21" t="n">
        <v>42342</v>
      </c>
      <c r="J469" s="22" t="n">
        <v>242.15</v>
      </c>
      <c r="K469" s="21" t="n">
        <v>42345</v>
      </c>
      <c r="L469" s="22" t="n">
        <v>243.76</v>
      </c>
      <c r="M469" s="8" t="s">
        <v>73</v>
      </c>
      <c r="N469" s="4" t="n">
        <v>9</v>
      </c>
      <c r="O469" s="6" t="n">
        <f aca="false">IF(C469="롱",(J469-E469)/E469,(E469-J469)/E469)</f>
        <v>-0.0153301886792452</v>
      </c>
    </row>
    <row r="470" customFormat="false" ht="17.15" hidden="false" customHeight="false" outlineLevel="0" collapsed="false">
      <c r="A470" s="4" t="n">
        <v>1</v>
      </c>
      <c r="B470" s="4" t="s">
        <v>12</v>
      </c>
      <c r="C470" s="8" t="s">
        <v>72</v>
      </c>
      <c r="D470" s="21" t="n">
        <v>42334</v>
      </c>
      <c r="E470" s="22" t="n">
        <v>249.43</v>
      </c>
      <c r="F470" s="21" t="n">
        <v>42335</v>
      </c>
      <c r="G470" s="22" t="n">
        <v>250.46</v>
      </c>
      <c r="H470" s="22" t="n">
        <v>237.64</v>
      </c>
      <c r="I470" s="21" t="n">
        <v>42341</v>
      </c>
      <c r="J470" s="22" t="n">
        <v>244.68</v>
      </c>
      <c r="K470" s="21" t="n">
        <v>42342</v>
      </c>
      <c r="L470" s="22" t="n">
        <v>241.86</v>
      </c>
      <c r="M470" s="8" t="s">
        <v>73</v>
      </c>
      <c r="N470" s="4" t="n">
        <v>5</v>
      </c>
      <c r="O470" s="6" t="n">
        <f aca="false">IF(C470="롱",(J470-E470)/E470,(E470-J470)/E470)</f>
        <v>-0.0190434189953093</v>
      </c>
    </row>
    <row r="471" customFormat="false" ht="17.15" hidden="false" customHeight="false" outlineLevel="0" collapsed="false">
      <c r="A471" s="4" t="n">
        <v>4</v>
      </c>
      <c r="B471" s="4" t="s">
        <v>18</v>
      </c>
      <c r="C471" s="8" t="s">
        <v>72</v>
      </c>
      <c r="D471" s="21" t="n">
        <v>42335</v>
      </c>
      <c r="E471" s="22" t="n">
        <v>249.07</v>
      </c>
      <c r="F471" s="21" t="n">
        <v>42338</v>
      </c>
      <c r="G471" s="22" t="n">
        <v>248.3</v>
      </c>
      <c r="H471" s="22" t="n">
        <v>237.38</v>
      </c>
      <c r="I471" s="21" t="n">
        <v>42342</v>
      </c>
      <c r="J471" s="22" t="n">
        <v>242.15</v>
      </c>
      <c r="K471" s="21" t="n">
        <v>42345</v>
      </c>
      <c r="L471" s="22" t="n">
        <v>243.76</v>
      </c>
      <c r="M471" s="8" t="s">
        <v>73</v>
      </c>
      <c r="N471" s="4" t="n">
        <v>5</v>
      </c>
      <c r="O471" s="6" t="n">
        <f aca="false">IF(C471="롱",(J471-E471)/E471,(E471-J471)/E471)</f>
        <v>-0.027783354077167</v>
      </c>
    </row>
    <row r="472" customFormat="false" ht="17.15" hidden="false" customHeight="false" outlineLevel="0" collapsed="false">
      <c r="A472" s="4" t="n">
        <v>3</v>
      </c>
      <c r="B472" s="4" t="s">
        <v>16</v>
      </c>
      <c r="C472" s="8" t="s">
        <v>72</v>
      </c>
      <c r="D472" s="21" t="n">
        <v>42354</v>
      </c>
      <c r="E472" s="22" t="n">
        <v>243.49</v>
      </c>
      <c r="F472" s="21" t="n">
        <v>42355</v>
      </c>
      <c r="G472" s="22" t="n">
        <v>245.2</v>
      </c>
      <c r="H472" s="22" t="n">
        <v>229.36</v>
      </c>
      <c r="I472" s="21" t="n">
        <v>42367</v>
      </c>
      <c r="J472" s="22" t="n">
        <v>241.22</v>
      </c>
      <c r="K472" s="21" t="n">
        <v>42368</v>
      </c>
      <c r="L472" s="22" t="n">
        <v>242.13</v>
      </c>
      <c r="M472" s="8" t="s">
        <v>73</v>
      </c>
      <c r="N472" s="4" t="n">
        <v>8</v>
      </c>
      <c r="O472" s="6" t="n">
        <f aca="false">IF(C472="롱",(J472-E472)/E472,(E472-J472)/E472)</f>
        <v>-0.00932276479526884</v>
      </c>
    </row>
    <row r="473" customFormat="false" ht="17.15" hidden="false" customHeight="false" outlineLevel="0" collapsed="false">
      <c r="A473" s="4" t="n">
        <v>1</v>
      </c>
      <c r="B473" s="4" t="s">
        <v>12</v>
      </c>
      <c r="C473" s="8" t="s">
        <v>72</v>
      </c>
      <c r="D473" s="21" t="n">
        <v>42356</v>
      </c>
      <c r="E473" s="22" t="n">
        <v>243</v>
      </c>
      <c r="F473" s="21" t="n">
        <v>42359</v>
      </c>
      <c r="G473" s="22" t="n">
        <v>243.01</v>
      </c>
      <c r="H473" s="22" t="n">
        <v>228.59</v>
      </c>
      <c r="I473" s="21" t="n">
        <v>42368</v>
      </c>
      <c r="J473" s="22" t="n">
        <v>240.38</v>
      </c>
      <c r="K473" s="21" t="n">
        <v>42373</v>
      </c>
      <c r="L473" s="22" t="n">
        <v>239.3</v>
      </c>
      <c r="M473" s="8" t="s">
        <v>73</v>
      </c>
      <c r="N473" s="4" t="n">
        <v>7</v>
      </c>
      <c r="O473" s="6" t="n">
        <f aca="false">IF(C473="롱",(J473-E473)/E473,(E473-J473)/E473)</f>
        <v>-0.0107818930041152</v>
      </c>
    </row>
    <row r="474" customFormat="false" ht="17.15" hidden="false" customHeight="false" outlineLevel="0" collapsed="false">
      <c r="A474" s="4" t="n">
        <v>4</v>
      </c>
      <c r="B474" s="4" t="s">
        <v>18</v>
      </c>
      <c r="C474" s="8" t="s">
        <v>72</v>
      </c>
      <c r="D474" s="21" t="n">
        <v>42360</v>
      </c>
      <c r="E474" s="22" t="n">
        <v>245.48</v>
      </c>
      <c r="F474" s="21" t="n">
        <v>42361</v>
      </c>
      <c r="G474" s="22" t="n">
        <v>245.64</v>
      </c>
      <c r="H474" s="22" t="n">
        <v>230.75</v>
      </c>
      <c r="I474" s="21" t="n">
        <v>42373</v>
      </c>
      <c r="J474" s="22" t="n">
        <v>234.63</v>
      </c>
      <c r="K474" s="21" t="n">
        <v>42374</v>
      </c>
      <c r="L474" s="22" t="n">
        <v>233.96</v>
      </c>
      <c r="M474" s="8" t="s">
        <v>73</v>
      </c>
      <c r="N474" s="4" t="n">
        <v>6</v>
      </c>
      <c r="O474" s="6" t="n">
        <f aca="false">IF(C474="롱",(J474-E474)/E474,(E474-J474)/E474)</f>
        <v>-0.0441991200912498</v>
      </c>
    </row>
    <row r="475" customFormat="false" ht="17.15" hidden="false" customHeight="false" outlineLevel="0" collapsed="false">
      <c r="A475" s="4" t="n">
        <v>5</v>
      </c>
      <c r="B475" s="4" t="s">
        <v>20</v>
      </c>
      <c r="C475" s="8" t="s">
        <v>72</v>
      </c>
      <c r="D475" s="21" t="n">
        <v>42360</v>
      </c>
      <c r="E475" s="22" t="n">
        <v>245.48</v>
      </c>
      <c r="F475" s="21" t="n">
        <v>42361</v>
      </c>
      <c r="G475" s="22" t="n">
        <v>245.64</v>
      </c>
      <c r="H475" s="22" t="n">
        <v>230.75</v>
      </c>
      <c r="I475" s="21" t="n">
        <v>42366</v>
      </c>
      <c r="J475" s="22" t="n">
        <v>241.79</v>
      </c>
      <c r="K475" s="21" t="n">
        <v>42367</v>
      </c>
      <c r="L475" s="22" t="n">
        <v>240.69</v>
      </c>
      <c r="M475" s="8" t="s">
        <v>73</v>
      </c>
      <c r="N475" s="4" t="n">
        <v>3</v>
      </c>
      <c r="O475" s="6" t="n">
        <f aca="false">IF(C475="롱",(J475-E475)/E475,(E475-J475)/E475)</f>
        <v>-0.0150317744826462</v>
      </c>
    </row>
    <row r="476" customFormat="false" ht="17.15" hidden="false" customHeight="false" outlineLevel="0" collapsed="false">
      <c r="A476" s="4" t="n">
        <v>6</v>
      </c>
      <c r="B476" s="4" t="s">
        <v>22</v>
      </c>
      <c r="C476" s="8" t="s">
        <v>72</v>
      </c>
      <c r="D476" s="21" t="n">
        <v>42361</v>
      </c>
      <c r="E476" s="22" t="n">
        <v>246.53</v>
      </c>
      <c r="F476" s="21" t="n">
        <v>42362</v>
      </c>
      <c r="G476" s="22" t="n">
        <v>247.81</v>
      </c>
      <c r="H476" s="22" t="n">
        <v>231.52</v>
      </c>
      <c r="I476" s="21" t="n">
        <v>42366</v>
      </c>
      <c r="J476" s="22" t="n">
        <v>241.79</v>
      </c>
      <c r="K476" s="21" t="n">
        <v>42367</v>
      </c>
      <c r="L476" s="22" t="n">
        <v>240.69</v>
      </c>
      <c r="M476" s="8" t="s">
        <v>73</v>
      </c>
      <c r="N476" s="4" t="n">
        <v>2</v>
      </c>
      <c r="O476" s="6" t="n">
        <f aca="false">IF(C476="롱",(J476-E476)/E476,(E476-J476)/E476)</f>
        <v>-0.0192268689408997</v>
      </c>
    </row>
    <row r="477" customFormat="false" ht="17.15" hidden="false" customHeight="false" outlineLevel="0" collapsed="false">
      <c r="A477" s="4" t="n">
        <v>9</v>
      </c>
      <c r="B477" s="4" t="s">
        <v>28</v>
      </c>
      <c r="C477" s="8" t="s">
        <v>72</v>
      </c>
      <c r="D477" s="21" t="n">
        <v>42384</v>
      </c>
      <c r="E477" s="22" t="n">
        <v>228.78</v>
      </c>
      <c r="F477" s="21" t="n">
        <v>42387</v>
      </c>
      <c r="G477" s="22" t="n">
        <v>225.56</v>
      </c>
      <c r="H477" s="22" t="n">
        <v>211.35</v>
      </c>
      <c r="I477" s="21" t="n">
        <v>42396</v>
      </c>
      <c r="J477" s="22" t="n">
        <v>230.96</v>
      </c>
      <c r="K477" s="21" t="n">
        <v>42397</v>
      </c>
      <c r="L477" s="22" t="n">
        <v>229.07</v>
      </c>
      <c r="M477" s="8" t="s">
        <v>73</v>
      </c>
      <c r="N477" s="4" t="n">
        <v>8</v>
      </c>
      <c r="O477" s="6" t="n">
        <f aca="false">IF(C477="롱",(J477-E477)/E477,(E477-J477)/E477)</f>
        <v>0.00952880496546904</v>
      </c>
    </row>
    <row r="478" customFormat="false" ht="17.15" hidden="false" customHeight="false" outlineLevel="0" collapsed="false">
      <c r="A478" s="4" t="n">
        <v>9</v>
      </c>
      <c r="B478" s="4" t="s">
        <v>28</v>
      </c>
      <c r="C478" s="8" t="s">
        <v>72</v>
      </c>
      <c r="D478" s="21" t="n">
        <v>42403</v>
      </c>
      <c r="E478" s="22" t="n">
        <v>228.97</v>
      </c>
      <c r="F478" s="21" t="n">
        <v>42404</v>
      </c>
      <c r="G478" s="22" t="n">
        <v>230.3</v>
      </c>
      <c r="H478" s="22" t="n">
        <v>210.6</v>
      </c>
      <c r="I478" s="21" t="n">
        <v>42404</v>
      </c>
      <c r="J478" s="22" t="n">
        <v>232.91</v>
      </c>
      <c r="K478" s="21" t="n">
        <v>42405</v>
      </c>
      <c r="L478" s="22" t="n">
        <v>232.73</v>
      </c>
      <c r="M478" s="8" t="s">
        <v>73</v>
      </c>
      <c r="N478" s="4" t="n">
        <v>1</v>
      </c>
      <c r="O478" s="6" t="n">
        <f aca="false">IF(C478="롱",(J478-E478)/E478,(E478-J478)/E478)</f>
        <v>0.0172074944315849</v>
      </c>
    </row>
    <row r="479" customFormat="false" ht="17.15" hidden="false" customHeight="false" outlineLevel="0" collapsed="false">
      <c r="A479" s="4" t="n">
        <v>9</v>
      </c>
      <c r="B479" s="4" t="s">
        <v>28</v>
      </c>
      <c r="C479" s="8" t="s">
        <v>72</v>
      </c>
      <c r="D479" s="21" t="n">
        <v>42411</v>
      </c>
      <c r="E479" s="22" t="n">
        <v>226.7</v>
      </c>
      <c r="F479" s="21" t="n">
        <v>42412</v>
      </c>
      <c r="G479" s="22" t="n">
        <v>225.5</v>
      </c>
      <c r="H479" s="22" t="n">
        <v>207.74</v>
      </c>
      <c r="I479" s="21" t="n">
        <v>42416</v>
      </c>
      <c r="J479" s="22" t="n">
        <v>231.52</v>
      </c>
      <c r="K479" s="21" t="n">
        <v>42417</v>
      </c>
      <c r="L479" s="22" t="n">
        <v>231.66</v>
      </c>
      <c r="M479" s="8" t="s">
        <v>73</v>
      </c>
      <c r="N479" s="4" t="n">
        <v>3</v>
      </c>
      <c r="O479" s="6" t="n">
        <f aca="false">IF(C479="롱",(J479-E479)/E479,(E479-J479)/E479)</f>
        <v>0.0212615791795325</v>
      </c>
    </row>
    <row r="480" customFormat="false" ht="17.15" hidden="false" customHeight="false" outlineLevel="0" collapsed="false">
      <c r="A480" s="4" t="n">
        <v>3</v>
      </c>
      <c r="B480" s="4" t="s">
        <v>16</v>
      </c>
      <c r="C480" s="8" t="s">
        <v>72</v>
      </c>
      <c r="D480" s="21" t="n">
        <v>42466</v>
      </c>
      <c r="E480" s="22" t="n">
        <v>241.99</v>
      </c>
      <c r="F480" s="21" t="n">
        <v>42467</v>
      </c>
      <c r="G480" s="22" t="n">
        <v>243.05</v>
      </c>
      <c r="H480" s="22" t="n">
        <v>231.34</v>
      </c>
      <c r="I480" s="21" t="n">
        <v>42492</v>
      </c>
      <c r="J480" s="22" t="n">
        <v>243.47</v>
      </c>
      <c r="K480" s="21" t="n">
        <v>42493</v>
      </c>
      <c r="L480" s="22" t="n">
        <v>244.88</v>
      </c>
      <c r="M480" s="8" t="s">
        <v>73</v>
      </c>
      <c r="N480" s="4" t="n">
        <v>17</v>
      </c>
      <c r="O480" s="6" t="n">
        <f aca="false">IF(C480="롱",(J480-E480)/E480,(E480-J480)/E480)</f>
        <v>0.00611595520476049</v>
      </c>
    </row>
    <row r="481" customFormat="false" ht="17.15" hidden="false" customHeight="false" outlineLevel="0" collapsed="false">
      <c r="A481" s="4" t="n">
        <v>1</v>
      </c>
      <c r="B481" s="4" t="s">
        <v>12</v>
      </c>
      <c r="C481" s="8" t="s">
        <v>72</v>
      </c>
      <c r="D481" s="21" t="n">
        <v>42475</v>
      </c>
      <c r="E481" s="22" t="n">
        <v>248.53</v>
      </c>
      <c r="F481" s="21" t="n">
        <v>42478</v>
      </c>
      <c r="G481" s="22" t="n">
        <v>246.7</v>
      </c>
      <c r="H481" s="22" t="n">
        <v>237.5</v>
      </c>
      <c r="I481" s="21" t="n">
        <v>42488</v>
      </c>
      <c r="J481" s="22" t="n">
        <v>246.27</v>
      </c>
      <c r="K481" s="21" t="n">
        <v>42489</v>
      </c>
      <c r="L481" s="22" t="n">
        <v>245.9</v>
      </c>
      <c r="M481" s="8" t="s">
        <v>73</v>
      </c>
      <c r="N481" s="4" t="n">
        <v>9</v>
      </c>
      <c r="O481" s="6" t="n">
        <f aca="false">IF(C481="롱",(J481-E481)/E481,(E481-J481)/E481)</f>
        <v>-0.00909346960125535</v>
      </c>
    </row>
    <row r="482" customFormat="false" ht="17.15" hidden="false" customHeight="false" outlineLevel="0" collapsed="false">
      <c r="A482" s="4" t="n">
        <v>4</v>
      </c>
      <c r="B482" s="4" t="s">
        <v>18</v>
      </c>
      <c r="C482" s="8" t="s">
        <v>72</v>
      </c>
      <c r="D482" s="21" t="n">
        <v>42475</v>
      </c>
      <c r="E482" s="22" t="n">
        <v>248.53</v>
      </c>
      <c r="F482" s="21" t="n">
        <v>42478</v>
      </c>
      <c r="G482" s="22" t="n">
        <v>246.7</v>
      </c>
      <c r="H482" s="22" t="n">
        <v>237.5</v>
      </c>
      <c r="I482" s="21" t="n">
        <v>42493</v>
      </c>
      <c r="J482" s="22" t="n">
        <v>244.29</v>
      </c>
      <c r="K482" s="21" t="n">
        <v>42494</v>
      </c>
      <c r="L482" s="22" t="n">
        <v>243.29</v>
      </c>
      <c r="M482" s="8" t="s">
        <v>73</v>
      </c>
      <c r="N482" s="4" t="n">
        <v>12</v>
      </c>
      <c r="O482" s="6" t="n">
        <f aca="false">IF(C482="롱",(J482-E482)/E482,(E482-J482)/E482)</f>
        <v>-0.0170603146501429</v>
      </c>
    </row>
    <row r="483" customFormat="false" ht="17.15" hidden="false" customHeight="false" outlineLevel="0" collapsed="false">
      <c r="A483" s="4" t="n">
        <v>1</v>
      </c>
      <c r="B483" s="4" t="s">
        <v>12</v>
      </c>
      <c r="C483" s="8" t="s">
        <v>72</v>
      </c>
      <c r="D483" s="21" t="n">
        <v>42520</v>
      </c>
      <c r="E483" s="22" t="n">
        <v>241.73</v>
      </c>
      <c r="F483" s="21" t="n">
        <v>42521</v>
      </c>
      <c r="G483" s="22" t="n">
        <v>241.03</v>
      </c>
      <c r="H483" s="22" t="n">
        <v>231.79</v>
      </c>
      <c r="I483" s="21" t="n">
        <v>42537</v>
      </c>
      <c r="J483" s="22" t="n">
        <v>241.61</v>
      </c>
      <c r="K483" s="21" t="n">
        <v>42538</v>
      </c>
      <c r="L483" s="22" t="n">
        <v>243.35</v>
      </c>
      <c r="M483" s="8" t="s">
        <v>73</v>
      </c>
      <c r="N483" s="4" t="n">
        <v>12</v>
      </c>
      <c r="O483" s="6" t="n">
        <f aca="false">IF(C483="롱",(J483-E483)/E483,(E483-J483)/E483)</f>
        <v>-0.00049642162743547</v>
      </c>
    </row>
    <row r="484" customFormat="false" ht="17.15" hidden="false" customHeight="false" outlineLevel="0" collapsed="false">
      <c r="A484" s="4" t="n">
        <v>4</v>
      </c>
      <c r="B484" s="4" t="s">
        <v>18</v>
      </c>
      <c r="C484" s="8" t="s">
        <v>72</v>
      </c>
      <c r="D484" s="21" t="n">
        <v>42521</v>
      </c>
      <c r="E484" s="22" t="n">
        <v>243.63</v>
      </c>
      <c r="F484" s="21" t="n">
        <v>42522</v>
      </c>
      <c r="G484" s="22" t="n">
        <v>242.7</v>
      </c>
      <c r="H484" s="22" t="n">
        <v>233.41</v>
      </c>
      <c r="I484" s="21" t="n">
        <v>42538</v>
      </c>
      <c r="J484" s="22" t="n">
        <v>241.63</v>
      </c>
      <c r="K484" s="21" t="n">
        <v>42541</v>
      </c>
      <c r="L484" s="22" t="n">
        <v>244.44</v>
      </c>
      <c r="M484" s="8" t="s">
        <v>73</v>
      </c>
      <c r="N484" s="4" t="n">
        <v>12</v>
      </c>
      <c r="O484" s="6" t="n">
        <f aca="false">IF(C484="롱",(J484-E484)/E484,(E484-J484)/E484)</f>
        <v>-0.00820916964249066</v>
      </c>
    </row>
    <row r="485" customFormat="false" ht="17.15" hidden="false" customHeight="false" outlineLevel="0" collapsed="false">
      <c r="A485" s="4" t="n">
        <v>5</v>
      </c>
      <c r="B485" s="4" t="s">
        <v>20</v>
      </c>
      <c r="C485" s="8" t="s">
        <v>72</v>
      </c>
      <c r="D485" s="21" t="n">
        <v>42521</v>
      </c>
      <c r="E485" s="22" t="n">
        <v>243.63</v>
      </c>
      <c r="F485" s="21" t="n">
        <v>42522</v>
      </c>
      <c r="G485" s="22" t="n">
        <v>242.7</v>
      </c>
      <c r="H485" s="22" t="n">
        <v>233.41</v>
      </c>
      <c r="I485" s="21" t="n">
        <v>42534</v>
      </c>
      <c r="J485" s="22" t="n">
        <v>244.05</v>
      </c>
      <c r="K485" s="21" t="n">
        <v>42535</v>
      </c>
      <c r="L485" s="22" t="n">
        <v>243.79</v>
      </c>
      <c r="M485" s="8" t="s">
        <v>73</v>
      </c>
      <c r="N485" s="4" t="n">
        <v>8</v>
      </c>
      <c r="O485" s="6" t="n">
        <f aca="false">IF(C485="롱",(J485-E485)/E485,(E485-J485)/E485)</f>
        <v>0.0017239256249231</v>
      </c>
    </row>
    <row r="486" customFormat="false" ht="17.15" hidden="false" customHeight="false" outlineLevel="0" collapsed="false">
      <c r="A486" s="4" t="n">
        <v>6</v>
      </c>
      <c r="B486" s="4" t="s">
        <v>22</v>
      </c>
      <c r="C486" s="8" t="s">
        <v>72</v>
      </c>
      <c r="D486" s="21" t="n">
        <v>42528</v>
      </c>
      <c r="E486" s="22" t="n">
        <v>247.85</v>
      </c>
      <c r="F486" s="21" t="n">
        <v>42529</v>
      </c>
      <c r="G486" s="22" t="n">
        <v>248.24</v>
      </c>
      <c r="H486" s="22" t="n">
        <v>237.46</v>
      </c>
      <c r="I486" s="21" t="n">
        <v>42534</v>
      </c>
      <c r="J486" s="22" t="n">
        <v>244.05</v>
      </c>
      <c r="K486" s="21" t="n">
        <v>42535</v>
      </c>
      <c r="L486" s="22" t="n">
        <v>243.79</v>
      </c>
      <c r="M486" s="8" t="s">
        <v>73</v>
      </c>
      <c r="N486" s="4" t="n">
        <v>4</v>
      </c>
      <c r="O486" s="6" t="n">
        <f aca="false">IF(C486="롱",(J486-E486)/E486,(E486-J486)/E486)</f>
        <v>-0.0153318539439176</v>
      </c>
    </row>
    <row r="487" customFormat="false" ht="17.15" hidden="false" customHeight="false" outlineLevel="0" collapsed="false">
      <c r="A487" s="4" t="n">
        <v>7</v>
      </c>
      <c r="B487" s="4" t="s">
        <v>24</v>
      </c>
      <c r="C487" s="8" t="s">
        <v>72</v>
      </c>
      <c r="D487" s="21" t="n">
        <v>42536</v>
      </c>
      <c r="E487" s="22" t="n">
        <v>243.3</v>
      </c>
      <c r="F487" s="21" t="n">
        <v>42537</v>
      </c>
      <c r="G487" s="22" t="n">
        <v>243.66</v>
      </c>
      <c r="H487" s="22" t="n">
        <v>231.67</v>
      </c>
      <c r="I487" s="21" t="n">
        <v>42564</v>
      </c>
      <c r="J487" s="22" t="n">
        <v>249.25</v>
      </c>
      <c r="K487" s="21" t="n">
        <v>42565</v>
      </c>
      <c r="L487" s="22" t="n">
        <v>248.95</v>
      </c>
      <c r="M487" s="8" t="s">
        <v>73</v>
      </c>
      <c r="N487" s="4" t="n">
        <v>20</v>
      </c>
      <c r="O487" s="6" t="n">
        <f aca="false">IF(C487="롱",(J487-E487)/E487,(E487-J487)/E487)</f>
        <v>0.0244554048499794</v>
      </c>
    </row>
    <row r="488" customFormat="false" ht="17.15" hidden="false" customHeight="false" outlineLevel="0" collapsed="false">
      <c r="A488" s="4" t="n">
        <v>3</v>
      </c>
      <c r="B488" s="4" t="s">
        <v>16</v>
      </c>
      <c r="C488" s="8" t="s">
        <v>72</v>
      </c>
      <c r="D488" s="21" t="n">
        <v>42541</v>
      </c>
      <c r="E488" s="22" t="n">
        <v>245.17</v>
      </c>
      <c r="F488" s="21" t="n">
        <v>42542</v>
      </c>
      <c r="G488" s="22" t="n">
        <v>244.6</v>
      </c>
      <c r="H488" s="22" t="n">
        <v>232.39</v>
      </c>
      <c r="I488" s="21" t="n">
        <v>42545</v>
      </c>
      <c r="J488" s="22" t="n">
        <v>239.21</v>
      </c>
      <c r="K488" s="21" t="n">
        <v>42548</v>
      </c>
      <c r="L488" s="22" t="n">
        <v>236.79</v>
      </c>
      <c r="M488" s="8" t="s">
        <v>73</v>
      </c>
      <c r="N488" s="4" t="n">
        <v>4</v>
      </c>
      <c r="O488" s="6" t="n">
        <f aca="false">IF(C488="롱",(J488-E488)/E488,(E488-J488)/E488)</f>
        <v>-0.0243096626830362</v>
      </c>
    </row>
    <row r="489" customFormat="false" ht="17.15" hidden="false" customHeight="false" outlineLevel="0" collapsed="false">
      <c r="A489" s="4" t="n">
        <v>5</v>
      </c>
      <c r="B489" s="4" t="s">
        <v>20</v>
      </c>
      <c r="C489" s="8" t="s">
        <v>72</v>
      </c>
      <c r="D489" s="21" t="n">
        <v>42541</v>
      </c>
      <c r="E489" s="22" t="n">
        <v>245.17</v>
      </c>
      <c r="F489" s="21" t="n">
        <v>42542</v>
      </c>
      <c r="G489" s="22" t="n">
        <v>244.6</v>
      </c>
      <c r="H489" s="22" t="n">
        <v>232.39</v>
      </c>
      <c r="I489" s="21" t="n">
        <v>42545</v>
      </c>
      <c r="J489" s="22" t="n">
        <v>239.21</v>
      </c>
      <c r="K489" s="21" t="n">
        <v>42548</v>
      </c>
      <c r="L489" s="22" t="n">
        <v>236.79</v>
      </c>
      <c r="M489" s="8" t="s">
        <v>73</v>
      </c>
      <c r="N489" s="4" t="n">
        <v>4</v>
      </c>
      <c r="O489" s="6" t="n">
        <f aca="false">IF(C489="롱",(J489-E489)/E489,(E489-J489)/E489)</f>
        <v>-0.0243096626830362</v>
      </c>
    </row>
    <row r="490" customFormat="false" ht="17.15" hidden="false" customHeight="false" outlineLevel="0" collapsed="false">
      <c r="A490" s="4" t="n">
        <v>1</v>
      </c>
      <c r="B490" s="4" t="s">
        <v>12</v>
      </c>
      <c r="C490" s="8" t="s">
        <v>72</v>
      </c>
      <c r="D490" s="21" t="n">
        <v>42543</v>
      </c>
      <c r="E490" s="22" t="n">
        <v>246.75</v>
      </c>
      <c r="F490" s="21" t="n">
        <v>42544</v>
      </c>
      <c r="G490" s="22" t="n">
        <v>246.42</v>
      </c>
      <c r="H490" s="22" t="n">
        <v>234.15</v>
      </c>
      <c r="I490" s="21" t="n">
        <v>42545</v>
      </c>
      <c r="J490" s="22" t="n">
        <v>239.21</v>
      </c>
      <c r="K490" s="21" t="n">
        <v>42548</v>
      </c>
      <c r="L490" s="22" t="n">
        <v>236.79</v>
      </c>
      <c r="M490" s="8" t="s">
        <v>73</v>
      </c>
      <c r="N490" s="4" t="n">
        <v>2</v>
      </c>
      <c r="O490" s="6" t="n">
        <f aca="false">IF(C490="롱",(J490-E490)/E490,(E490-J490)/E490)</f>
        <v>-0.0305572441742654</v>
      </c>
    </row>
    <row r="491" customFormat="false" ht="17.15" hidden="false" customHeight="false" outlineLevel="0" collapsed="false">
      <c r="A491" s="4" t="n">
        <v>6</v>
      </c>
      <c r="B491" s="4" t="s">
        <v>22</v>
      </c>
      <c r="C491" s="8" t="s">
        <v>72</v>
      </c>
      <c r="D491" s="21" t="n">
        <v>42543</v>
      </c>
      <c r="E491" s="22" t="n">
        <v>246.75</v>
      </c>
      <c r="F491" s="21" t="n">
        <v>42544</v>
      </c>
      <c r="G491" s="22" t="n">
        <v>246.42</v>
      </c>
      <c r="H491" s="22" t="n">
        <v>234.15</v>
      </c>
      <c r="I491" s="21" t="n">
        <v>42545</v>
      </c>
      <c r="J491" s="22" t="n">
        <v>239.21</v>
      </c>
      <c r="K491" s="21" t="n">
        <v>42548</v>
      </c>
      <c r="L491" s="22" t="n">
        <v>236.79</v>
      </c>
      <c r="M491" s="8" t="s">
        <v>73</v>
      </c>
      <c r="N491" s="4" t="n">
        <v>2</v>
      </c>
      <c r="O491" s="6" t="n">
        <f aca="false">IF(C491="롱",(J491-E491)/E491,(E491-J491)/E491)</f>
        <v>-0.0305572441742654</v>
      </c>
    </row>
    <row r="492" customFormat="false" ht="17.15" hidden="false" customHeight="false" outlineLevel="0" collapsed="false">
      <c r="A492" s="4" t="n">
        <v>4</v>
      </c>
      <c r="B492" s="4" t="s">
        <v>18</v>
      </c>
      <c r="C492" s="8" t="s">
        <v>72</v>
      </c>
      <c r="D492" s="21" t="n">
        <v>42544</v>
      </c>
      <c r="E492" s="22" t="n">
        <v>246.31</v>
      </c>
      <c r="F492" s="21" t="n">
        <v>42545</v>
      </c>
      <c r="G492" s="22" t="n">
        <v>248.23</v>
      </c>
      <c r="H492" s="22" t="n">
        <v>234.37</v>
      </c>
      <c r="I492" s="21" t="n">
        <v>42548</v>
      </c>
      <c r="J492" s="22" t="n">
        <v>239.28</v>
      </c>
      <c r="K492" s="21" t="n">
        <v>42549</v>
      </c>
      <c r="L492" s="22" t="n">
        <v>236.78</v>
      </c>
      <c r="M492" s="8" t="s">
        <v>73</v>
      </c>
      <c r="N492" s="4" t="n">
        <v>2</v>
      </c>
      <c r="O492" s="6" t="n">
        <f aca="false">IF(C492="롱",(J492-E492)/E492,(E492-J492)/E492)</f>
        <v>-0.0285412691323941</v>
      </c>
    </row>
    <row r="493" customFormat="false" ht="17.15" hidden="false" customHeight="false" outlineLevel="0" collapsed="false">
      <c r="A493" s="4" t="n">
        <v>3</v>
      </c>
      <c r="B493" s="4" t="s">
        <v>16</v>
      </c>
      <c r="C493" s="8" t="s">
        <v>72</v>
      </c>
      <c r="D493" s="21" t="n">
        <v>42551</v>
      </c>
      <c r="E493" s="22" t="n">
        <v>244.14</v>
      </c>
      <c r="F493" s="21" t="n">
        <v>42552</v>
      </c>
      <c r="G493" s="22" t="n">
        <v>244.96</v>
      </c>
      <c r="H493" s="22" t="n">
        <v>228.41</v>
      </c>
      <c r="I493" s="21" t="n">
        <v>42625</v>
      </c>
      <c r="J493" s="22" t="n">
        <v>250.53</v>
      </c>
      <c r="K493" s="21" t="n">
        <v>42626</v>
      </c>
      <c r="L493" s="22" t="n">
        <v>253.39</v>
      </c>
      <c r="M493" s="8" t="s">
        <v>73</v>
      </c>
      <c r="N493" s="4" t="n">
        <v>51</v>
      </c>
      <c r="O493" s="6" t="n">
        <f aca="false">IF(C493="롱",(J493-E493)/E493,(E493-J493)/E493)</f>
        <v>0.026173507004178</v>
      </c>
    </row>
    <row r="494" customFormat="false" ht="17.15" hidden="false" customHeight="false" outlineLevel="0" collapsed="false">
      <c r="A494" s="4" t="n">
        <v>5</v>
      </c>
      <c r="B494" s="4" t="s">
        <v>20</v>
      </c>
      <c r="C494" s="8" t="s">
        <v>72</v>
      </c>
      <c r="D494" s="21" t="n">
        <v>42551</v>
      </c>
      <c r="E494" s="22" t="n">
        <v>244.14</v>
      </c>
      <c r="F494" s="21" t="n">
        <v>42552</v>
      </c>
      <c r="G494" s="22" t="n">
        <v>244.96</v>
      </c>
      <c r="H494" s="22" t="n">
        <v>228.41</v>
      </c>
      <c r="I494" s="21" t="n">
        <v>42557</v>
      </c>
      <c r="J494" s="22" t="n">
        <v>241.86</v>
      </c>
      <c r="K494" s="21" t="n">
        <v>42558</v>
      </c>
      <c r="L494" s="22" t="n">
        <v>243.15</v>
      </c>
      <c r="M494" s="8" t="s">
        <v>73</v>
      </c>
      <c r="N494" s="4" t="n">
        <v>4</v>
      </c>
      <c r="O494" s="6" t="n">
        <f aca="false">IF(C494="롱",(J494-E494)/E494,(E494-J494)/E494)</f>
        <v>-0.00933890390759389</v>
      </c>
    </row>
    <row r="495" customFormat="false" ht="17.15" hidden="false" customHeight="false" outlineLevel="0" collapsed="false">
      <c r="A495" s="4" t="n">
        <v>1</v>
      </c>
      <c r="B495" s="4" t="s">
        <v>12</v>
      </c>
      <c r="C495" s="8" t="s">
        <v>72</v>
      </c>
      <c r="D495" s="21" t="n">
        <v>42552</v>
      </c>
      <c r="E495" s="22" t="n">
        <v>246.52</v>
      </c>
      <c r="F495" s="21" t="n">
        <v>42555</v>
      </c>
      <c r="G495" s="22" t="n">
        <v>246.66</v>
      </c>
      <c r="H495" s="22" t="n">
        <v>230.27</v>
      </c>
      <c r="I495" s="21" t="n">
        <v>42585</v>
      </c>
      <c r="J495" s="22" t="n">
        <v>248.65</v>
      </c>
      <c r="K495" s="21" t="n">
        <v>42586</v>
      </c>
      <c r="L495" s="22" t="n">
        <v>250.22</v>
      </c>
      <c r="M495" s="8" t="s">
        <v>73</v>
      </c>
      <c r="N495" s="4" t="n">
        <v>23</v>
      </c>
      <c r="O495" s="6" t="n">
        <f aca="false">IF(C495="롱",(J495-E495)/E495,(E495-J495)/E495)</f>
        <v>0.00864027259451564</v>
      </c>
    </row>
    <row r="496" customFormat="false" ht="17.15" hidden="false" customHeight="false" outlineLevel="0" collapsed="false">
      <c r="A496" s="4" t="n">
        <v>6</v>
      </c>
      <c r="B496" s="4" t="s">
        <v>22</v>
      </c>
      <c r="C496" s="8" t="s">
        <v>72</v>
      </c>
      <c r="D496" s="21" t="n">
        <v>42552</v>
      </c>
      <c r="E496" s="22" t="n">
        <v>246.52</v>
      </c>
      <c r="F496" s="21" t="n">
        <v>42555</v>
      </c>
      <c r="G496" s="22" t="n">
        <v>246.66</v>
      </c>
      <c r="H496" s="22" t="n">
        <v>230.27</v>
      </c>
      <c r="I496" s="21" t="n">
        <v>42557</v>
      </c>
      <c r="J496" s="22" t="n">
        <v>241.86</v>
      </c>
      <c r="K496" s="21" t="n">
        <v>42558</v>
      </c>
      <c r="L496" s="22" t="n">
        <v>243.15</v>
      </c>
      <c r="M496" s="8" t="s">
        <v>73</v>
      </c>
      <c r="N496" s="4" t="n">
        <v>3</v>
      </c>
      <c r="O496" s="6" t="n">
        <f aca="false">IF(C496="롱",(J496-E496)/E496,(E496-J496)/E496)</f>
        <v>-0.0189031315917572</v>
      </c>
    </row>
    <row r="497" customFormat="false" ht="17.15" hidden="false" customHeight="false" outlineLevel="0" collapsed="false">
      <c r="A497" s="4" t="n">
        <v>4</v>
      </c>
      <c r="B497" s="4" t="s">
        <v>18</v>
      </c>
      <c r="C497" s="8" t="s">
        <v>72</v>
      </c>
      <c r="D497" s="21" t="n">
        <v>42556</v>
      </c>
      <c r="E497" s="22" t="n">
        <v>246.91</v>
      </c>
      <c r="F497" s="21" t="n">
        <v>42557</v>
      </c>
      <c r="G497" s="22" t="n">
        <v>245.37</v>
      </c>
      <c r="H497" s="22" t="n">
        <v>231.07</v>
      </c>
      <c r="I497" s="21" t="n">
        <v>42626</v>
      </c>
      <c r="J497" s="22" t="n">
        <v>251.77</v>
      </c>
      <c r="K497" s="21" t="n">
        <v>42632</v>
      </c>
      <c r="L497" s="22" t="n">
        <v>251.51</v>
      </c>
      <c r="M497" s="8" t="s">
        <v>73</v>
      </c>
      <c r="N497" s="4" t="n">
        <v>49</v>
      </c>
      <c r="O497" s="6" t="n">
        <f aca="false">IF(C497="롱",(J497-E497)/E497,(E497-J497)/E497)</f>
        <v>0.0196832854076385</v>
      </c>
    </row>
    <row r="498" customFormat="false" ht="17.15" hidden="false" customHeight="false" outlineLevel="0" collapsed="false">
      <c r="A498" s="4" t="n">
        <v>5</v>
      </c>
      <c r="B498" s="4" t="s">
        <v>20</v>
      </c>
      <c r="C498" s="8" t="s">
        <v>72</v>
      </c>
      <c r="D498" s="21" t="n">
        <v>42558</v>
      </c>
      <c r="E498" s="22" t="n">
        <v>244.6</v>
      </c>
      <c r="F498" s="21" t="n">
        <v>42559</v>
      </c>
      <c r="G498" s="22" t="n">
        <v>244.3</v>
      </c>
      <c r="H498" s="22" t="n">
        <v>227.78</v>
      </c>
      <c r="I498" s="21" t="n">
        <v>42559</v>
      </c>
      <c r="J498" s="22" t="n">
        <v>243.43</v>
      </c>
      <c r="K498" s="21" t="n">
        <v>42562</v>
      </c>
      <c r="L498" s="22" t="n">
        <v>245.64</v>
      </c>
      <c r="M498" s="8" t="s">
        <v>73</v>
      </c>
      <c r="N498" s="4" t="n">
        <v>1</v>
      </c>
      <c r="O498" s="6" t="n">
        <f aca="false">IF(C498="롱",(J498-E498)/E498,(E498-J498)/E498)</f>
        <v>-0.00478331970564181</v>
      </c>
    </row>
    <row r="499" customFormat="false" ht="17.15" hidden="false" customHeight="false" outlineLevel="0" collapsed="false">
      <c r="A499" s="4" t="n">
        <v>5</v>
      </c>
      <c r="B499" s="4" t="s">
        <v>20</v>
      </c>
      <c r="C499" s="8" t="s">
        <v>72</v>
      </c>
      <c r="D499" s="21" t="n">
        <v>42562</v>
      </c>
      <c r="E499" s="22" t="n">
        <v>246.99</v>
      </c>
      <c r="F499" s="21" t="n">
        <v>42563</v>
      </c>
      <c r="G499" s="22" t="n">
        <v>247.36</v>
      </c>
      <c r="H499" s="22" t="n">
        <v>230.2</v>
      </c>
      <c r="I499" s="21" t="n">
        <v>42625</v>
      </c>
      <c r="J499" s="22" t="n">
        <v>250.53</v>
      </c>
      <c r="K499" s="21" t="n">
        <v>42626</v>
      </c>
      <c r="L499" s="22" t="n">
        <v>253.39</v>
      </c>
      <c r="M499" s="8" t="s">
        <v>73</v>
      </c>
      <c r="N499" s="4" t="n">
        <v>44</v>
      </c>
      <c r="O499" s="6" t="n">
        <f aca="false">IF(C499="롱",(J499-E499)/E499,(E499-J499)/E499)</f>
        <v>0.0143325640714199</v>
      </c>
    </row>
    <row r="500" customFormat="false" ht="17.15" hidden="false" customHeight="false" outlineLevel="0" collapsed="false">
      <c r="A500" s="4" t="n">
        <v>6</v>
      </c>
      <c r="B500" s="4" t="s">
        <v>22</v>
      </c>
      <c r="C500" s="8" t="s">
        <v>72</v>
      </c>
      <c r="D500" s="21" t="n">
        <v>42564</v>
      </c>
      <c r="E500" s="22" t="n">
        <v>249.25</v>
      </c>
      <c r="F500" s="21" t="n">
        <v>42565</v>
      </c>
      <c r="G500" s="22" t="n">
        <v>248.95</v>
      </c>
      <c r="H500" s="22" t="n">
        <v>232.27</v>
      </c>
      <c r="I500" s="21" t="n">
        <v>42571</v>
      </c>
      <c r="J500" s="22" t="n">
        <v>250.66</v>
      </c>
      <c r="K500" s="21" t="n">
        <v>42572</v>
      </c>
      <c r="L500" s="22" t="n">
        <v>251.11</v>
      </c>
      <c r="M500" s="8" t="s">
        <v>73</v>
      </c>
      <c r="N500" s="4" t="n">
        <v>5</v>
      </c>
      <c r="O500" s="6" t="n">
        <f aca="false">IF(C500="롱",(J500-E500)/E500,(E500-J500)/E500)</f>
        <v>0.0056569709127382</v>
      </c>
    </row>
    <row r="501" customFormat="false" ht="17.15" hidden="false" customHeight="false" outlineLevel="0" collapsed="false">
      <c r="A501" s="4" t="n">
        <v>6</v>
      </c>
      <c r="B501" s="4" t="s">
        <v>22</v>
      </c>
      <c r="C501" s="8" t="s">
        <v>72</v>
      </c>
      <c r="D501" s="21" t="n">
        <v>42578</v>
      </c>
      <c r="E501" s="22" t="n">
        <v>252.73</v>
      </c>
      <c r="F501" s="21" t="n">
        <v>42579</v>
      </c>
      <c r="G501" s="22" t="n">
        <v>253.27</v>
      </c>
      <c r="H501" s="22" t="n">
        <v>240.96</v>
      </c>
      <c r="I501" s="21" t="n">
        <v>42580</v>
      </c>
      <c r="J501" s="22" t="n">
        <v>251.48</v>
      </c>
      <c r="K501" s="21" t="n">
        <v>42583</v>
      </c>
      <c r="L501" s="22" t="n">
        <v>252.91</v>
      </c>
      <c r="M501" s="8" t="s">
        <v>73</v>
      </c>
      <c r="N501" s="4" t="n">
        <v>2</v>
      </c>
      <c r="O501" s="6" t="n">
        <f aca="false">IF(C501="롱",(J501-E501)/E501,(E501-J501)/E501)</f>
        <v>-0.00494598979147707</v>
      </c>
    </row>
    <row r="502" customFormat="false" ht="17.15" hidden="false" customHeight="false" outlineLevel="0" collapsed="false">
      <c r="A502" s="4" t="n">
        <v>1</v>
      </c>
      <c r="B502" s="4" t="s">
        <v>12</v>
      </c>
      <c r="C502" s="8" t="s">
        <v>72</v>
      </c>
      <c r="D502" s="21" t="n">
        <v>42591</v>
      </c>
      <c r="E502" s="22" t="n">
        <v>255.85</v>
      </c>
      <c r="F502" s="21" t="n">
        <v>42592</v>
      </c>
      <c r="G502" s="22" t="n">
        <v>255.68</v>
      </c>
      <c r="H502" s="22" t="n">
        <v>245.45</v>
      </c>
      <c r="I502" s="21" t="n">
        <v>42607</v>
      </c>
      <c r="J502" s="22" t="n">
        <v>257.26</v>
      </c>
      <c r="K502" s="21" t="n">
        <v>42608</v>
      </c>
      <c r="L502" s="22" t="n">
        <v>256.17</v>
      </c>
      <c r="M502" s="8" t="s">
        <v>73</v>
      </c>
      <c r="N502" s="4" t="n">
        <v>11</v>
      </c>
      <c r="O502" s="6" t="n">
        <f aca="false">IF(C502="롱",(J502-E502)/E502,(E502-J502)/E502)</f>
        <v>0.00551104162595269</v>
      </c>
    </row>
    <row r="503" customFormat="false" ht="17.15" hidden="false" customHeight="false" outlineLevel="0" collapsed="false">
      <c r="A503" s="4" t="n">
        <v>6</v>
      </c>
      <c r="B503" s="4" t="s">
        <v>22</v>
      </c>
      <c r="C503" s="8" t="s">
        <v>72</v>
      </c>
      <c r="D503" s="21" t="n">
        <v>42591</v>
      </c>
      <c r="E503" s="22" t="n">
        <v>255.85</v>
      </c>
      <c r="F503" s="21" t="n">
        <v>42592</v>
      </c>
      <c r="G503" s="22" t="n">
        <v>255.68</v>
      </c>
      <c r="H503" s="22" t="n">
        <v>245.45</v>
      </c>
      <c r="I503" s="21" t="n">
        <v>42606</v>
      </c>
      <c r="J503" s="22" t="n">
        <v>257.3</v>
      </c>
      <c r="K503" s="21" t="n">
        <v>42607</v>
      </c>
      <c r="L503" s="22" t="n">
        <v>256.78</v>
      </c>
      <c r="M503" s="8" t="s">
        <v>73</v>
      </c>
      <c r="N503" s="4" t="n">
        <v>10</v>
      </c>
      <c r="O503" s="6" t="n">
        <f aca="false">IF(C503="롱",(J503-E503)/E503,(E503-J503)/E503)</f>
        <v>0.00566738323236278</v>
      </c>
    </row>
    <row r="504" customFormat="false" ht="17.15" hidden="false" customHeight="false" outlineLevel="0" collapsed="false">
      <c r="A504" s="4" t="n">
        <v>1</v>
      </c>
      <c r="B504" s="4" t="s">
        <v>12</v>
      </c>
      <c r="C504" s="8" t="s">
        <v>72</v>
      </c>
      <c r="D504" s="21" t="n">
        <v>42620</v>
      </c>
      <c r="E504" s="22" t="n">
        <v>260.31</v>
      </c>
      <c r="F504" s="21" t="n">
        <v>42621</v>
      </c>
      <c r="G504" s="22" t="n">
        <v>260.72</v>
      </c>
      <c r="H504" s="22" t="n">
        <v>250.41</v>
      </c>
      <c r="I504" s="21" t="n">
        <v>42622</v>
      </c>
      <c r="J504" s="22" t="n">
        <v>257.31</v>
      </c>
      <c r="K504" s="21" t="n">
        <v>42625</v>
      </c>
      <c r="L504" s="22" t="n">
        <v>252.37</v>
      </c>
      <c r="M504" s="8" t="s">
        <v>73</v>
      </c>
      <c r="N504" s="4" t="n">
        <v>2</v>
      </c>
      <c r="O504" s="6" t="n">
        <f aca="false">IF(C504="롱",(J504-E504)/E504,(E504-J504)/E504)</f>
        <v>-0.0115247205255273</v>
      </c>
    </row>
    <row r="505" customFormat="false" ht="17.15" hidden="false" customHeight="false" outlineLevel="0" collapsed="false">
      <c r="A505" s="4" t="n">
        <v>11</v>
      </c>
      <c r="B505" s="4" t="s">
        <v>32</v>
      </c>
      <c r="C505" s="8" t="s">
        <v>74</v>
      </c>
      <c r="D505" s="21" t="n">
        <v>42622</v>
      </c>
      <c r="E505" s="22" t="n">
        <v>257.31</v>
      </c>
      <c r="F505" s="21" t="n">
        <v>42625</v>
      </c>
      <c r="G505" s="22" t="n">
        <v>252.37</v>
      </c>
      <c r="H505" s="22" t="n">
        <v>268.09</v>
      </c>
      <c r="I505" s="21" t="n">
        <v>42635</v>
      </c>
      <c r="J505" s="22" t="n">
        <v>258.34</v>
      </c>
      <c r="K505" s="21" t="n">
        <v>42636</v>
      </c>
      <c r="L505" s="22" t="n">
        <v>258.44</v>
      </c>
      <c r="M505" s="8" t="s">
        <v>73</v>
      </c>
      <c r="N505" s="4" t="n">
        <v>6</v>
      </c>
      <c r="O505" s="6" t="n">
        <f aca="false">IF(C505="롱",(J505-E505)/E505,(E505-J505)/E505)</f>
        <v>-0.00400295363569225</v>
      </c>
    </row>
    <row r="506" customFormat="false" ht="17.15" hidden="false" customHeight="false" outlineLevel="0" collapsed="false">
      <c r="A506" s="4" t="n">
        <v>2</v>
      </c>
      <c r="B506" s="4" t="s">
        <v>14</v>
      </c>
      <c r="C506" s="8" t="s">
        <v>72</v>
      </c>
      <c r="D506" s="21" t="n">
        <v>42625</v>
      </c>
      <c r="E506" s="22" t="n">
        <v>250.53</v>
      </c>
      <c r="F506" s="21" t="n">
        <v>42626</v>
      </c>
      <c r="G506" s="22" t="n">
        <v>253.39</v>
      </c>
      <c r="H506" s="22" t="n">
        <v>238.6</v>
      </c>
      <c r="I506" s="21" t="n">
        <v>42642</v>
      </c>
      <c r="J506" s="22" t="n">
        <v>260.35</v>
      </c>
      <c r="K506" s="21" t="n">
        <v>42643</v>
      </c>
      <c r="L506" s="22" t="n">
        <v>258.3</v>
      </c>
      <c r="M506" s="8" t="s">
        <v>73</v>
      </c>
      <c r="N506" s="4" t="n">
        <v>10</v>
      </c>
      <c r="O506" s="6" t="n">
        <f aca="false">IF(C506="롱",(J506-E506)/E506,(E506-J506)/E506)</f>
        <v>0.039196902566559</v>
      </c>
    </row>
    <row r="507" customFormat="false" ht="17.15" hidden="false" customHeight="false" outlineLevel="0" collapsed="false">
      <c r="A507" s="4" t="n">
        <v>5</v>
      </c>
      <c r="B507" s="4" t="s">
        <v>20</v>
      </c>
      <c r="C507" s="8" t="s">
        <v>72</v>
      </c>
      <c r="D507" s="21" t="n">
        <v>42626</v>
      </c>
      <c r="E507" s="22" t="n">
        <v>251.77</v>
      </c>
      <c r="F507" s="21" t="n">
        <v>42632</v>
      </c>
      <c r="G507" s="22" t="n">
        <v>251.51</v>
      </c>
      <c r="H507" s="22" t="n">
        <v>239.59</v>
      </c>
      <c r="I507" s="21" t="n">
        <v>42656</v>
      </c>
      <c r="J507" s="22" t="n">
        <v>253.93</v>
      </c>
      <c r="K507" s="21" t="n">
        <v>42657</v>
      </c>
      <c r="L507" s="22" t="n">
        <v>254.7</v>
      </c>
      <c r="M507" s="8" t="s">
        <v>73</v>
      </c>
      <c r="N507" s="4" t="n">
        <v>18</v>
      </c>
      <c r="O507" s="6" t="n">
        <f aca="false">IF(C507="롱",(J507-E507)/E507,(E507-J507)/E507)</f>
        <v>0.00857925884736067</v>
      </c>
    </row>
    <row r="508" customFormat="false" ht="17.15" hidden="false" customHeight="false" outlineLevel="0" collapsed="false">
      <c r="A508" s="4" t="n">
        <v>3</v>
      </c>
      <c r="B508" s="4" t="s">
        <v>16</v>
      </c>
      <c r="C508" s="8" t="s">
        <v>72</v>
      </c>
      <c r="D508" s="21" t="n">
        <v>42634</v>
      </c>
      <c r="E508" s="22" t="n">
        <v>256.52</v>
      </c>
      <c r="F508" s="21" t="n">
        <v>42635</v>
      </c>
      <c r="G508" s="22" t="n">
        <v>258.46</v>
      </c>
      <c r="H508" s="22" t="n">
        <v>243.94</v>
      </c>
      <c r="I508" s="21" t="n">
        <v>42656</v>
      </c>
      <c r="J508" s="22" t="n">
        <v>253.93</v>
      </c>
      <c r="K508" s="21" t="n">
        <v>42657</v>
      </c>
      <c r="L508" s="22" t="n">
        <v>254.7</v>
      </c>
      <c r="M508" s="8" t="s">
        <v>73</v>
      </c>
      <c r="N508" s="4" t="n">
        <v>15</v>
      </c>
      <c r="O508" s="6" t="n">
        <f aca="false">IF(C508="롱",(J508-E508)/E508,(E508-J508)/E508)</f>
        <v>-0.0100966786215499</v>
      </c>
    </row>
    <row r="509" customFormat="false" ht="17.15" hidden="false" customHeight="false" outlineLevel="0" collapsed="false">
      <c r="A509" s="4" t="n">
        <v>4</v>
      </c>
      <c r="B509" s="4" t="s">
        <v>18</v>
      </c>
      <c r="C509" s="8" t="s">
        <v>72</v>
      </c>
      <c r="D509" s="21" t="n">
        <v>42639</v>
      </c>
      <c r="E509" s="22" t="n">
        <v>257.48</v>
      </c>
      <c r="F509" s="21" t="n">
        <v>42640</v>
      </c>
      <c r="G509" s="22" t="n">
        <v>256.16</v>
      </c>
      <c r="H509" s="22" t="n">
        <v>244.42</v>
      </c>
      <c r="I509" s="21" t="n">
        <v>42657</v>
      </c>
      <c r="J509" s="22" t="n">
        <v>255.09</v>
      </c>
      <c r="K509" s="21" t="n">
        <v>42660</v>
      </c>
      <c r="L509" s="22" t="n">
        <v>255.9</v>
      </c>
      <c r="M509" s="8" t="s">
        <v>73</v>
      </c>
      <c r="N509" s="4" t="n">
        <v>13</v>
      </c>
      <c r="O509" s="6" t="n">
        <f aca="false">IF(C509="롱",(J509-E509)/E509,(E509-J509)/E509)</f>
        <v>-0.00928227435140599</v>
      </c>
    </row>
    <row r="510" customFormat="false" ht="17.15" hidden="false" customHeight="false" outlineLevel="0" collapsed="false">
      <c r="A510" s="4" t="n">
        <v>1</v>
      </c>
      <c r="B510" s="4" t="s">
        <v>12</v>
      </c>
      <c r="C510" s="8" t="s">
        <v>72</v>
      </c>
      <c r="D510" s="21" t="n">
        <v>42640</v>
      </c>
      <c r="E510" s="22" t="n">
        <v>259.57</v>
      </c>
      <c r="F510" s="21" t="n">
        <v>42641</v>
      </c>
      <c r="G510" s="22" t="n">
        <v>259.32</v>
      </c>
      <c r="H510" s="22" t="n">
        <v>245.77</v>
      </c>
      <c r="I510" s="21" t="n">
        <v>42654</v>
      </c>
      <c r="J510" s="22" t="n">
        <v>256.15</v>
      </c>
      <c r="K510" s="21" t="n">
        <v>42655</v>
      </c>
      <c r="L510" s="22" t="n">
        <v>254.69</v>
      </c>
      <c r="M510" s="8" t="s">
        <v>73</v>
      </c>
      <c r="N510" s="4" t="n">
        <v>9</v>
      </c>
      <c r="O510" s="6" t="n">
        <f aca="false">IF(C510="롱",(J510-E510)/E510,(E510-J510)/E510)</f>
        <v>-0.0131756366298109</v>
      </c>
    </row>
    <row r="511" customFormat="false" ht="17.15" hidden="false" customHeight="false" outlineLevel="0" collapsed="false">
      <c r="A511" s="4" t="n">
        <v>5</v>
      </c>
      <c r="B511" s="4" t="s">
        <v>20</v>
      </c>
      <c r="C511" s="8" t="s">
        <v>72</v>
      </c>
      <c r="D511" s="21" t="n">
        <v>42660</v>
      </c>
      <c r="E511" s="22" t="n">
        <v>256.19</v>
      </c>
      <c r="F511" s="21" t="n">
        <v>42661</v>
      </c>
      <c r="G511" s="22" t="n">
        <v>256.17</v>
      </c>
      <c r="H511" s="22" t="n">
        <v>242.74</v>
      </c>
      <c r="I511" s="21" t="n">
        <v>42669</v>
      </c>
      <c r="J511" s="22" t="n">
        <v>255.52</v>
      </c>
      <c r="K511" s="21" t="n">
        <v>42670</v>
      </c>
      <c r="L511" s="22" t="n">
        <v>256.25</v>
      </c>
      <c r="M511" s="8" t="s">
        <v>73</v>
      </c>
      <c r="N511" s="4" t="n">
        <v>7</v>
      </c>
      <c r="O511" s="6" t="n">
        <f aca="false">IF(C511="롱",(J511-E511)/E511,(E511-J511)/E511)</f>
        <v>-0.00261524649674065</v>
      </c>
    </row>
    <row r="512" customFormat="false" ht="17.15" hidden="false" customHeight="false" outlineLevel="0" collapsed="false">
      <c r="A512" s="4" t="n">
        <v>3</v>
      </c>
      <c r="B512" s="4" t="s">
        <v>16</v>
      </c>
      <c r="C512" s="8" t="s">
        <v>72</v>
      </c>
      <c r="D512" s="21" t="n">
        <v>42661</v>
      </c>
      <c r="E512" s="22" t="n">
        <v>257.98</v>
      </c>
      <c r="F512" s="21" t="n">
        <v>42662</v>
      </c>
      <c r="G512" s="22" t="n">
        <v>257.25</v>
      </c>
      <c r="H512" s="22" t="n">
        <v>244.8</v>
      </c>
      <c r="I512" s="21" t="n">
        <v>42676</v>
      </c>
      <c r="J512" s="22" t="n">
        <v>252.83</v>
      </c>
      <c r="K512" s="21" t="n">
        <v>42677</v>
      </c>
      <c r="L512" s="22" t="n">
        <v>252.44</v>
      </c>
      <c r="M512" s="8" t="s">
        <v>73</v>
      </c>
      <c r="N512" s="4" t="n">
        <v>11</v>
      </c>
      <c r="O512" s="6" t="n">
        <f aca="false">IF(C512="롱",(J512-E512)/E512,(E512-J512)/E512)</f>
        <v>-0.0199627878130088</v>
      </c>
    </row>
    <row r="513" customFormat="false" ht="17.15" hidden="false" customHeight="false" outlineLevel="0" collapsed="false">
      <c r="A513" s="4" t="n">
        <v>1</v>
      </c>
      <c r="B513" s="4" t="s">
        <v>12</v>
      </c>
      <c r="C513" s="8" t="s">
        <v>72</v>
      </c>
      <c r="D513" s="21" t="n">
        <v>42667</v>
      </c>
      <c r="E513" s="22" t="n">
        <v>259.48</v>
      </c>
      <c r="F513" s="21" t="n">
        <v>42668</v>
      </c>
      <c r="G513" s="22" t="n">
        <v>258.79</v>
      </c>
      <c r="H513" s="22" t="n">
        <v>246.56</v>
      </c>
      <c r="I513" s="21" t="n">
        <v>42669</v>
      </c>
      <c r="J513" s="22" t="n">
        <v>255.52</v>
      </c>
      <c r="K513" s="21" t="n">
        <v>42670</v>
      </c>
      <c r="L513" s="22" t="n">
        <v>256.25</v>
      </c>
      <c r="M513" s="8" t="s">
        <v>73</v>
      </c>
      <c r="N513" s="4" t="n">
        <v>2</v>
      </c>
      <c r="O513" s="6" t="n">
        <f aca="false">IF(C513="롱",(J513-E513)/E513,(E513-J513)/E513)</f>
        <v>-0.0152612918143981</v>
      </c>
    </row>
    <row r="514" customFormat="false" ht="17.15" hidden="false" customHeight="false" outlineLevel="0" collapsed="false">
      <c r="A514" s="4" t="n">
        <v>4</v>
      </c>
      <c r="B514" s="4" t="s">
        <v>18</v>
      </c>
      <c r="C514" s="8" t="s">
        <v>72</v>
      </c>
      <c r="D514" s="21" t="n">
        <v>42667</v>
      </c>
      <c r="E514" s="22" t="n">
        <v>259.48</v>
      </c>
      <c r="F514" s="21" t="n">
        <v>42668</v>
      </c>
      <c r="G514" s="22" t="n">
        <v>258.79</v>
      </c>
      <c r="H514" s="22" t="n">
        <v>246.56</v>
      </c>
      <c r="I514" s="21" t="n">
        <v>42669</v>
      </c>
      <c r="J514" s="22" t="n">
        <v>255.52</v>
      </c>
      <c r="K514" s="21" t="n">
        <v>42670</v>
      </c>
      <c r="L514" s="22" t="n">
        <v>256.25</v>
      </c>
      <c r="M514" s="8" t="s">
        <v>73</v>
      </c>
      <c r="N514" s="4" t="n">
        <v>2</v>
      </c>
      <c r="O514" s="6" t="n">
        <f aca="false">IF(C514="롱",(J514-E514)/E514,(E514-J514)/E514)</f>
        <v>-0.0152612918143981</v>
      </c>
    </row>
    <row r="515" customFormat="false" ht="17.15" hidden="false" customHeight="false" outlineLevel="0" collapsed="false">
      <c r="A515" s="4" t="n">
        <v>5</v>
      </c>
      <c r="B515" s="4" t="s">
        <v>20</v>
      </c>
      <c r="C515" s="8" t="s">
        <v>72</v>
      </c>
      <c r="D515" s="21" t="n">
        <v>42670</v>
      </c>
      <c r="E515" s="22" t="n">
        <v>256.66</v>
      </c>
      <c r="F515" s="21" t="n">
        <v>42671</v>
      </c>
      <c r="G515" s="22" t="n">
        <v>256.45</v>
      </c>
      <c r="H515" s="22" t="n">
        <v>244.03</v>
      </c>
      <c r="I515" s="21" t="n">
        <v>42671</v>
      </c>
      <c r="J515" s="22" t="n">
        <v>256.53</v>
      </c>
      <c r="K515" s="21" t="n">
        <v>42674</v>
      </c>
      <c r="L515" s="22" t="n">
        <v>255.6</v>
      </c>
      <c r="M515" s="8" t="s">
        <v>73</v>
      </c>
      <c r="N515" s="4" t="n">
        <v>1</v>
      </c>
      <c r="O515" s="6" t="n">
        <f aca="false">IF(C515="롱",(J515-E515)/E515,(E515-J515)/E515)</f>
        <v>-0.000506506662510918</v>
      </c>
    </row>
    <row r="516" customFormat="false" ht="17.15" hidden="false" customHeight="false" outlineLevel="0" collapsed="false">
      <c r="A516" s="4" t="n">
        <v>2</v>
      </c>
      <c r="B516" s="4" t="s">
        <v>14</v>
      </c>
      <c r="C516" s="8" t="s">
        <v>72</v>
      </c>
      <c r="D516" s="21" t="n">
        <v>42676</v>
      </c>
      <c r="E516" s="22" t="n">
        <v>252.83</v>
      </c>
      <c r="F516" s="21" t="n">
        <v>42677</v>
      </c>
      <c r="G516" s="22" t="n">
        <v>252.44</v>
      </c>
      <c r="H516" s="22" t="n">
        <v>240.59</v>
      </c>
      <c r="I516" s="21" t="n">
        <v>42710</v>
      </c>
      <c r="J516" s="22" t="n">
        <v>255.63</v>
      </c>
      <c r="K516" s="21" t="n">
        <v>42711</v>
      </c>
      <c r="L516" s="22" t="n">
        <v>256.57</v>
      </c>
      <c r="M516" s="8" t="s">
        <v>73</v>
      </c>
      <c r="N516" s="4" t="n">
        <v>24</v>
      </c>
      <c r="O516" s="6" t="n">
        <f aca="false">IF(C516="롱",(J516-E516)/E516,(E516-J516)/E516)</f>
        <v>0.0110746351303247</v>
      </c>
    </row>
    <row r="517" customFormat="false" ht="17.15" hidden="false" customHeight="false" outlineLevel="0" collapsed="false">
      <c r="A517" s="4" t="n">
        <v>7</v>
      </c>
      <c r="B517" s="4" t="s">
        <v>24</v>
      </c>
      <c r="C517" s="8" t="s">
        <v>72</v>
      </c>
      <c r="D517" s="21" t="n">
        <v>42689</v>
      </c>
      <c r="E517" s="22" t="n">
        <v>249.2</v>
      </c>
      <c r="F517" s="21" t="n">
        <v>42690</v>
      </c>
      <c r="G517" s="22" t="n">
        <v>250.93</v>
      </c>
      <c r="H517" s="22" t="n">
        <v>234.98</v>
      </c>
      <c r="I517" s="21" t="n">
        <v>42710</v>
      </c>
      <c r="J517" s="22" t="n">
        <v>255.63</v>
      </c>
      <c r="K517" s="21" t="n">
        <v>42711</v>
      </c>
      <c r="L517" s="22" t="n">
        <v>256.57</v>
      </c>
      <c r="M517" s="8" t="s">
        <v>73</v>
      </c>
      <c r="N517" s="4" t="n">
        <v>15</v>
      </c>
      <c r="O517" s="6" t="n">
        <f aca="false">IF(C517="롱",(J517-E517)/E517,(E517-J517)/E517)</f>
        <v>0.0258025682182986</v>
      </c>
    </row>
    <row r="518" customFormat="false" ht="17.15" hidden="false" customHeight="false" outlineLevel="0" collapsed="false">
      <c r="A518" s="4" t="n">
        <v>1</v>
      </c>
      <c r="B518" s="4" t="s">
        <v>12</v>
      </c>
      <c r="C518" s="8" t="s">
        <v>72</v>
      </c>
      <c r="D518" s="21" t="n">
        <v>42746</v>
      </c>
      <c r="E518" s="22" t="n">
        <v>268.15</v>
      </c>
      <c r="F518" s="21" t="n">
        <v>42747</v>
      </c>
      <c r="G518" s="22" t="n">
        <v>268.48</v>
      </c>
      <c r="H518" s="22" t="n">
        <v>259.14</v>
      </c>
      <c r="I518" s="21" t="n">
        <v>42758</v>
      </c>
      <c r="J518" s="22" t="n">
        <v>267.12</v>
      </c>
      <c r="K518" s="21" t="n">
        <v>42759</v>
      </c>
      <c r="L518" s="22" t="n">
        <v>267.79</v>
      </c>
      <c r="M518" s="8" t="s">
        <v>73</v>
      </c>
      <c r="N518" s="4" t="n">
        <v>8</v>
      </c>
      <c r="O518" s="6" t="n">
        <f aca="false">IF(C518="롱",(J518-E518)/E518,(E518-J518)/E518)</f>
        <v>-0.00384113369382798</v>
      </c>
    </row>
    <row r="519" customFormat="false" ht="17.15" hidden="false" customHeight="false" outlineLevel="0" collapsed="false">
      <c r="A519" s="4" t="n">
        <v>1</v>
      </c>
      <c r="B519" s="4" t="s">
        <v>12</v>
      </c>
      <c r="C519" s="8" t="s">
        <v>72</v>
      </c>
      <c r="D519" s="21" t="n">
        <v>42761</v>
      </c>
      <c r="E519" s="22" t="n">
        <v>270.48</v>
      </c>
      <c r="F519" s="21" t="n">
        <v>42766</v>
      </c>
      <c r="G519" s="22" t="n">
        <v>269.61</v>
      </c>
      <c r="H519" s="22" t="n">
        <v>259.27</v>
      </c>
      <c r="I519" s="21" t="n">
        <v>42766</v>
      </c>
      <c r="J519" s="22" t="n">
        <v>268.09</v>
      </c>
      <c r="K519" s="21" t="n">
        <v>42767</v>
      </c>
      <c r="L519" s="22" t="n">
        <v>269.16</v>
      </c>
      <c r="M519" s="8" t="s">
        <v>73</v>
      </c>
      <c r="N519" s="4" t="n">
        <v>1</v>
      </c>
      <c r="O519" s="6" t="n">
        <f aca="false">IF(C519="롱",(J519-E519)/E519,(E519-J519)/E519)</f>
        <v>-0.0088361431529135</v>
      </c>
    </row>
    <row r="520" customFormat="false" ht="17.15" hidden="false" customHeight="false" outlineLevel="0" collapsed="false">
      <c r="A520" s="4" t="n">
        <v>6</v>
      </c>
      <c r="B520" s="4" t="s">
        <v>22</v>
      </c>
      <c r="C520" s="8" t="s">
        <v>72</v>
      </c>
      <c r="D520" s="21" t="n">
        <v>42761</v>
      </c>
      <c r="E520" s="22" t="n">
        <v>270.48</v>
      </c>
      <c r="F520" s="21" t="n">
        <v>42766</v>
      </c>
      <c r="G520" s="22" t="n">
        <v>269.61</v>
      </c>
      <c r="H520" s="22" t="n">
        <v>259.27</v>
      </c>
      <c r="I520" s="21" t="n">
        <v>42766</v>
      </c>
      <c r="J520" s="22" t="n">
        <v>268.09</v>
      </c>
      <c r="K520" s="21" t="n">
        <v>42767</v>
      </c>
      <c r="L520" s="22" t="n">
        <v>269.16</v>
      </c>
      <c r="M520" s="8" t="s">
        <v>73</v>
      </c>
      <c r="N520" s="4" t="n">
        <v>1</v>
      </c>
      <c r="O520" s="6" t="n">
        <f aca="false">IF(C520="롱",(J520-E520)/E520,(E520-J520)/E520)</f>
        <v>-0.0088361431529135</v>
      </c>
    </row>
    <row r="521" customFormat="false" ht="17.15" hidden="false" customHeight="false" outlineLevel="0" collapsed="false">
      <c r="A521" s="4" t="n">
        <v>10</v>
      </c>
      <c r="B521" s="4" t="s">
        <v>30</v>
      </c>
      <c r="C521" s="8" t="s">
        <v>72</v>
      </c>
      <c r="D521" s="21" t="n">
        <v>42776</v>
      </c>
      <c r="E521" s="22" t="n">
        <v>268.66</v>
      </c>
      <c r="F521" s="21" t="n">
        <v>42779</v>
      </c>
      <c r="G521" s="22" t="n">
        <v>268.48</v>
      </c>
      <c r="H521" s="22" t="n">
        <v>256.93</v>
      </c>
      <c r="I521" s="21" t="n">
        <v>42780</v>
      </c>
      <c r="J521" s="22" t="n">
        <v>267.9</v>
      </c>
      <c r="K521" s="21" t="n">
        <v>42781</v>
      </c>
      <c r="L521" s="22" t="n">
        <v>267.64</v>
      </c>
      <c r="M521" s="8" t="s">
        <v>73</v>
      </c>
      <c r="N521" s="4" t="n">
        <v>2</v>
      </c>
      <c r="O521" s="6" t="n">
        <f aca="false">IF(C521="롱",(J521-E521)/E521,(E521-J521)/E521)</f>
        <v>-0.00282885431400301</v>
      </c>
    </row>
    <row r="522" customFormat="false" ht="17.15" hidden="false" customHeight="false" outlineLevel="0" collapsed="false">
      <c r="A522" s="4" t="n">
        <v>1</v>
      </c>
      <c r="B522" s="4" t="s">
        <v>12</v>
      </c>
      <c r="C522" s="8" t="s">
        <v>72</v>
      </c>
      <c r="D522" s="21" t="n">
        <v>42788</v>
      </c>
      <c r="E522" s="22" t="n">
        <v>272.85</v>
      </c>
      <c r="F522" s="21" t="n">
        <v>42789</v>
      </c>
      <c r="G522" s="22" t="n">
        <v>272.61</v>
      </c>
      <c r="H522" s="22" t="n">
        <v>262.35</v>
      </c>
      <c r="I522" s="21" t="n">
        <v>42793</v>
      </c>
      <c r="J522" s="22" t="n">
        <v>268.97</v>
      </c>
      <c r="K522" s="21" t="n">
        <v>42794</v>
      </c>
      <c r="L522" s="22" t="n">
        <v>269.27</v>
      </c>
      <c r="M522" s="8" t="s">
        <v>73</v>
      </c>
      <c r="N522" s="4" t="n">
        <v>3</v>
      </c>
      <c r="O522" s="6" t="n">
        <f aca="false">IF(C522="롱",(J522-E522)/E522,(E522-J522)/E522)</f>
        <v>-0.0142202675462708</v>
      </c>
    </row>
    <row r="523" customFormat="false" ht="17.15" hidden="false" customHeight="false" outlineLevel="0" collapsed="false">
      <c r="A523" s="4" t="n">
        <v>6</v>
      </c>
      <c r="B523" s="4" t="s">
        <v>22</v>
      </c>
      <c r="C523" s="8" t="s">
        <v>72</v>
      </c>
      <c r="D523" s="21" t="n">
        <v>42788</v>
      </c>
      <c r="E523" s="22" t="n">
        <v>272.85</v>
      </c>
      <c r="F523" s="21" t="n">
        <v>42789</v>
      </c>
      <c r="G523" s="22" t="n">
        <v>272.61</v>
      </c>
      <c r="H523" s="22" t="n">
        <v>262.35</v>
      </c>
      <c r="I523" s="21" t="n">
        <v>42790</v>
      </c>
      <c r="J523" s="22" t="n">
        <v>270.38</v>
      </c>
      <c r="K523" s="21" t="n">
        <v>42793</v>
      </c>
      <c r="L523" s="22" t="n">
        <v>270.35</v>
      </c>
      <c r="M523" s="8" t="s">
        <v>73</v>
      </c>
      <c r="N523" s="4" t="n">
        <v>2</v>
      </c>
      <c r="O523" s="6" t="n">
        <f aca="false">IF(C523="롱",(J523-E523)/E523,(E523-J523)/E523)</f>
        <v>-0.00905259299981685</v>
      </c>
    </row>
    <row r="524" customFormat="false" ht="17.15" hidden="false" customHeight="false" outlineLevel="0" collapsed="false">
      <c r="A524" s="4" t="n">
        <v>1</v>
      </c>
      <c r="B524" s="4" t="s">
        <v>12</v>
      </c>
      <c r="C524" s="8" t="s">
        <v>72</v>
      </c>
      <c r="D524" s="21" t="n">
        <v>42807</v>
      </c>
      <c r="E524" s="22" t="n">
        <v>275.41</v>
      </c>
      <c r="F524" s="21" t="n">
        <v>42808</v>
      </c>
      <c r="G524" s="22" t="n">
        <v>276.8</v>
      </c>
      <c r="H524" s="22" t="n">
        <v>264.24</v>
      </c>
      <c r="I524" s="21" t="n">
        <v>42824</v>
      </c>
      <c r="J524" s="22" t="n">
        <v>281.66</v>
      </c>
      <c r="K524" s="21" t="n">
        <v>42825</v>
      </c>
      <c r="L524" s="22" t="n">
        <v>282.03</v>
      </c>
      <c r="M524" s="8" t="s">
        <v>73</v>
      </c>
      <c r="N524" s="4" t="n">
        <v>13</v>
      </c>
      <c r="O524" s="6" t="n">
        <f aca="false">IF(C524="롱",(J524-E524)/E524,(E524-J524)/E524)</f>
        <v>0.0226934388729531</v>
      </c>
    </row>
    <row r="525" customFormat="false" ht="17.15" hidden="false" customHeight="false" outlineLevel="0" collapsed="false">
      <c r="A525" s="4" t="n">
        <v>6</v>
      </c>
      <c r="B525" s="4" t="s">
        <v>22</v>
      </c>
      <c r="C525" s="8" t="s">
        <v>72</v>
      </c>
      <c r="D525" s="21" t="n">
        <v>42808</v>
      </c>
      <c r="E525" s="22" t="n">
        <v>277.89</v>
      </c>
      <c r="F525" s="21" t="n">
        <v>42809</v>
      </c>
      <c r="G525" s="22" t="n">
        <v>276.91</v>
      </c>
      <c r="H525" s="22" t="n">
        <v>266.26</v>
      </c>
      <c r="I525" s="21" t="n">
        <v>42818</v>
      </c>
      <c r="J525" s="22" t="n">
        <v>282.31</v>
      </c>
      <c r="K525" s="21" t="n">
        <v>42821</v>
      </c>
      <c r="L525" s="22" t="n">
        <v>281.1</v>
      </c>
      <c r="M525" s="8" t="s">
        <v>73</v>
      </c>
      <c r="N525" s="4" t="n">
        <v>8</v>
      </c>
      <c r="O525" s="6" t="n">
        <f aca="false">IF(C525="롱",(J525-E525)/E525,(E525-J525)/E525)</f>
        <v>0.0159055741480443</v>
      </c>
    </row>
    <row r="526" customFormat="false" ht="17.15" hidden="false" customHeight="false" outlineLevel="0" collapsed="false">
      <c r="A526" s="4" t="n">
        <v>2</v>
      </c>
      <c r="B526" s="4" t="s">
        <v>14</v>
      </c>
      <c r="C526" s="8" t="s">
        <v>72</v>
      </c>
      <c r="D526" s="21" t="n">
        <v>42836</v>
      </c>
      <c r="E526" s="22" t="n">
        <v>275.49</v>
      </c>
      <c r="F526" s="21" t="n">
        <v>42837</v>
      </c>
      <c r="G526" s="22" t="n">
        <v>276.11</v>
      </c>
      <c r="H526" s="22" t="n">
        <v>264.34</v>
      </c>
      <c r="I526" s="21" t="n">
        <v>42846</v>
      </c>
      <c r="J526" s="22" t="n">
        <v>280.05</v>
      </c>
      <c r="K526" s="21" t="n">
        <v>42849</v>
      </c>
      <c r="L526" s="22" t="n">
        <v>281.66</v>
      </c>
      <c r="M526" s="8" t="s">
        <v>73</v>
      </c>
      <c r="N526" s="4" t="n">
        <v>8</v>
      </c>
      <c r="O526" s="6" t="n">
        <f aca="false">IF(C526="롱",(J526-E526)/E526,(E526-J526)/E526)</f>
        <v>0.016552324948274</v>
      </c>
    </row>
    <row r="527" customFormat="false" ht="17.15" hidden="false" customHeight="false" outlineLevel="0" collapsed="false">
      <c r="A527" s="4" t="n">
        <v>3</v>
      </c>
      <c r="B527" s="4" t="s">
        <v>16</v>
      </c>
      <c r="C527" s="8" t="s">
        <v>72</v>
      </c>
      <c r="D527" s="21" t="n">
        <v>42838</v>
      </c>
      <c r="E527" s="22" t="n">
        <v>279.12</v>
      </c>
      <c r="F527" s="21" t="n">
        <v>42839</v>
      </c>
      <c r="G527" s="22" t="n">
        <v>277.59</v>
      </c>
      <c r="H527" s="22" t="n">
        <v>268.05</v>
      </c>
      <c r="I527" s="21" t="n">
        <v>42859</v>
      </c>
      <c r="J527" s="22" t="n">
        <v>292.47</v>
      </c>
      <c r="K527" s="21" t="n">
        <v>42863</v>
      </c>
      <c r="L527" s="22" t="n">
        <v>292.95</v>
      </c>
      <c r="M527" s="8" t="s">
        <v>73</v>
      </c>
      <c r="N527" s="4" t="n">
        <v>13</v>
      </c>
      <c r="O527" s="6" t="n">
        <f aca="false">IF(C527="롱",(J527-E527)/E527,(E527-J527)/E527)</f>
        <v>0.0478288907996561</v>
      </c>
    </row>
    <row r="528" customFormat="false" ht="17.15" hidden="false" customHeight="false" outlineLevel="0" collapsed="false">
      <c r="A528" s="4" t="n">
        <v>1</v>
      </c>
      <c r="B528" s="4" t="s">
        <v>12</v>
      </c>
      <c r="C528" s="8" t="s">
        <v>72</v>
      </c>
      <c r="D528" s="21" t="n">
        <v>42850</v>
      </c>
      <c r="E528" s="22" t="n">
        <v>285.41</v>
      </c>
      <c r="F528" s="21" t="n">
        <v>42851</v>
      </c>
      <c r="G528" s="22" t="n">
        <v>286.04</v>
      </c>
      <c r="H528" s="22" t="n">
        <v>274.09</v>
      </c>
      <c r="I528" s="21" t="n">
        <v>42887</v>
      </c>
      <c r="J528" s="22" t="n">
        <v>304.03</v>
      </c>
      <c r="K528" s="21" t="n">
        <v>42888</v>
      </c>
      <c r="L528" s="22" t="n">
        <v>305.34</v>
      </c>
      <c r="M528" s="8" t="s">
        <v>73</v>
      </c>
      <c r="N528" s="4" t="n">
        <v>23</v>
      </c>
      <c r="O528" s="6" t="n">
        <f aca="false">IF(C528="롱",(J528-E528)/E528,(E528-J528)/E528)</f>
        <v>0.0652394800462491</v>
      </c>
    </row>
    <row r="529" customFormat="false" ht="17.15" hidden="false" customHeight="false" outlineLevel="0" collapsed="false">
      <c r="A529" s="4" t="n">
        <v>4</v>
      </c>
      <c r="B529" s="4" t="s">
        <v>18</v>
      </c>
      <c r="C529" s="8" t="s">
        <v>72</v>
      </c>
      <c r="D529" s="21" t="n">
        <v>42850</v>
      </c>
      <c r="E529" s="22" t="n">
        <v>285.41</v>
      </c>
      <c r="F529" s="21" t="n">
        <v>42851</v>
      </c>
      <c r="G529" s="22" t="n">
        <v>286.04</v>
      </c>
      <c r="H529" s="22" t="n">
        <v>274.09</v>
      </c>
      <c r="I529" s="21" t="n">
        <v>42950</v>
      </c>
      <c r="J529" s="22" t="n">
        <v>312.29</v>
      </c>
      <c r="K529" s="21" t="n">
        <v>42951</v>
      </c>
      <c r="L529" s="22" t="n">
        <v>312.8</v>
      </c>
      <c r="M529" s="8" t="s">
        <v>73</v>
      </c>
      <c r="N529" s="4" t="n">
        <v>67</v>
      </c>
      <c r="O529" s="6" t="n">
        <f aca="false">IF(C529="롱",(J529-E529)/E529,(E529-J529)/E529)</f>
        <v>0.094180302021653</v>
      </c>
    </row>
    <row r="530" customFormat="false" ht="17.15" hidden="false" customHeight="false" outlineLevel="0" collapsed="false">
      <c r="A530" s="4" t="n">
        <v>6</v>
      </c>
      <c r="B530" s="4" t="s">
        <v>22</v>
      </c>
      <c r="C530" s="8" t="s">
        <v>72</v>
      </c>
      <c r="D530" s="21" t="n">
        <v>42850</v>
      </c>
      <c r="E530" s="22" t="n">
        <v>285.41</v>
      </c>
      <c r="F530" s="21" t="n">
        <v>42851</v>
      </c>
      <c r="G530" s="22" t="n">
        <v>286.04</v>
      </c>
      <c r="H530" s="22" t="n">
        <v>274.09</v>
      </c>
      <c r="I530" s="21" t="n">
        <v>42873</v>
      </c>
      <c r="J530" s="22" t="n">
        <v>298.47</v>
      </c>
      <c r="K530" s="21" t="n">
        <v>42874</v>
      </c>
      <c r="L530" s="22" t="n">
        <v>298.26</v>
      </c>
      <c r="M530" s="8" t="s">
        <v>73</v>
      </c>
      <c r="N530" s="4" t="n">
        <v>13</v>
      </c>
      <c r="O530" s="6" t="n">
        <f aca="false">IF(C530="롱",(J530-E530)/E530,(E530-J530)/E530)</f>
        <v>0.045758733050699</v>
      </c>
    </row>
    <row r="531" customFormat="false" ht="17.15" hidden="false" customHeight="false" outlineLevel="0" collapsed="false">
      <c r="A531" s="4" t="n">
        <v>6</v>
      </c>
      <c r="B531" s="4" t="s">
        <v>22</v>
      </c>
      <c r="C531" s="8" t="s">
        <v>72</v>
      </c>
      <c r="D531" s="21" t="n">
        <v>42879</v>
      </c>
      <c r="E531" s="22" t="n">
        <v>301.71</v>
      </c>
      <c r="F531" s="21" t="n">
        <v>42880</v>
      </c>
      <c r="G531" s="22" t="n">
        <v>302.83</v>
      </c>
      <c r="H531" s="22" t="n">
        <v>285.49</v>
      </c>
      <c r="I531" s="21" t="n">
        <v>42885</v>
      </c>
      <c r="J531" s="22" t="n">
        <v>304.59</v>
      </c>
      <c r="K531" s="21" t="n">
        <v>42886</v>
      </c>
      <c r="L531" s="22" t="n">
        <v>303.79</v>
      </c>
      <c r="M531" s="8" t="s">
        <v>73</v>
      </c>
      <c r="N531" s="4" t="n">
        <v>4</v>
      </c>
      <c r="O531" s="6" t="n">
        <f aca="false">IF(C531="롱",(J531-E531)/E531,(E531-J531)/E531)</f>
        <v>0.00954559013622351</v>
      </c>
    </row>
    <row r="532" customFormat="false" ht="17.15" hidden="false" customHeight="false" outlineLevel="0" collapsed="false">
      <c r="A532" s="4" t="n">
        <v>1</v>
      </c>
      <c r="B532" s="4" t="s">
        <v>12</v>
      </c>
      <c r="C532" s="8" t="s">
        <v>72</v>
      </c>
      <c r="D532" s="21" t="n">
        <v>42930</v>
      </c>
      <c r="E532" s="22" t="n">
        <v>317.35</v>
      </c>
      <c r="F532" s="21" t="n">
        <v>42933</v>
      </c>
      <c r="G532" s="22" t="n">
        <v>319.22</v>
      </c>
      <c r="H532" s="22" t="n">
        <v>305.72</v>
      </c>
      <c r="I532" s="21" t="n">
        <v>42944</v>
      </c>
      <c r="J532" s="22" t="n">
        <v>314.13</v>
      </c>
      <c r="K532" s="21" t="n">
        <v>42947</v>
      </c>
      <c r="L532" s="22" t="n">
        <v>312.73</v>
      </c>
      <c r="M532" s="8" t="s">
        <v>73</v>
      </c>
      <c r="N532" s="4" t="n">
        <v>10</v>
      </c>
      <c r="O532" s="6" t="n">
        <f aca="false">IF(C532="롱",(J532-E532)/E532,(E532-J532)/E532)</f>
        <v>-0.0101465259177565</v>
      </c>
    </row>
    <row r="533" customFormat="false" ht="17.15" hidden="false" customHeight="false" outlineLevel="0" collapsed="false">
      <c r="A533" s="4" t="n">
        <v>6</v>
      </c>
      <c r="B533" s="4" t="s">
        <v>22</v>
      </c>
      <c r="C533" s="8" t="s">
        <v>72</v>
      </c>
      <c r="D533" s="21" t="n">
        <v>42933</v>
      </c>
      <c r="E533" s="22" t="n">
        <v>318.52</v>
      </c>
      <c r="F533" s="21" t="n">
        <v>42934</v>
      </c>
      <c r="G533" s="22" t="n">
        <v>318.38</v>
      </c>
      <c r="H533" s="22" t="n">
        <v>307.14</v>
      </c>
      <c r="I533" s="21" t="n">
        <v>42941</v>
      </c>
      <c r="J533" s="22" t="n">
        <v>320.15</v>
      </c>
      <c r="K533" s="21" t="n">
        <v>42942</v>
      </c>
      <c r="L533" s="22" t="n">
        <v>320.86</v>
      </c>
      <c r="M533" s="8" t="s">
        <v>73</v>
      </c>
      <c r="N533" s="4" t="n">
        <v>6</v>
      </c>
      <c r="O533" s="6" t="n">
        <f aca="false">IF(C533="롱",(J533-E533)/E533,(E533-J533)/E533)</f>
        <v>0.00511741805852064</v>
      </c>
    </row>
    <row r="534" customFormat="false" ht="17.15" hidden="false" customHeight="false" outlineLevel="0" collapsed="false">
      <c r="A534" s="4" t="n">
        <v>3</v>
      </c>
      <c r="B534" s="4" t="s">
        <v>16</v>
      </c>
      <c r="C534" s="8" t="s">
        <v>72</v>
      </c>
      <c r="D534" s="21" t="n">
        <v>42948</v>
      </c>
      <c r="E534" s="22" t="n">
        <v>317.04</v>
      </c>
      <c r="F534" s="21" t="n">
        <v>42949</v>
      </c>
      <c r="G534" s="22" t="n">
        <v>318.58</v>
      </c>
      <c r="H534" s="22" t="n">
        <v>304.52</v>
      </c>
      <c r="I534" s="21" t="n">
        <v>42950</v>
      </c>
      <c r="J534" s="22" t="n">
        <v>312.29</v>
      </c>
      <c r="K534" s="21" t="n">
        <v>42951</v>
      </c>
      <c r="L534" s="22" t="n">
        <v>312.8</v>
      </c>
      <c r="M534" s="8" t="s">
        <v>73</v>
      </c>
      <c r="N534" s="4" t="n">
        <v>2</v>
      </c>
      <c r="O534" s="6" t="n">
        <f aca="false">IF(C534="롱",(J534-E534)/E534,(E534-J534)/E534)</f>
        <v>-0.0149823366136765</v>
      </c>
    </row>
    <row r="535" customFormat="false" ht="17.15" hidden="false" customHeight="false" outlineLevel="0" collapsed="false">
      <c r="A535" s="4" t="n">
        <v>2</v>
      </c>
      <c r="B535" s="4" t="s">
        <v>14</v>
      </c>
      <c r="C535" s="8" t="s">
        <v>72</v>
      </c>
      <c r="D535" s="21" t="n">
        <v>42956</v>
      </c>
      <c r="E535" s="22" t="n">
        <v>309.52</v>
      </c>
      <c r="F535" s="21" t="n">
        <v>42957</v>
      </c>
      <c r="G535" s="22" t="n">
        <v>308.3</v>
      </c>
      <c r="H535" s="22" t="n">
        <v>294.4</v>
      </c>
      <c r="I535" s="21" t="n">
        <v>42992</v>
      </c>
      <c r="J535" s="22" t="n">
        <v>312.52</v>
      </c>
      <c r="K535" s="21" t="n">
        <v>42993</v>
      </c>
      <c r="L535" s="22" t="n">
        <v>311.19</v>
      </c>
      <c r="M535" s="8" t="s">
        <v>73</v>
      </c>
      <c r="N535" s="4" t="n">
        <v>25</v>
      </c>
      <c r="O535" s="6" t="n">
        <f aca="false">IF(C535="롱",(J535-E535)/E535,(E535-J535)/E535)</f>
        <v>0.00969242698371672</v>
      </c>
    </row>
    <row r="536" customFormat="false" ht="17.15" hidden="false" customHeight="false" outlineLevel="0" collapsed="false">
      <c r="A536" s="4" t="n">
        <v>1</v>
      </c>
      <c r="B536" s="4" t="s">
        <v>12</v>
      </c>
      <c r="C536" s="8" t="s">
        <v>72</v>
      </c>
      <c r="D536" s="21" t="n">
        <v>42972</v>
      </c>
      <c r="E536" s="22" t="n">
        <v>311.21</v>
      </c>
      <c r="F536" s="21" t="n">
        <v>42975</v>
      </c>
      <c r="G536" s="22" t="n">
        <v>310.69</v>
      </c>
      <c r="H536" s="22" t="n">
        <v>293.66</v>
      </c>
      <c r="I536" s="21" t="n">
        <v>42982</v>
      </c>
      <c r="J536" s="22" t="n">
        <v>304.19</v>
      </c>
      <c r="K536" s="21" t="n">
        <v>42983</v>
      </c>
      <c r="L536" s="22" t="n">
        <v>305.64</v>
      </c>
      <c r="M536" s="8" t="s">
        <v>73</v>
      </c>
      <c r="N536" s="4" t="n">
        <v>6</v>
      </c>
      <c r="O536" s="6" t="n">
        <f aca="false">IF(C536="롱",(J536-E536)/E536,(E536-J536)/E536)</f>
        <v>-0.0225571157739147</v>
      </c>
    </row>
    <row r="537" customFormat="false" ht="17.15" hidden="false" customHeight="false" outlineLevel="0" collapsed="false">
      <c r="A537" s="4" t="n">
        <v>6</v>
      </c>
      <c r="B537" s="4" t="s">
        <v>22</v>
      </c>
      <c r="C537" s="8" t="s">
        <v>72</v>
      </c>
      <c r="D537" s="21" t="n">
        <v>42972</v>
      </c>
      <c r="E537" s="22" t="n">
        <v>311.21</v>
      </c>
      <c r="F537" s="21" t="n">
        <v>42975</v>
      </c>
      <c r="G537" s="22" t="n">
        <v>310.69</v>
      </c>
      <c r="H537" s="22" t="n">
        <v>293.66</v>
      </c>
      <c r="I537" s="21" t="n">
        <v>42975</v>
      </c>
      <c r="J537" s="22" t="n">
        <v>309.53</v>
      </c>
      <c r="K537" s="21" t="n">
        <v>42976</v>
      </c>
      <c r="L537" s="22" t="n">
        <v>307.46</v>
      </c>
      <c r="M537" s="8" t="s">
        <v>73</v>
      </c>
      <c r="N537" s="4" t="n">
        <v>1</v>
      </c>
      <c r="O537" s="6" t="n">
        <f aca="false">IF(C537="롱",(J537-E537)/E537,(E537-J537)/E537)</f>
        <v>-0.00539828411683431</v>
      </c>
    </row>
    <row r="538" customFormat="false" ht="17.15" hidden="false" customHeight="false" outlineLevel="0" collapsed="false">
      <c r="A538" s="4" t="n">
        <v>7</v>
      </c>
      <c r="B538" s="4" t="s">
        <v>24</v>
      </c>
      <c r="C538" s="8" t="s">
        <v>72</v>
      </c>
      <c r="D538" s="21" t="n">
        <v>42982</v>
      </c>
      <c r="E538" s="22" t="n">
        <v>304.19</v>
      </c>
      <c r="F538" s="21" t="n">
        <v>42983</v>
      </c>
      <c r="G538" s="22" t="n">
        <v>305.64</v>
      </c>
      <c r="H538" s="22" t="n">
        <v>288.09</v>
      </c>
      <c r="I538" s="21" t="n">
        <v>42992</v>
      </c>
      <c r="J538" s="22" t="n">
        <v>312.52</v>
      </c>
      <c r="K538" s="21" t="n">
        <v>42993</v>
      </c>
      <c r="L538" s="22" t="n">
        <v>311.19</v>
      </c>
      <c r="M538" s="8" t="s">
        <v>73</v>
      </c>
      <c r="N538" s="4" t="n">
        <v>8</v>
      </c>
      <c r="O538" s="6" t="n">
        <f aca="false">IF(C538="롱",(J538-E538)/E538,(E538-J538)/E538)</f>
        <v>0.0273842006640586</v>
      </c>
    </row>
    <row r="539" customFormat="false" ht="17.15" hidden="false" customHeight="false" outlineLevel="0" collapsed="false">
      <c r="A539" s="4" t="n">
        <v>1</v>
      </c>
      <c r="B539" s="4" t="s">
        <v>12</v>
      </c>
      <c r="C539" s="8" t="s">
        <v>72</v>
      </c>
      <c r="D539" s="21" t="n">
        <v>42989</v>
      </c>
      <c r="E539" s="22" t="n">
        <v>309.83</v>
      </c>
      <c r="F539" s="21" t="n">
        <v>42990</v>
      </c>
      <c r="G539" s="22" t="n">
        <v>311.7</v>
      </c>
      <c r="H539" s="22" t="n">
        <v>295.62</v>
      </c>
      <c r="I539" s="21" t="n">
        <v>43035</v>
      </c>
      <c r="J539" s="22" t="n">
        <v>329.23</v>
      </c>
      <c r="K539" s="21" t="n">
        <v>43038</v>
      </c>
      <c r="L539" s="22" t="n">
        <v>331.72</v>
      </c>
      <c r="M539" s="8" t="s">
        <v>73</v>
      </c>
      <c r="N539" s="4" t="n">
        <v>28</v>
      </c>
      <c r="O539" s="6" t="n">
        <f aca="false">IF(C539="롱",(J539-E539)/E539,(E539-J539)/E539)</f>
        <v>0.0626149824097087</v>
      </c>
    </row>
    <row r="540" customFormat="false" ht="17.15" hidden="false" customHeight="false" outlineLevel="0" collapsed="false">
      <c r="A540" s="4" t="n">
        <v>6</v>
      </c>
      <c r="B540" s="4" t="s">
        <v>22</v>
      </c>
      <c r="C540" s="8" t="s">
        <v>72</v>
      </c>
      <c r="D540" s="21" t="n">
        <v>42989</v>
      </c>
      <c r="E540" s="22" t="n">
        <v>309.83</v>
      </c>
      <c r="F540" s="21" t="n">
        <v>42990</v>
      </c>
      <c r="G540" s="22" t="n">
        <v>311.7</v>
      </c>
      <c r="H540" s="22" t="n">
        <v>295.62</v>
      </c>
      <c r="I540" s="21" t="n">
        <v>43000</v>
      </c>
      <c r="J540" s="22" t="n">
        <v>316.71</v>
      </c>
      <c r="K540" s="21" t="n">
        <v>43003</v>
      </c>
      <c r="L540" s="22" t="n">
        <v>316.81</v>
      </c>
      <c r="M540" s="8" t="s">
        <v>73</v>
      </c>
      <c r="N540" s="4" t="n">
        <v>9</v>
      </c>
      <c r="O540" s="6" t="n">
        <f aca="false">IF(C540="롱",(J540-E540)/E540,(E540-J540)/E540)</f>
        <v>0.0222057257205564</v>
      </c>
    </row>
    <row r="541" customFormat="false" ht="17.15" hidden="false" customHeight="false" outlineLevel="0" collapsed="false">
      <c r="A541" s="4" t="n">
        <v>4</v>
      </c>
      <c r="B541" s="4" t="s">
        <v>18</v>
      </c>
      <c r="C541" s="8" t="s">
        <v>72</v>
      </c>
      <c r="D541" s="21" t="n">
        <v>42991</v>
      </c>
      <c r="E541" s="22" t="n">
        <v>310</v>
      </c>
      <c r="F541" s="21" t="n">
        <v>42992</v>
      </c>
      <c r="G541" s="22" t="n">
        <v>310.82</v>
      </c>
      <c r="H541" s="22" t="n">
        <v>296.32</v>
      </c>
      <c r="I541" s="21" t="n">
        <v>43059</v>
      </c>
      <c r="J541" s="22" t="n">
        <v>332.92</v>
      </c>
      <c r="K541" s="21" t="n">
        <v>43060</v>
      </c>
      <c r="L541" s="22" t="n">
        <v>333.78</v>
      </c>
      <c r="M541" s="8" t="s">
        <v>73</v>
      </c>
      <c r="N541" s="4" t="n">
        <v>42</v>
      </c>
      <c r="O541" s="6" t="n">
        <f aca="false">IF(C541="롱",(J541-E541)/E541,(E541-J541)/E541)</f>
        <v>0.0739354838709678</v>
      </c>
    </row>
    <row r="542" customFormat="false" ht="17.15" hidden="false" customHeight="false" outlineLevel="0" collapsed="false">
      <c r="A542" s="4" t="n">
        <v>5</v>
      </c>
      <c r="B542" s="4" t="s">
        <v>20</v>
      </c>
      <c r="C542" s="8" t="s">
        <v>72</v>
      </c>
      <c r="D542" s="21" t="n">
        <v>42992</v>
      </c>
      <c r="E542" s="22" t="n">
        <v>312.52</v>
      </c>
      <c r="F542" s="21" t="n">
        <v>42993</v>
      </c>
      <c r="G542" s="22" t="n">
        <v>311.19</v>
      </c>
      <c r="H542" s="22" t="n">
        <v>298.76</v>
      </c>
      <c r="I542" s="21" t="n">
        <v>43075</v>
      </c>
      <c r="J542" s="22" t="n">
        <v>324.52</v>
      </c>
      <c r="K542" s="21" t="n">
        <v>43076</v>
      </c>
      <c r="L542" s="22" t="n">
        <v>325.31</v>
      </c>
      <c r="M542" s="8" t="s">
        <v>73</v>
      </c>
      <c r="N542" s="4" t="n">
        <v>53</v>
      </c>
      <c r="O542" s="6" t="n">
        <f aca="false">IF(C542="롱",(J542-E542)/E542,(E542-J542)/E542)</f>
        <v>0.0383975425572763</v>
      </c>
    </row>
    <row r="543" customFormat="false" ht="17.15" hidden="false" customHeight="false" outlineLevel="0" collapsed="false">
      <c r="A543" s="4" t="n">
        <v>6</v>
      </c>
      <c r="B543" s="4" t="s">
        <v>22</v>
      </c>
      <c r="C543" s="8" t="s">
        <v>72</v>
      </c>
      <c r="D543" s="21" t="n">
        <v>43018</v>
      </c>
      <c r="E543" s="22" t="n">
        <v>322.49</v>
      </c>
      <c r="F543" s="21" t="n">
        <v>43019</v>
      </c>
      <c r="G543" s="22" t="n">
        <v>323.97</v>
      </c>
      <c r="H543" s="22" t="n">
        <v>307.87</v>
      </c>
      <c r="I543" s="21" t="n">
        <v>43027</v>
      </c>
      <c r="J543" s="22" t="n">
        <v>326.47</v>
      </c>
      <c r="K543" s="21" t="n">
        <v>43028</v>
      </c>
      <c r="L543" s="22" t="n">
        <v>327.08</v>
      </c>
      <c r="M543" s="8" t="s">
        <v>73</v>
      </c>
      <c r="N543" s="4" t="n">
        <v>7</v>
      </c>
      <c r="O543" s="6" t="n">
        <f aca="false">IF(C543="롱",(J543-E543)/E543,(E543-J543)/E543)</f>
        <v>0.0123414679524947</v>
      </c>
    </row>
    <row r="544" customFormat="false" ht="17.15" hidden="false" customHeight="false" outlineLevel="0" collapsed="false">
      <c r="A544" s="4" t="n">
        <v>1</v>
      </c>
      <c r="B544" s="4" t="s">
        <v>12</v>
      </c>
      <c r="C544" s="8" t="s">
        <v>72</v>
      </c>
      <c r="D544" s="21" t="n">
        <v>43039</v>
      </c>
      <c r="E544" s="22" t="n">
        <v>333.57</v>
      </c>
      <c r="F544" s="21" t="n">
        <v>43040</v>
      </c>
      <c r="G544" s="22" t="n">
        <v>335.67</v>
      </c>
      <c r="H544" s="22" t="n">
        <v>319.89</v>
      </c>
      <c r="I544" s="21" t="n">
        <v>43049</v>
      </c>
      <c r="J544" s="22" t="n">
        <v>335.96</v>
      </c>
      <c r="K544" s="21" t="n">
        <v>43052</v>
      </c>
      <c r="L544" s="22" t="n">
        <v>336.63</v>
      </c>
      <c r="M544" s="8" t="s">
        <v>73</v>
      </c>
      <c r="N544" s="4" t="n">
        <v>8</v>
      </c>
      <c r="O544" s="6" t="n">
        <f aca="false">IF(C544="롱",(J544-E544)/E544,(E544-J544)/E544)</f>
        <v>0.00716491291183256</v>
      </c>
    </row>
    <row r="545" customFormat="false" ht="17.15" hidden="false" customHeight="false" outlineLevel="0" collapsed="false">
      <c r="A545" s="4" t="n">
        <v>6</v>
      </c>
      <c r="B545" s="4" t="s">
        <v>22</v>
      </c>
      <c r="C545" s="8" t="s">
        <v>72</v>
      </c>
      <c r="D545" s="21" t="n">
        <v>43039</v>
      </c>
      <c r="E545" s="22" t="n">
        <v>333.57</v>
      </c>
      <c r="F545" s="21" t="n">
        <v>43040</v>
      </c>
      <c r="G545" s="22" t="n">
        <v>335.67</v>
      </c>
      <c r="H545" s="22" t="n">
        <v>319.89</v>
      </c>
      <c r="I545" s="21" t="n">
        <v>43046</v>
      </c>
      <c r="J545" s="22" t="n">
        <v>336.76</v>
      </c>
      <c r="K545" s="21" t="n">
        <v>43047</v>
      </c>
      <c r="L545" s="22" t="n">
        <v>335.2</v>
      </c>
      <c r="M545" s="8" t="s">
        <v>73</v>
      </c>
      <c r="N545" s="4" t="n">
        <v>5</v>
      </c>
      <c r="O545" s="6" t="n">
        <f aca="false">IF(C545="롱",(J545-E545)/E545,(E545-J545)/E545)</f>
        <v>0.00956321012081422</v>
      </c>
    </row>
    <row r="546" customFormat="false" ht="17.15" hidden="false" customHeight="false" outlineLevel="0" collapsed="false">
      <c r="A546" s="4" t="n">
        <v>10</v>
      </c>
      <c r="B546" s="4" t="s">
        <v>30</v>
      </c>
      <c r="C546" s="8" t="s">
        <v>72</v>
      </c>
      <c r="D546" s="21" t="n">
        <v>43055</v>
      </c>
      <c r="E546" s="22" t="n">
        <v>334.36</v>
      </c>
      <c r="F546" s="21" t="n">
        <v>43056</v>
      </c>
      <c r="G546" s="22" t="n">
        <v>336.05</v>
      </c>
      <c r="H546" s="22" t="n">
        <v>319.56</v>
      </c>
      <c r="I546" s="21" t="n">
        <v>43059</v>
      </c>
      <c r="J546" s="22" t="n">
        <v>332.92</v>
      </c>
      <c r="K546" s="21" t="n">
        <v>43060</v>
      </c>
      <c r="L546" s="22" t="n">
        <v>333.78</v>
      </c>
      <c r="M546" s="8" t="s">
        <v>73</v>
      </c>
      <c r="N546" s="4" t="n">
        <v>2</v>
      </c>
      <c r="O546" s="6" t="n">
        <f aca="false">IF(C546="롱",(J546-E546)/E546,(E546-J546)/E546)</f>
        <v>-0.00430673525541332</v>
      </c>
    </row>
    <row r="547" customFormat="false" ht="17.15" hidden="false" customHeight="false" outlineLevel="0" collapsed="false">
      <c r="A547" s="4" t="n">
        <v>11</v>
      </c>
      <c r="B547" s="4" t="s">
        <v>32</v>
      </c>
      <c r="C547" s="8" t="s">
        <v>74</v>
      </c>
      <c r="D547" s="21" t="n">
        <v>43062</v>
      </c>
      <c r="E547" s="22" t="n">
        <v>334.51</v>
      </c>
      <c r="F547" s="21" t="n">
        <v>43063</v>
      </c>
      <c r="G547" s="22" t="n">
        <v>334.77</v>
      </c>
      <c r="H547" s="22" t="n">
        <v>350.28</v>
      </c>
      <c r="I547" s="21" t="n">
        <v>43063</v>
      </c>
      <c r="J547" s="22" t="n">
        <v>335.44</v>
      </c>
      <c r="K547" s="21" t="n">
        <v>43066</v>
      </c>
      <c r="L547" s="22" t="n">
        <v>335.24</v>
      </c>
      <c r="M547" s="8" t="s">
        <v>73</v>
      </c>
      <c r="N547" s="4" t="n">
        <v>1</v>
      </c>
      <c r="O547" s="6" t="n">
        <f aca="false">IF(C547="롱",(J547-E547)/E547,(E547-J547)/E547)</f>
        <v>-0.00278018594361905</v>
      </c>
    </row>
    <row r="548" customFormat="false" ht="17.15" hidden="false" customHeight="false" outlineLevel="0" collapsed="false">
      <c r="A548" s="4" t="n">
        <v>2</v>
      </c>
      <c r="B548" s="4" t="s">
        <v>14</v>
      </c>
      <c r="C548" s="8" t="s">
        <v>72</v>
      </c>
      <c r="D548" s="21" t="n">
        <v>43066</v>
      </c>
      <c r="E548" s="22" t="n">
        <v>329.53</v>
      </c>
      <c r="F548" s="21" t="n">
        <v>43067</v>
      </c>
      <c r="G548" s="22" t="n">
        <v>330.19</v>
      </c>
      <c r="H548" s="22" t="n">
        <v>313.24</v>
      </c>
      <c r="I548" s="21" t="n">
        <v>43108</v>
      </c>
      <c r="J548" s="22" t="n">
        <v>331.28</v>
      </c>
      <c r="K548" s="21" t="n">
        <v>43109</v>
      </c>
      <c r="L548" s="22" t="n">
        <v>330.67</v>
      </c>
      <c r="M548" s="8" t="s">
        <v>73</v>
      </c>
      <c r="N548" s="4" t="n">
        <v>27</v>
      </c>
      <c r="O548" s="6" t="n">
        <f aca="false">IF(C548="롱",(J548-E548)/E548,(E548-J548)/E548)</f>
        <v>0.00531059387612661</v>
      </c>
    </row>
    <row r="549" customFormat="false" ht="17.15" hidden="false" customHeight="false" outlineLevel="0" collapsed="false">
      <c r="A549" s="4" t="n">
        <v>1</v>
      </c>
      <c r="B549" s="4" t="s">
        <v>12</v>
      </c>
      <c r="C549" s="8" t="s">
        <v>72</v>
      </c>
      <c r="D549" s="21" t="n">
        <v>43102</v>
      </c>
      <c r="E549" s="22" t="n">
        <v>326</v>
      </c>
      <c r="F549" s="21" t="n">
        <v>43103</v>
      </c>
      <c r="G549" s="22" t="n">
        <v>327.13</v>
      </c>
      <c r="H549" s="22" t="n">
        <v>308.98</v>
      </c>
      <c r="I549" s="21" t="n">
        <v>43133</v>
      </c>
      <c r="J549" s="22" t="n">
        <v>327.01</v>
      </c>
      <c r="K549" s="21" t="n">
        <v>43136</v>
      </c>
      <c r="L549" s="22" t="n">
        <v>322.05</v>
      </c>
      <c r="M549" s="8" t="s">
        <v>73</v>
      </c>
      <c r="N549" s="4" t="n">
        <v>23</v>
      </c>
      <c r="O549" s="6" t="n">
        <f aca="false">IF(C549="롱",(J549-E549)/E549,(E549-J549)/E549)</f>
        <v>0.00309815950920243</v>
      </c>
    </row>
    <row r="550" customFormat="false" ht="17.15" hidden="false" customHeight="false" outlineLevel="0" collapsed="false">
      <c r="A550" s="4" t="n">
        <v>6</v>
      </c>
      <c r="B550" s="4" t="s">
        <v>22</v>
      </c>
      <c r="C550" s="8" t="s">
        <v>72</v>
      </c>
      <c r="D550" s="21" t="n">
        <v>43102</v>
      </c>
      <c r="E550" s="22" t="n">
        <v>326</v>
      </c>
      <c r="F550" s="21" t="n">
        <v>43103</v>
      </c>
      <c r="G550" s="22" t="n">
        <v>327.13</v>
      </c>
      <c r="H550" s="22" t="n">
        <v>308.98</v>
      </c>
      <c r="I550" s="21" t="n">
        <v>43110</v>
      </c>
      <c r="J550" s="22" t="n">
        <v>327.61</v>
      </c>
      <c r="K550" s="21" t="n">
        <v>43111</v>
      </c>
      <c r="L550" s="22" t="n">
        <v>326.92</v>
      </c>
      <c r="M550" s="8" t="s">
        <v>73</v>
      </c>
      <c r="N550" s="4" t="n">
        <v>6</v>
      </c>
      <c r="O550" s="6" t="n">
        <f aca="false">IF(C550="롱",(J550-E550)/E550,(E550-J550)/E550)</f>
        <v>0.00493865030674851</v>
      </c>
    </row>
    <row r="551" customFormat="false" ht="17.15" hidden="false" customHeight="false" outlineLevel="0" collapsed="false">
      <c r="A551" s="4" t="n">
        <v>4</v>
      </c>
      <c r="B551" s="4" t="s">
        <v>18</v>
      </c>
      <c r="C551" s="8" t="s">
        <v>72</v>
      </c>
      <c r="D551" s="21" t="n">
        <v>43105</v>
      </c>
      <c r="E551" s="22" t="n">
        <v>328.97</v>
      </c>
      <c r="F551" s="21" t="n">
        <v>43108</v>
      </c>
      <c r="G551" s="22" t="n">
        <v>330.83</v>
      </c>
      <c r="H551" s="22" t="n">
        <v>311.56</v>
      </c>
      <c r="I551" s="21" t="n">
        <v>43136</v>
      </c>
      <c r="J551" s="22" t="n">
        <v>323.29</v>
      </c>
      <c r="K551" s="21" t="n">
        <v>43137</v>
      </c>
      <c r="L551" s="22" t="n">
        <v>316.62</v>
      </c>
      <c r="M551" s="8" t="s">
        <v>73</v>
      </c>
      <c r="N551" s="4" t="n">
        <v>21</v>
      </c>
      <c r="O551" s="6" t="n">
        <f aca="false">IF(C551="롱",(J551-E551)/E551,(E551-J551)/E551)</f>
        <v>-0.0172660120983677</v>
      </c>
    </row>
    <row r="552" customFormat="false" ht="17.15" hidden="false" customHeight="false" outlineLevel="0" collapsed="false">
      <c r="A552" s="4" t="n">
        <v>5</v>
      </c>
      <c r="B552" s="4" t="s">
        <v>20</v>
      </c>
      <c r="C552" s="8" t="s">
        <v>72</v>
      </c>
      <c r="D552" s="21" t="n">
        <v>43108</v>
      </c>
      <c r="E552" s="22" t="n">
        <v>331.28</v>
      </c>
      <c r="F552" s="21" t="n">
        <v>43109</v>
      </c>
      <c r="G552" s="22" t="n">
        <v>330.67</v>
      </c>
      <c r="H552" s="22" t="n">
        <v>314.35</v>
      </c>
      <c r="I552" s="21" t="n">
        <v>43110</v>
      </c>
      <c r="J552" s="22" t="n">
        <v>327.61</v>
      </c>
      <c r="K552" s="21" t="n">
        <v>43111</v>
      </c>
      <c r="L552" s="22" t="n">
        <v>326.92</v>
      </c>
      <c r="M552" s="8" t="s">
        <v>73</v>
      </c>
      <c r="N552" s="4" t="n">
        <v>2</v>
      </c>
      <c r="O552" s="6" t="n">
        <f aca="false">IF(C552="롱",(J552-E552)/E552,(E552-J552)/E552)</f>
        <v>-0.0110782419705384</v>
      </c>
    </row>
    <row r="553" customFormat="false" ht="17.15" hidden="false" customHeight="false" outlineLevel="0" collapsed="false">
      <c r="A553" s="4" t="n">
        <v>7</v>
      </c>
      <c r="B553" s="4" t="s">
        <v>24</v>
      </c>
      <c r="C553" s="8" t="s">
        <v>72</v>
      </c>
      <c r="D553" s="21" t="n">
        <v>43111</v>
      </c>
      <c r="E553" s="22" t="n">
        <v>325.67</v>
      </c>
      <c r="F553" s="21" t="n">
        <v>43112</v>
      </c>
      <c r="G553" s="22" t="n">
        <v>327.34</v>
      </c>
      <c r="H553" s="22" t="n">
        <v>307.78</v>
      </c>
      <c r="I553" s="21" t="n">
        <v>43125</v>
      </c>
      <c r="J553" s="22" t="n">
        <v>334.08</v>
      </c>
      <c r="K553" s="21" t="n">
        <v>43126</v>
      </c>
      <c r="L553" s="22" t="n">
        <v>333.75</v>
      </c>
      <c r="M553" s="8" t="s">
        <v>73</v>
      </c>
      <c r="N553" s="4" t="n">
        <v>10</v>
      </c>
      <c r="O553" s="6" t="n">
        <f aca="false">IF(C553="롱",(J553-E553)/E553,(E553-J553)/E553)</f>
        <v>0.0258236865538735</v>
      </c>
    </row>
    <row r="554" customFormat="false" ht="17.15" hidden="false" customHeight="false" outlineLevel="0" collapsed="false">
      <c r="A554" s="4" t="n">
        <v>5</v>
      </c>
      <c r="B554" s="4" t="s">
        <v>20</v>
      </c>
      <c r="C554" s="8" t="s">
        <v>72</v>
      </c>
      <c r="D554" s="21" t="n">
        <v>43116</v>
      </c>
      <c r="E554" s="22" t="n">
        <v>330.02</v>
      </c>
      <c r="F554" s="21" t="n">
        <v>43117</v>
      </c>
      <c r="G554" s="22" t="n">
        <v>329.31</v>
      </c>
      <c r="H554" s="22" t="n">
        <v>312.64</v>
      </c>
      <c r="I554" s="21" t="n">
        <v>43117</v>
      </c>
      <c r="J554" s="22" t="n">
        <v>329.19</v>
      </c>
      <c r="K554" s="21" t="n">
        <v>43118</v>
      </c>
      <c r="L554" s="22" t="n">
        <v>331.03</v>
      </c>
      <c r="M554" s="8" t="s">
        <v>73</v>
      </c>
      <c r="N554" s="4" t="n">
        <v>1</v>
      </c>
      <c r="O554" s="6" t="n">
        <f aca="false">IF(C554="롱",(J554-E554)/E554,(E554-J554)/E554)</f>
        <v>-0.00251499909096414</v>
      </c>
    </row>
    <row r="555" customFormat="false" ht="17.15" hidden="false" customHeight="false" outlineLevel="0" collapsed="false">
      <c r="A555" s="4" t="n">
        <v>6</v>
      </c>
      <c r="B555" s="4" t="s">
        <v>22</v>
      </c>
      <c r="C555" s="8" t="s">
        <v>72</v>
      </c>
      <c r="D555" s="21" t="n">
        <v>43116</v>
      </c>
      <c r="E555" s="22" t="n">
        <v>330.02</v>
      </c>
      <c r="F555" s="21" t="n">
        <v>43117</v>
      </c>
      <c r="G555" s="22" t="n">
        <v>329.31</v>
      </c>
      <c r="H555" s="22" t="n">
        <v>312.64</v>
      </c>
      <c r="I555" s="21" t="n">
        <v>43122</v>
      </c>
      <c r="J555" s="22" t="n">
        <v>326.27</v>
      </c>
      <c r="K555" s="21" t="n">
        <v>43123</v>
      </c>
      <c r="L555" s="22" t="n">
        <v>327.42</v>
      </c>
      <c r="M555" s="8" t="s">
        <v>73</v>
      </c>
      <c r="N555" s="4" t="n">
        <v>4</v>
      </c>
      <c r="O555" s="6" t="n">
        <f aca="false">IF(C555="롱",(J555-E555)/E555,(E555-J555)/E555)</f>
        <v>-0.0113629477001394</v>
      </c>
    </row>
    <row r="556" customFormat="false" ht="17.15" hidden="false" customHeight="false" outlineLevel="0" collapsed="false">
      <c r="A556" s="4" t="n">
        <v>5</v>
      </c>
      <c r="B556" s="4" t="s">
        <v>20</v>
      </c>
      <c r="C556" s="8" t="s">
        <v>72</v>
      </c>
      <c r="D556" s="21" t="n">
        <v>43119</v>
      </c>
      <c r="E556" s="22" t="n">
        <v>329.52</v>
      </c>
      <c r="F556" s="21" t="n">
        <v>43122</v>
      </c>
      <c r="G556" s="22" t="n">
        <v>328.78</v>
      </c>
      <c r="H556" s="22" t="n">
        <v>312.5</v>
      </c>
      <c r="I556" s="21" t="n">
        <v>43122</v>
      </c>
      <c r="J556" s="22" t="n">
        <v>326.27</v>
      </c>
      <c r="K556" s="21" t="n">
        <v>43123</v>
      </c>
      <c r="L556" s="22" t="n">
        <v>327.42</v>
      </c>
      <c r="M556" s="8" t="s">
        <v>73</v>
      </c>
      <c r="N556" s="4" t="n">
        <v>1</v>
      </c>
      <c r="O556" s="6" t="n">
        <f aca="false">IF(C556="롱",(J556-E556)/E556,(E556-J556)/E556)</f>
        <v>-0.00986283078417092</v>
      </c>
    </row>
    <row r="557" customFormat="false" ht="17.15" hidden="false" customHeight="false" outlineLevel="0" collapsed="false">
      <c r="A557" s="4" t="n">
        <v>5</v>
      </c>
      <c r="B557" s="4" t="s">
        <v>20</v>
      </c>
      <c r="C557" s="8" t="s">
        <v>72</v>
      </c>
      <c r="D557" s="21" t="n">
        <v>43123</v>
      </c>
      <c r="E557" s="22" t="n">
        <v>330.93</v>
      </c>
      <c r="F557" s="21" t="n">
        <v>43124</v>
      </c>
      <c r="G557" s="22" t="n">
        <v>330.37</v>
      </c>
      <c r="H557" s="22" t="n">
        <v>313.53</v>
      </c>
      <c r="I557" s="21" t="n">
        <v>43133</v>
      </c>
      <c r="J557" s="22" t="n">
        <v>327.01</v>
      </c>
      <c r="K557" s="21" t="n">
        <v>43136</v>
      </c>
      <c r="L557" s="22" t="n">
        <v>322.05</v>
      </c>
      <c r="M557" s="8" t="s">
        <v>73</v>
      </c>
      <c r="N557" s="4" t="n">
        <v>8</v>
      </c>
      <c r="O557" s="6" t="n">
        <f aca="false">IF(C557="롱",(J557-E557)/E557,(E557-J557)/E557)</f>
        <v>-0.0118454053727375</v>
      </c>
    </row>
    <row r="558" customFormat="false" ht="17.15" hidden="false" customHeight="false" outlineLevel="0" collapsed="false">
      <c r="A558" s="4" t="n">
        <v>6</v>
      </c>
      <c r="B558" s="4" t="s">
        <v>22</v>
      </c>
      <c r="C558" s="8" t="s">
        <v>72</v>
      </c>
      <c r="D558" s="21" t="n">
        <v>43129</v>
      </c>
      <c r="E558" s="22" t="n">
        <v>338.05</v>
      </c>
      <c r="F558" s="21" t="n">
        <v>43130</v>
      </c>
      <c r="G558" s="22" t="n">
        <v>336.62</v>
      </c>
      <c r="H558" s="22" t="n">
        <v>321.02</v>
      </c>
      <c r="I558" s="21" t="n">
        <v>43130</v>
      </c>
      <c r="J558" s="22" t="n">
        <v>333.4</v>
      </c>
      <c r="K558" s="21" t="n">
        <v>43131</v>
      </c>
      <c r="L558" s="22" t="n">
        <v>332.38</v>
      </c>
      <c r="M558" s="8" t="s">
        <v>73</v>
      </c>
      <c r="N558" s="4" t="n">
        <v>1</v>
      </c>
      <c r="O558" s="6" t="n">
        <f aca="false">IF(C558="롱",(J558-E558)/E558,(E558-J558)/E558)</f>
        <v>-0.0137553616328946</v>
      </c>
    </row>
    <row r="559" customFormat="false" ht="17.15" hidden="false" customHeight="false" outlineLevel="0" collapsed="false">
      <c r="A559" s="4" t="n">
        <v>7</v>
      </c>
      <c r="B559" s="4" t="s">
        <v>24</v>
      </c>
      <c r="C559" s="8" t="s">
        <v>72</v>
      </c>
      <c r="D559" s="21" t="n">
        <v>43132</v>
      </c>
      <c r="E559" s="22" t="n">
        <v>333.36</v>
      </c>
      <c r="F559" s="21" t="n">
        <v>43133</v>
      </c>
      <c r="G559" s="22" t="n">
        <v>332.69</v>
      </c>
      <c r="H559" s="22" t="n">
        <v>315.14</v>
      </c>
      <c r="I559" s="21" t="n">
        <v>43136</v>
      </c>
      <c r="J559" s="22" t="n">
        <v>323.29</v>
      </c>
      <c r="K559" s="21" t="n">
        <v>43137</v>
      </c>
      <c r="L559" s="22" t="n">
        <v>316.62</v>
      </c>
      <c r="M559" s="8" t="s">
        <v>73</v>
      </c>
      <c r="N559" s="4" t="n">
        <v>2</v>
      </c>
      <c r="O559" s="6" t="n">
        <f aca="false">IF(C559="롱",(J559-E559)/E559,(E559-J559)/E559)</f>
        <v>-0.0302075833933285</v>
      </c>
    </row>
    <row r="560" customFormat="false" ht="17.15" hidden="false" customHeight="false" outlineLevel="0" collapsed="false">
      <c r="A560" s="4" t="n">
        <v>7</v>
      </c>
      <c r="B560" s="4" t="s">
        <v>24</v>
      </c>
      <c r="C560" s="8" t="s">
        <v>72</v>
      </c>
      <c r="D560" s="21" t="n">
        <v>43137</v>
      </c>
      <c r="E560" s="22" t="n">
        <v>318.01</v>
      </c>
      <c r="F560" s="21" t="n">
        <v>43138</v>
      </c>
      <c r="G560" s="22" t="n">
        <v>322.06</v>
      </c>
      <c r="H560" s="22" t="n">
        <v>296.71</v>
      </c>
      <c r="I560" s="21" t="n">
        <v>43138</v>
      </c>
      <c r="J560" s="22" t="n">
        <v>310.48</v>
      </c>
      <c r="K560" s="21" t="n">
        <v>43139</v>
      </c>
      <c r="L560" s="22" t="n">
        <v>310.84</v>
      </c>
      <c r="M560" s="8" t="s">
        <v>73</v>
      </c>
      <c r="N560" s="4" t="n">
        <v>1</v>
      </c>
      <c r="O560" s="6" t="n">
        <f aca="false">IF(C560="롱",(J560-E560)/E560,(E560-J560)/E560)</f>
        <v>-0.0236785006760793</v>
      </c>
    </row>
    <row r="561" customFormat="false" ht="17.15" hidden="false" customHeight="false" outlineLevel="0" collapsed="false">
      <c r="A561" s="4" t="n">
        <v>10</v>
      </c>
      <c r="B561" s="4" t="s">
        <v>30</v>
      </c>
      <c r="C561" s="8" t="s">
        <v>72</v>
      </c>
      <c r="D561" s="21" t="n">
        <v>43230</v>
      </c>
      <c r="E561" s="22" t="n">
        <v>317.31</v>
      </c>
      <c r="F561" s="21" t="n">
        <v>43231</v>
      </c>
      <c r="G561" s="22" t="n">
        <v>318.03</v>
      </c>
      <c r="H561" s="22" t="n">
        <v>301.42</v>
      </c>
      <c r="I561" s="21" t="n">
        <v>43235</v>
      </c>
      <c r="J561" s="22" t="n">
        <v>314.94</v>
      </c>
      <c r="K561" s="21" t="n">
        <v>43236</v>
      </c>
      <c r="L561" s="22" t="n">
        <v>313.81</v>
      </c>
      <c r="M561" s="8" t="s">
        <v>73</v>
      </c>
      <c r="N561" s="4" t="n">
        <v>3</v>
      </c>
      <c r="O561" s="6" t="n">
        <f aca="false">IF(C561="롱",(J561-E561)/E561,(E561-J561)/E561)</f>
        <v>-0.00746903658882482</v>
      </c>
    </row>
    <row r="562" customFormat="false" ht="17.15" hidden="false" customHeight="false" outlineLevel="0" collapsed="false">
      <c r="A562" s="4" t="n">
        <v>10</v>
      </c>
      <c r="B562" s="4" t="s">
        <v>30</v>
      </c>
      <c r="C562" s="8" t="s">
        <v>72</v>
      </c>
      <c r="D562" s="21" t="n">
        <v>43256</v>
      </c>
      <c r="E562" s="22" t="n">
        <v>315.76</v>
      </c>
      <c r="F562" s="21" t="n">
        <v>43258</v>
      </c>
      <c r="G562" s="22" t="n">
        <v>317.94</v>
      </c>
      <c r="H562" s="22" t="n">
        <v>299.12</v>
      </c>
      <c r="I562" s="21" t="n">
        <v>43259</v>
      </c>
      <c r="J562" s="22" t="n">
        <v>314.97</v>
      </c>
      <c r="K562" s="21" t="n">
        <v>43262</v>
      </c>
      <c r="L562" s="22" t="n">
        <v>315.24</v>
      </c>
      <c r="M562" s="8" t="s">
        <v>73</v>
      </c>
      <c r="N562" s="4" t="n">
        <v>2</v>
      </c>
      <c r="O562" s="6" t="n">
        <f aca="false">IF(C562="롱",(J562-E562)/E562,(E562-J562)/E562)</f>
        <v>-0.00250190017734977</v>
      </c>
    </row>
    <row r="563" customFormat="false" ht="17.15" hidden="false" customHeight="false" outlineLevel="0" collapsed="false">
      <c r="A563" s="4" t="n">
        <v>1</v>
      </c>
      <c r="B563" s="4" t="s">
        <v>12</v>
      </c>
      <c r="C563" s="8" t="s">
        <v>72</v>
      </c>
      <c r="D563" s="21" t="n">
        <v>43258</v>
      </c>
      <c r="E563" s="22" t="n">
        <v>317.67</v>
      </c>
      <c r="F563" s="21" t="n">
        <v>43259</v>
      </c>
      <c r="G563" s="22" t="n">
        <v>316.94</v>
      </c>
      <c r="H563" s="22" t="n">
        <v>301.32</v>
      </c>
      <c r="I563" s="21" t="n">
        <v>43265</v>
      </c>
      <c r="J563" s="22" t="n">
        <v>311.2</v>
      </c>
      <c r="K563" s="21" t="n">
        <v>43266</v>
      </c>
      <c r="L563" s="22" t="n">
        <v>312.43</v>
      </c>
      <c r="M563" s="8" t="s">
        <v>73</v>
      </c>
      <c r="N563" s="4" t="n">
        <v>4</v>
      </c>
      <c r="O563" s="6" t="n">
        <f aca="false">IF(C563="롱",(J563-E563)/E563,(E563-J563)/E563)</f>
        <v>-0.0203670475650833</v>
      </c>
    </row>
    <row r="564" customFormat="false" ht="17.15" hidden="false" customHeight="false" outlineLevel="0" collapsed="false">
      <c r="A564" s="4" t="n">
        <v>5</v>
      </c>
      <c r="B564" s="4" t="s">
        <v>20</v>
      </c>
      <c r="C564" s="8" t="s">
        <v>72</v>
      </c>
      <c r="D564" s="21" t="n">
        <v>43258</v>
      </c>
      <c r="E564" s="22" t="n">
        <v>317.67</v>
      </c>
      <c r="F564" s="21" t="n">
        <v>43259</v>
      </c>
      <c r="G564" s="22" t="n">
        <v>316.94</v>
      </c>
      <c r="H564" s="22" t="n">
        <v>301.32</v>
      </c>
      <c r="I564" s="21" t="n">
        <v>43259</v>
      </c>
      <c r="J564" s="22" t="n">
        <v>314.97</v>
      </c>
      <c r="K564" s="21" t="n">
        <v>43262</v>
      </c>
      <c r="L564" s="22" t="n">
        <v>315.24</v>
      </c>
      <c r="M564" s="8" t="s">
        <v>73</v>
      </c>
      <c r="N564" s="4" t="n">
        <v>1</v>
      </c>
      <c r="O564" s="6" t="n">
        <f aca="false">IF(C564="롱",(J564-E564)/E564,(E564-J564)/E564)</f>
        <v>-0.00849938615544429</v>
      </c>
    </row>
    <row r="565" customFormat="false" ht="17.15" hidden="false" customHeight="false" outlineLevel="0" collapsed="false">
      <c r="A565" s="4" t="n">
        <v>6</v>
      </c>
      <c r="B565" s="4" t="s">
        <v>22</v>
      </c>
      <c r="C565" s="8" t="s">
        <v>72</v>
      </c>
      <c r="D565" s="21" t="n">
        <v>43258</v>
      </c>
      <c r="E565" s="22" t="n">
        <v>317.67</v>
      </c>
      <c r="F565" s="21" t="n">
        <v>43259</v>
      </c>
      <c r="G565" s="22" t="n">
        <v>316.94</v>
      </c>
      <c r="H565" s="22" t="n">
        <v>301.32</v>
      </c>
      <c r="I565" s="21" t="n">
        <v>43259</v>
      </c>
      <c r="J565" s="22" t="n">
        <v>314.97</v>
      </c>
      <c r="K565" s="21" t="n">
        <v>43262</v>
      </c>
      <c r="L565" s="22" t="n">
        <v>315.24</v>
      </c>
      <c r="M565" s="8" t="s">
        <v>73</v>
      </c>
      <c r="N565" s="4" t="n">
        <v>1</v>
      </c>
      <c r="O565" s="6" t="n">
        <f aca="false">IF(C565="롱",(J565-E565)/E565,(E565-J565)/E565)</f>
        <v>-0.00849938615544429</v>
      </c>
    </row>
    <row r="566" customFormat="false" ht="17.15" hidden="false" customHeight="false" outlineLevel="0" collapsed="false">
      <c r="A566" s="4" t="n">
        <v>11</v>
      </c>
      <c r="B566" s="4" t="s">
        <v>32</v>
      </c>
      <c r="C566" s="8" t="s">
        <v>74</v>
      </c>
      <c r="D566" s="21" t="n">
        <v>43259</v>
      </c>
      <c r="E566" s="22" t="n">
        <v>314.97</v>
      </c>
      <c r="F566" s="21" t="n">
        <v>43262</v>
      </c>
      <c r="G566" s="22" t="n">
        <v>315.24</v>
      </c>
      <c r="H566" s="22" t="n">
        <v>331.24</v>
      </c>
      <c r="I566" s="21" t="n">
        <v>43262</v>
      </c>
      <c r="J566" s="22" t="n">
        <v>317.22</v>
      </c>
      <c r="K566" s="21" t="n">
        <v>43263</v>
      </c>
      <c r="L566" s="22" t="n">
        <v>317.81</v>
      </c>
      <c r="M566" s="8" t="s">
        <v>73</v>
      </c>
      <c r="N566" s="4" t="n">
        <v>1</v>
      </c>
      <c r="O566" s="6" t="n">
        <f aca="false">IF(C566="롱",(J566-E566)/E566,(E566-J566)/E566)</f>
        <v>-0.00714353747975998</v>
      </c>
    </row>
    <row r="567" customFormat="false" ht="17.15" hidden="false" customHeight="false" outlineLevel="0" collapsed="false">
      <c r="A567" s="4" t="n">
        <v>4</v>
      </c>
      <c r="B567" s="4" t="s">
        <v>18</v>
      </c>
      <c r="C567" s="8" t="s">
        <v>72</v>
      </c>
      <c r="D567" s="21" t="n">
        <v>43262</v>
      </c>
      <c r="E567" s="22" t="n">
        <v>317.22</v>
      </c>
      <c r="F567" s="21" t="n">
        <v>43263</v>
      </c>
      <c r="G567" s="22" t="n">
        <v>317.81</v>
      </c>
      <c r="H567" s="22" t="n">
        <v>300.9</v>
      </c>
      <c r="I567" s="21" t="n">
        <v>43266</v>
      </c>
      <c r="J567" s="22" t="n">
        <v>308.73</v>
      </c>
      <c r="K567" s="21" t="n">
        <v>43269</v>
      </c>
      <c r="L567" s="22" t="n">
        <v>308.73</v>
      </c>
      <c r="M567" s="8" t="s">
        <v>73</v>
      </c>
      <c r="N567" s="4" t="n">
        <v>3</v>
      </c>
      <c r="O567" s="6" t="n">
        <f aca="false">IF(C567="롱",(J567-E567)/E567,(E567-J567)/E567)</f>
        <v>-0.026763760166446</v>
      </c>
    </row>
    <row r="568" customFormat="false" ht="17.15" hidden="false" customHeight="false" outlineLevel="0" collapsed="false">
      <c r="A568" s="4" t="n">
        <v>5</v>
      </c>
      <c r="B568" s="4" t="s">
        <v>20</v>
      </c>
      <c r="C568" s="8" t="s">
        <v>72</v>
      </c>
      <c r="D568" s="21" t="n">
        <v>43262</v>
      </c>
      <c r="E568" s="22" t="n">
        <v>317.22</v>
      </c>
      <c r="F568" s="21" t="n">
        <v>43263</v>
      </c>
      <c r="G568" s="22" t="n">
        <v>317.81</v>
      </c>
      <c r="H568" s="22" t="n">
        <v>300.9</v>
      </c>
      <c r="I568" s="21" t="n">
        <v>43265</v>
      </c>
      <c r="J568" s="22" t="n">
        <v>311.2</v>
      </c>
      <c r="K568" s="21" t="n">
        <v>43266</v>
      </c>
      <c r="L568" s="22" t="n">
        <v>312.43</v>
      </c>
      <c r="M568" s="8" t="s">
        <v>73</v>
      </c>
      <c r="N568" s="4" t="n">
        <v>2</v>
      </c>
      <c r="O568" s="6" t="n">
        <f aca="false">IF(C568="롱",(J568-E568)/E568,(E568-J568)/E568)</f>
        <v>-0.0189773658659607</v>
      </c>
    </row>
    <row r="569" customFormat="false" ht="17.15" hidden="false" customHeight="false" outlineLevel="0" collapsed="false">
      <c r="A569" s="4" t="n">
        <v>10</v>
      </c>
      <c r="B569" s="4" t="s">
        <v>30</v>
      </c>
      <c r="C569" s="8" t="s">
        <v>72</v>
      </c>
      <c r="D569" s="21" t="n">
        <v>43319</v>
      </c>
      <c r="E569" s="22" t="n">
        <v>297.18</v>
      </c>
      <c r="F569" s="21" t="n">
        <v>43320</v>
      </c>
      <c r="G569" s="22" t="n">
        <v>297.97</v>
      </c>
      <c r="H569" s="22" t="n">
        <v>282.05</v>
      </c>
      <c r="I569" s="21" t="n">
        <v>43322</v>
      </c>
      <c r="J569" s="22" t="n">
        <v>293.64</v>
      </c>
      <c r="K569" s="21" t="n">
        <v>43325</v>
      </c>
      <c r="L569" s="22" t="n">
        <v>291.21</v>
      </c>
      <c r="M569" s="8" t="s">
        <v>73</v>
      </c>
      <c r="N569" s="4" t="n">
        <v>3</v>
      </c>
      <c r="O569" s="6" t="n">
        <f aca="false">IF(C569="롱",(J569-E569)/E569,(E569-J569)/E569)</f>
        <v>-0.0119119725418939</v>
      </c>
    </row>
    <row r="570" customFormat="false" ht="17.15" hidden="false" customHeight="false" outlineLevel="0" collapsed="false">
      <c r="A570" s="4" t="n">
        <v>8</v>
      </c>
      <c r="B570" s="4" t="s">
        <v>26</v>
      </c>
      <c r="C570" s="8" t="s">
        <v>72</v>
      </c>
      <c r="D570" s="21" t="n">
        <v>43384</v>
      </c>
      <c r="E570" s="22" t="n">
        <v>275.15</v>
      </c>
      <c r="F570" s="21" t="n">
        <v>43385</v>
      </c>
      <c r="G570" s="22" t="n">
        <v>275.82</v>
      </c>
      <c r="H570" s="22" t="n">
        <v>257.03</v>
      </c>
      <c r="I570" s="21" t="n">
        <v>43468</v>
      </c>
      <c r="J570" s="22" t="n">
        <v>257.03</v>
      </c>
      <c r="K570" s="21" t="n">
        <v>43469</v>
      </c>
      <c r="L570" s="22" t="n">
        <v>255.62</v>
      </c>
      <c r="M570" s="8" t="s">
        <v>75</v>
      </c>
      <c r="N570" s="4" t="n">
        <v>57</v>
      </c>
      <c r="O570" s="6" t="n">
        <f aca="false">IF(C570="롱",(J570-E570)/E570,(E570-J570)/E570)</f>
        <v>-0.065854988188261</v>
      </c>
    </row>
    <row r="571" customFormat="false" ht="17.15" hidden="false" customHeight="false" outlineLevel="0" collapsed="false">
      <c r="A571" s="4" t="n">
        <v>6</v>
      </c>
      <c r="B571" s="4" t="s">
        <v>22</v>
      </c>
      <c r="C571" s="8" t="s">
        <v>72</v>
      </c>
      <c r="D571" s="21" t="n">
        <v>43509</v>
      </c>
      <c r="E571" s="22" t="n">
        <v>284.97</v>
      </c>
      <c r="F571" s="21" t="n">
        <v>43510</v>
      </c>
      <c r="G571" s="22" t="n">
        <v>284.25</v>
      </c>
      <c r="H571" s="22" t="n">
        <v>269.24</v>
      </c>
      <c r="I571" s="21" t="n">
        <v>43511</v>
      </c>
      <c r="J571" s="22" t="n">
        <v>283.98</v>
      </c>
      <c r="K571" s="21" t="n">
        <v>43514</v>
      </c>
      <c r="L571" s="22" t="n">
        <v>285.6</v>
      </c>
      <c r="M571" s="8" t="s">
        <v>73</v>
      </c>
      <c r="N571" s="4" t="n">
        <v>2</v>
      </c>
      <c r="O571" s="6" t="n">
        <f aca="false">IF(C571="롱",(J571-E571)/E571,(E571-J571)/E571)</f>
        <v>-0.0034740498999895</v>
      </c>
    </row>
    <row r="572" customFormat="false" ht="17.15" hidden="false" customHeight="false" outlineLevel="0" collapsed="false">
      <c r="A572" s="4" t="n">
        <v>3</v>
      </c>
      <c r="B572" s="4" t="s">
        <v>16</v>
      </c>
      <c r="C572" s="8" t="s">
        <v>72</v>
      </c>
      <c r="D572" s="21" t="n">
        <v>43545</v>
      </c>
      <c r="E572" s="22" t="n">
        <v>282.38</v>
      </c>
      <c r="F572" s="21" t="n">
        <v>43546</v>
      </c>
      <c r="G572" s="22" t="n">
        <v>283.92</v>
      </c>
      <c r="H572" s="22" t="n">
        <v>267.01</v>
      </c>
      <c r="I572" s="21" t="n">
        <v>43549</v>
      </c>
      <c r="J572" s="22" t="n">
        <v>277.45</v>
      </c>
      <c r="K572" s="21" t="n">
        <v>43550</v>
      </c>
      <c r="L572" s="22" t="n">
        <v>278.43</v>
      </c>
      <c r="M572" s="8" t="s">
        <v>73</v>
      </c>
      <c r="N572" s="4" t="n">
        <v>2</v>
      </c>
      <c r="O572" s="6" t="n">
        <f aca="false">IF(C572="롱",(J572-E572)/E572,(E572-J572)/E572)</f>
        <v>-0.0174587435370777</v>
      </c>
    </row>
    <row r="573" customFormat="false" ht="17.15" hidden="false" customHeight="false" outlineLevel="0" collapsed="false">
      <c r="A573" s="4" t="n">
        <v>1</v>
      </c>
      <c r="B573" s="4" t="s">
        <v>12</v>
      </c>
      <c r="C573" s="8" t="s">
        <v>72</v>
      </c>
      <c r="D573" s="21" t="n">
        <v>43546</v>
      </c>
      <c r="E573" s="22" t="n">
        <v>283.13</v>
      </c>
      <c r="F573" s="21" t="n">
        <v>43549</v>
      </c>
      <c r="G573" s="22" t="n">
        <v>279.12</v>
      </c>
      <c r="H573" s="22" t="n">
        <v>267.96</v>
      </c>
      <c r="I573" s="21" t="n">
        <v>43549</v>
      </c>
      <c r="J573" s="22" t="n">
        <v>277.45</v>
      </c>
      <c r="K573" s="21" t="n">
        <v>43550</v>
      </c>
      <c r="L573" s="22" t="n">
        <v>278.43</v>
      </c>
      <c r="M573" s="8" t="s">
        <v>73</v>
      </c>
      <c r="N573" s="4" t="n">
        <v>1</v>
      </c>
      <c r="O573" s="6" t="n">
        <f aca="false">IF(C573="롱",(J573-E573)/E573,(E573-J573)/E573)</f>
        <v>-0.0200614558683291</v>
      </c>
    </row>
    <row r="574" customFormat="false" ht="17.15" hidden="false" customHeight="false" outlineLevel="0" collapsed="false">
      <c r="A574" s="4" t="n">
        <v>6</v>
      </c>
      <c r="B574" s="4" t="s">
        <v>22</v>
      </c>
      <c r="C574" s="8" t="s">
        <v>72</v>
      </c>
      <c r="D574" s="21" t="n">
        <v>43546</v>
      </c>
      <c r="E574" s="22" t="n">
        <v>283.13</v>
      </c>
      <c r="F574" s="21" t="n">
        <v>43549</v>
      </c>
      <c r="G574" s="22" t="n">
        <v>279.12</v>
      </c>
      <c r="H574" s="22" t="n">
        <v>267.96</v>
      </c>
      <c r="I574" s="21" t="n">
        <v>43549</v>
      </c>
      <c r="J574" s="22" t="n">
        <v>277.45</v>
      </c>
      <c r="K574" s="21" t="n">
        <v>43550</v>
      </c>
      <c r="L574" s="22" t="n">
        <v>278.43</v>
      </c>
      <c r="M574" s="8" t="s">
        <v>73</v>
      </c>
      <c r="N574" s="4" t="n">
        <v>1</v>
      </c>
      <c r="O574" s="6" t="n">
        <f aca="false">IF(C574="롱",(J574-E574)/E574,(E574-J574)/E574)</f>
        <v>-0.0200614558683291</v>
      </c>
    </row>
    <row r="575" customFormat="false" ht="17.15" hidden="false" customHeight="false" outlineLevel="0" collapsed="false">
      <c r="A575" s="4" t="n">
        <v>3</v>
      </c>
      <c r="B575" s="4" t="s">
        <v>16</v>
      </c>
      <c r="C575" s="8" t="s">
        <v>72</v>
      </c>
      <c r="D575" s="21" t="n">
        <v>43556</v>
      </c>
      <c r="E575" s="22" t="n">
        <v>280.32</v>
      </c>
      <c r="F575" s="21" t="n">
        <v>43557</v>
      </c>
      <c r="G575" s="22" t="n">
        <v>281.67</v>
      </c>
      <c r="H575" s="22" t="n">
        <v>264.27</v>
      </c>
      <c r="I575" s="21" t="n">
        <v>43580</v>
      </c>
      <c r="J575" s="22" t="n">
        <v>282.83</v>
      </c>
      <c r="K575" s="21" t="n">
        <v>43581</v>
      </c>
      <c r="L575" s="22" t="n">
        <v>280.86</v>
      </c>
      <c r="M575" s="8" t="s">
        <v>73</v>
      </c>
      <c r="N575" s="4" t="n">
        <v>18</v>
      </c>
      <c r="O575" s="6" t="n">
        <f aca="false">IF(C575="롱",(J575-E575)/E575,(E575-J575)/E575)</f>
        <v>0.00895405251141549</v>
      </c>
    </row>
    <row r="576" customFormat="false" ht="17.15" hidden="false" customHeight="false" outlineLevel="0" collapsed="false">
      <c r="A576" s="4" t="n">
        <v>5</v>
      </c>
      <c r="B576" s="4" t="s">
        <v>20</v>
      </c>
      <c r="C576" s="8" t="s">
        <v>72</v>
      </c>
      <c r="D576" s="21" t="n">
        <v>43556</v>
      </c>
      <c r="E576" s="22" t="n">
        <v>280.32</v>
      </c>
      <c r="F576" s="21" t="n">
        <v>43557</v>
      </c>
      <c r="G576" s="22" t="n">
        <v>281.67</v>
      </c>
      <c r="H576" s="22" t="n">
        <v>264.27</v>
      </c>
      <c r="I576" s="21" t="n">
        <v>43580</v>
      </c>
      <c r="J576" s="22" t="n">
        <v>282.83</v>
      </c>
      <c r="K576" s="21" t="n">
        <v>43581</v>
      </c>
      <c r="L576" s="22" t="n">
        <v>280.86</v>
      </c>
      <c r="M576" s="8" t="s">
        <v>73</v>
      </c>
      <c r="N576" s="4" t="n">
        <v>18</v>
      </c>
      <c r="O576" s="6" t="n">
        <f aca="false">IF(C576="롱",(J576-E576)/E576,(E576-J576)/E576)</f>
        <v>0.00895405251141549</v>
      </c>
    </row>
    <row r="577" customFormat="false" ht="17.15" hidden="false" customHeight="false" outlineLevel="0" collapsed="false">
      <c r="A577" s="4" t="n">
        <v>1</v>
      </c>
      <c r="B577" s="4" t="s">
        <v>12</v>
      </c>
      <c r="C577" s="8" t="s">
        <v>72</v>
      </c>
      <c r="D577" s="21" t="n">
        <v>43557</v>
      </c>
      <c r="E577" s="22" t="n">
        <v>281.72</v>
      </c>
      <c r="F577" s="21" t="n">
        <v>43558</v>
      </c>
      <c r="G577" s="22" t="n">
        <v>281.88</v>
      </c>
      <c r="H577" s="22" t="n">
        <v>265.88</v>
      </c>
      <c r="I577" s="21" t="n">
        <v>43577</v>
      </c>
      <c r="J577" s="22" t="n">
        <v>285.87</v>
      </c>
      <c r="K577" s="21" t="n">
        <v>43578</v>
      </c>
      <c r="L577" s="22" t="n">
        <v>285.85</v>
      </c>
      <c r="M577" s="8" t="s">
        <v>73</v>
      </c>
      <c r="N577" s="4" t="n">
        <v>14</v>
      </c>
      <c r="O577" s="6" t="n">
        <f aca="false">IF(C577="롱",(J577-E577)/E577,(E577-J577)/E577)</f>
        <v>0.0147309385205167</v>
      </c>
    </row>
    <row r="578" customFormat="false" ht="17.15" hidden="false" customHeight="false" outlineLevel="0" collapsed="false">
      <c r="A578" s="4" t="n">
        <v>6</v>
      </c>
      <c r="B578" s="4" t="s">
        <v>22</v>
      </c>
      <c r="C578" s="8" t="s">
        <v>72</v>
      </c>
      <c r="D578" s="21" t="n">
        <v>43557</v>
      </c>
      <c r="E578" s="22" t="n">
        <v>281.72</v>
      </c>
      <c r="F578" s="21" t="n">
        <v>43558</v>
      </c>
      <c r="G578" s="22" t="n">
        <v>281.88</v>
      </c>
      <c r="H578" s="22" t="n">
        <v>265.88</v>
      </c>
      <c r="I578" s="21" t="n">
        <v>43573</v>
      </c>
      <c r="J578" s="22" t="n">
        <v>285.82</v>
      </c>
      <c r="K578" s="21" t="n">
        <v>43574</v>
      </c>
      <c r="L578" s="22" t="n">
        <v>287.18</v>
      </c>
      <c r="M578" s="8" t="s">
        <v>73</v>
      </c>
      <c r="N578" s="4" t="n">
        <v>12</v>
      </c>
      <c r="O578" s="6" t="n">
        <f aca="false">IF(C578="롱",(J578-E578)/E578,(E578-J578)/E578)</f>
        <v>0.0145534573335225</v>
      </c>
    </row>
    <row r="579" customFormat="false" ht="17.15" hidden="false" customHeight="false" outlineLevel="0" collapsed="false">
      <c r="A579" s="4" t="n">
        <v>4</v>
      </c>
      <c r="B579" s="4" t="s">
        <v>18</v>
      </c>
      <c r="C579" s="8" t="s">
        <v>72</v>
      </c>
      <c r="D579" s="21" t="n">
        <v>43558</v>
      </c>
      <c r="E579" s="22" t="n">
        <v>285.65</v>
      </c>
      <c r="F579" s="21" t="n">
        <v>43559</v>
      </c>
      <c r="G579" s="22" t="n">
        <v>285.29</v>
      </c>
      <c r="H579" s="22" t="n">
        <v>269.13</v>
      </c>
      <c r="I579" s="21" t="n">
        <v>43580</v>
      </c>
      <c r="J579" s="22" t="n">
        <v>282.83</v>
      </c>
      <c r="K579" s="21" t="n">
        <v>43581</v>
      </c>
      <c r="L579" s="22" t="n">
        <v>280.86</v>
      </c>
      <c r="M579" s="8" t="s">
        <v>73</v>
      </c>
      <c r="N579" s="4" t="n">
        <v>16</v>
      </c>
      <c r="O579" s="6" t="n">
        <f aca="false">IF(C579="롱",(J579-E579)/E579,(E579-J579)/E579)</f>
        <v>-0.00987222124978118</v>
      </c>
    </row>
    <row r="580" customFormat="false" ht="17.15" hidden="false" customHeight="false" outlineLevel="0" collapsed="false">
      <c r="A580" s="4" t="n">
        <v>3</v>
      </c>
      <c r="B580" s="4" t="s">
        <v>16</v>
      </c>
      <c r="C580" s="8" t="s">
        <v>72</v>
      </c>
      <c r="D580" s="21" t="n">
        <v>43584</v>
      </c>
      <c r="E580" s="22" t="n">
        <v>286.79</v>
      </c>
      <c r="F580" s="21" t="n">
        <v>43585</v>
      </c>
      <c r="G580" s="22" t="n">
        <v>286.25</v>
      </c>
      <c r="H580" s="22" t="n">
        <v>272.07</v>
      </c>
      <c r="I580" s="21" t="n">
        <v>43592</v>
      </c>
      <c r="J580" s="22" t="n">
        <v>281.31</v>
      </c>
      <c r="K580" s="21" t="n">
        <v>43593</v>
      </c>
      <c r="L580" s="22" t="n">
        <v>277.85</v>
      </c>
      <c r="M580" s="8" t="s">
        <v>73</v>
      </c>
      <c r="N580" s="4" t="n">
        <v>4</v>
      </c>
      <c r="O580" s="6" t="n">
        <f aca="false">IF(C580="롱",(J580-E580)/E580,(E580-J580)/E580)</f>
        <v>-0.0191080581610238</v>
      </c>
    </row>
    <row r="581" customFormat="false" ht="17.15" hidden="false" customHeight="false" outlineLevel="0" collapsed="false">
      <c r="A581" s="4" t="n">
        <v>5</v>
      </c>
      <c r="B581" s="4" t="s">
        <v>20</v>
      </c>
      <c r="C581" s="8" t="s">
        <v>72</v>
      </c>
      <c r="D581" s="21" t="n">
        <v>43584</v>
      </c>
      <c r="E581" s="22" t="n">
        <v>286.79</v>
      </c>
      <c r="F581" s="21" t="n">
        <v>43585</v>
      </c>
      <c r="G581" s="22" t="n">
        <v>286.25</v>
      </c>
      <c r="H581" s="22" t="n">
        <v>272.07</v>
      </c>
      <c r="I581" s="21" t="n">
        <v>43592</v>
      </c>
      <c r="J581" s="22" t="n">
        <v>281.31</v>
      </c>
      <c r="K581" s="21" t="n">
        <v>43593</v>
      </c>
      <c r="L581" s="22" t="n">
        <v>277.85</v>
      </c>
      <c r="M581" s="8" t="s">
        <v>73</v>
      </c>
      <c r="N581" s="4" t="n">
        <v>4</v>
      </c>
      <c r="O581" s="6" t="n">
        <f aca="false">IF(C581="롱",(J581-E581)/E581,(E581-J581)/E581)</f>
        <v>-0.0191080581610238</v>
      </c>
    </row>
    <row r="582" customFormat="false" ht="17.15" hidden="false" customHeight="false" outlineLevel="0" collapsed="false">
      <c r="A582" s="4" t="n">
        <v>10</v>
      </c>
      <c r="B582" s="4" t="s">
        <v>30</v>
      </c>
      <c r="C582" s="8" t="s">
        <v>72</v>
      </c>
      <c r="D582" s="21" t="n">
        <v>43759</v>
      </c>
      <c r="E582" s="22" t="n">
        <v>273.79</v>
      </c>
      <c r="F582" s="21" t="n">
        <v>43760</v>
      </c>
      <c r="G582" s="22" t="n">
        <v>275.4</v>
      </c>
      <c r="H582" s="22" t="n">
        <v>257.44</v>
      </c>
      <c r="I582" s="21" t="n">
        <v>43790</v>
      </c>
      <c r="J582" s="22" t="n">
        <v>278.28</v>
      </c>
      <c r="K582" s="21" t="n">
        <v>43791</v>
      </c>
      <c r="L582" s="22" t="n">
        <v>278.57</v>
      </c>
      <c r="M582" s="8" t="s">
        <v>73</v>
      </c>
      <c r="N582" s="4" t="n">
        <v>23</v>
      </c>
      <c r="O582" s="6" t="n">
        <f aca="false">IF(C582="롱",(J582-E582)/E582,(E582-J582)/E582)</f>
        <v>0.0163994302202416</v>
      </c>
    </row>
    <row r="583" customFormat="false" ht="17.15" hidden="false" customHeight="false" outlineLevel="0" collapsed="false">
      <c r="A583" s="4" t="n">
        <v>6</v>
      </c>
      <c r="B583" s="4" t="s">
        <v>22</v>
      </c>
      <c r="C583" s="8" t="s">
        <v>72</v>
      </c>
      <c r="D583" s="21" t="n">
        <v>43766</v>
      </c>
      <c r="E583" s="22" t="n">
        <v>277.78</v>
      </c>
      <c r="F583" s="21" t="n">
        <v>43767</v>
      </c>
      <c r="G583" s="22" t="n">
        <v>279.25</v>
      </c>
      <c r="H583" s="22" t="n">
        <v>261.11</v>
      </c>
      <c r="I583" s="21" t="n">
        <v>43768</v>
      </c>
      <c r="J583" s="22" t="n">
        <v>275.51</v>
      </c>
      <c r="K583" s="21" t="n">
        <v>43769</v>
      </c>
      <c r="L583" s="22" t="n">
        <v>276.84</v>
      </c>
      <c r="M583" s="8" t="s">
        <v>73</v>
      </c>
      <c r="N583" s="4" t="n">
        <v>2</v>
      </c>
      <c r="O583" s="6" t="n">
        <f aca="false">IF(C583="롱",(J583-E583)/E583,(E583-J583)/E583)</f>
        <v>-0.00817193462452294</v>
      </c>
    </row>
    <row r="584" customFormat="false" ht="17.15" hidden="false" customHeight="false" outlineLevel="0" collapsed="false">
      <c r="A584" s="4" t="n">
        <v>1</v>
      </c>
      <c r="B584" s="4" t="s">
        <v>12</v>
      </c>
      <c r="C584" s="8" t="s">
        <v>72</v>
      </c>
      <c r="D584" s="21" t="n">
        <v>43773</v>
      </c>
      <c r="E584" s="22" t="n">
        <v>282.54</v>
      </c>
      <c r="F584" s="21" t="n">
        <v>43774</v>
      </c>
      <c r="G584" s="22" t="n">
        <v>282.99</v>
      </c>
      <c r="H584" s="22" t="n">
        <v>266.68</v>
      </c>
      <c r="I584" s="21" t="n">
        <v>43789</v>
      </c>
      <c r="J584" s="22" t="n">
        <v>282.21</v>
      </c>
      <c r="K584" s="21" t="n">
        <v>43790</v>
      </c>
      <c r="L584" s="22" t="n">
        <v>281.89</v>
      </c>
      <c r="M584" s="8" t="s">
        <v>73</v>
      </c>
      <c r="N584" s="4" t="n">
        <v>12</v>
      </c>
      <c r="O584" s="6" t="n">
        <f aca="false">IF(C584="롱",(J584-E584)/E584,(E584-J584)/E584)</f>
        <v>-0.00116797621575721</v>
      </c>
    </row>
    <row r="585" customFormat="false" ht="17.15" hidden="false" customHeight="false" outlineLevel="0" collapsed="false">
      <c r="A585" s="4" t="n">
        <v>6</v>
      </c>
      <c r="B585" s="4" t="s">
        <v>22</v>
      </c>
      <c r="C585" s="8" t="s">
        <v>72</v>
      </c>
      <c r="D585" s="21" t="n">
        <v>43773</v>
      </c>
      <c r="E585" s="22" t="n">
        <v>282.54</v>
      </c>
      <c r="F585" s="21" t="n">
        <v>43774</v>
      </c>
      <c r="G585" s="22" t="n">
        <v>282.99</v>
      </c>
      <c r="H585" s="22" t="n">
        <v>266.68</v>
      </c>
      <c r="I585" s="21" t="n">
        <v>43777</v>
      </c>
      <c r="J585" s="22" t="n">
        <v>283.13</v>
      </c>
      <c r="K585" s="21" t="n">
        <v>43780</v>
      </c>
      <c r="L585" s="22" t="n">
        <v>283.3</v>
      </c>
      <c r="M585" s="8" t="s">
        <v>73</v>
      </c>
      <c r="N585" s="4" t="n">
        <v>4</v>
      </c>
      <c r="O585" s="6" t="n">
        <f aca="false">IF(C585="롱",(J585-E585)/E585,(E585-J585)/E585)</f>
        <v>0.0020881999008989</v>
      </c>
    </row>
    <row r="586" customFormat="false" ht="17.15" hidden="false" customHeight="false" outlineLevel="0" collapsed="false">
      <c r="A586" s="4" t="n">
        <v>3</v>
      </c>
      <c r="B586" s="4" t="s">
        <v>16</v>
      </c>
      <c r="C586" s="8" t="s">
        <v>72</v>
      </c>
      <c r="D586" s="21" t="n">
        <v>43794</v>
      </c>
      <c r="E586" s="22" t="n">
        <v>282.19</v>
      </c>
      <c r="F586" s="21" t="n">
        <v>43795</v>
      </c>
      <c r="G586" s="22" t="n">
        <v>283.09</v>
      </c>
      <c r="H586" s="22" t="n">
        <v>266.41</v>
      </c>
      <c r="I586" s="21" t="n">
        <v>43798</v>
      </c>
      <c r="J586" s="22" t="n">
        <v>276.78</v>
      </c>
      <c r="K586" s="21" t="n">
        <v>43801</v>
      </c>
      <c r="L586" s="22" t="n">
        <v>278.27</v>
      </c>
      <c r="M586" s="8" t="s">
        <v>73</v>
      </c>
      <c r="N586" s="4" t="n">
        <v>4</v>
      </c>
      <c r="O586" s="6" t="n">
        <f aca="false">IF(C586="롱",(J586-E586)/E586,(E586-J586)/E586)</f>
        <v>-0.0191714802083703</v>
      </c>
    </row>
    <row r="587" customFormat="false" ht="17.15" hidden="false" customHeight="false" outlineLevel="0" collapsed="false">
      <c r="A587" s="4" t="n">
        <v>10</v>
      </c>
      <c r="B587" s="4" t="s">
        <v>30</v>
      </c>
      <c r="C587" s="8" t="s">
        <v>72</v>
      </c>
      <c r="D587" s="21" t="n">
        <v>43794</v>
      </c>
      <c r="E587" s="22" t="n">
        <v>282.19</v>
      </c>
      <c r="F587" s="21" t="n">
        <v>43795</v>
      </c>
      <c r="G587" s="22" t="n">
        <v>283.09</v>
      </c>
      <c r="H587" s="22" t="n">
        <v>266.41</v>
      </c>
      <c r="I587" s="21" t="n">
        <v>43795</v>
      </c>
      <c r="J587" s="22" t="n">
        <v>281.83</v>
      </c>
      <c r="K587" s="21" t="n">
        <v>43796</v>
      </c>
      <c r="L587" s="22" t="n">
        <v>283.56</v>
      </c>
      <c r="M587" s="8" t="s">
        <v>73</v>
      </c>
      <c r="N587" s="4" t="n">
        <v>1</v>
      </c>
      <c r="O587" s="6" t="n">
        <f aca="false">IF(C587="롱",(J587-E587)/E587,(E587-J587)/E587)</f>
        <v>-0.00127573620610232</v>
      </c>
    </row>
    <row r="588" customFormat="false" ht="17.15" hidden="false" customHeight="false" outlineLevel="0" collapsed="false">
      <c r="A588" s="4" t="n">
        <v>11</v>
      </c>
      <c r="B588" s="4" t="s">
        <v>32</v>
      </c>
      <c r="C588" s="8" t="s">
        <v>74</v>
      </c>
      <c r="D588" s="21" t="n">
        <v>43797</v>
      </c>
      <c r="E588" s="22" t="n">
        <v>281.23</v>
      </c>
      <c r="F588" s="21" t="n">
        <v>43798</v>
      </c>
      <c r="G588" s="22" t="n">
        <v>282.08</v>
      </c>
      <c r="H588" s="22" t="n">
        <v>296.72</v>
      </c>
      <c r="I588" s="21" t="n">
        <v>43811</v>
      </c>
      <c r="J588" s="22" t="n">
        <v>285.11</v>
      </c>
      <c r="K588" s="21" t="n">
        <v>43812</v>
      </c>
      <c r="L588" s="22" t="n">
        <v>289.34</v>
      </c>
      <c r="M588" s="8" t="s">
        <v>73</v>
      </c>
      <c r="N588" s="4" t="n">
        <v>10</v>
      </c>
      <c r="O588" s="6" t="n">
        <f aca="false">IF(C588="롱",(J588-E588)/E588,(E588-J588)/E588)</f>
        <v>-0.0137965366426057</v>
      </c>
    </row>
    <row r="589" customFormat="false" ht="17.15" hidden="false" customHeight="false" outlineLevel="0" collapsed="false">
      <c r="A589" s="4" t="n">
        <v>2</v>
      </c>
      <c r="B589" s="4" t="s">
        <v>14</v>
      </c>
      <c r="C589" s="8" t="s">
        <v>72</v>
      </c>
      <c r="D589" s="21" t="n">
        <v>43802</v>
      </c>
      <c r="E589" s="22" t="n">
        <v>276.19</v>
      </c>
      <c r="F589" s="21" t="n">
        <v>43803</v>
      </c>
      <c r="G589" s="22" t="n">
        <v>274.36</v>
      </c>
      <c r="H589" s="22" t="n">
        <v>260.08</v>
      </c>
      <c r="I589" s="21" t="n">
        <v>43811</v>
      </c>
      <c r="J589" s="22" t="n">
        <v>285.11</v>
      </c>
      <c r="K589" s="21" t="n">
        <v>43812</v>
      </c>
      <c r="L589" s="22" t="n">
        <v>289.34</v>
      </c>
      <c r="M589" s="8" t="s">
        <v>73</v>
      </c>
      <c r="N589" s="4" t="n">
        <v>7</v>
      </c>
      <c r="O589" s="6" t="n">
        <f aca="false">IF(C589="롱",(J589-E589)/E589,(E589-J589)/E589)</f>
        <v>0.0322966074079439</v>
      </c>
    </row>
    <row r="590" customFormat="false" ht="17.15" hidden="false" customHeight="false" outlineLevel="0" collapsed="false">
      <c r="A590" s="4" t="n">
        <v>5</v>
      </c>
      <c r="B590" s="4" t="s">
        <v>20</v>
      </c>
      <c r="C590" s="8" t="s">
        <v>72</v>
      </c>
      <c r="D590" s="21" t="n">
        <v>43808</v>
      </c>
      <c r="E590" s="22" t="n">
        <v>278.03</v>
      </c>
      <c r="F590" s="21" t="n">
        <v>43809</v>
      </c>
      <c r="G590" s="22" t="n">
        <v>276.8</v>
      </c>
      <c r="H590" s="22" t="n">
        <v>261.24</v>
      </c>
      <c r="I590" s="21" t="n">
        <v>43861</v>
      </c>
      <c r="J590" s="22" t="n">
        <v>284.53</v>
      </c>
      <c r="K590" s="21" t="n">
        <v>43864</v>
      </c>
      <c r="L590" s="22" t="n">
        <v>280.17</v>
      </c>
      <c r="M590" s="8" t="s">
        <v>73</v>
      </c>
      <c r="N590" s="4" t="n">
        <v>34</v>
      </c>
      <c r="O590" s="6" t="n">
        <f aca="false">IF(C590="롱",(J590-E590)/E590,(E590-J590)/E590)</f>
        <v>0.0233787720749559</v>
      </c>
    </row>
    <row r="591" customFormat="false" ht="17.15" hidden="false" customHeight="false" outlineLevel="0" collapsed="false">
      <c r="A591" s="4" t="n">
        <v>3</v>
      </c>
      <c r="B591" s="4" t="s">
        <v>16</v>
      </c>
      <c r="C591" s="8" t="s">
        <v>72</v>
      </c>
      <c r="D591" s="21" t="n">
        <v>43809</v>
      </c>
      <c r="E591" s="22" t="n">
        <v>279.31</v>
      </c>
      <c r="F591" s="21" t="n">
        <v>43810</v>
      </c>
      <c r="G591" s="22" t="n">
        <v>279.19</v>
      </c>
      <c r="H591" s="22" t="n">
        <v>262.46</v>
      </c>
      <c r="I591" s="21" t="n">
        <v>43860</v>
      </c>
      <c r="J591" s="22" t="n">
        <v>288.37</v>
      </c>
      <c r="K591" s="21" t="n">
        <v>43861</v>
      </c>
      <c r="L591" s="22" t="n">
        <v>290.24</v>
      </c>
      <c r="M591" s="8" t="s">
        <v>73</v>
      </c>
      <c r="N591" s="4" t="n">
        <v>32</v>
      </c>
      <c r="O591" s="6" t="n">
        <f aca="false">IF(C591="롱",(J591-E591)/E591,(E591-J591)/E591)</f>
        <v>0.0324370770828112</v>
      </c>
    </row>
    <row r="592" customFormat="false" ht="17.15" hidden="false" customHeight="false" outlineLevel="0" collapsed="false">
      <c r="A592" s="4" t="n">
        <v>1</v>
      </c>
      <c r="B592" s="4" t="s">
        <v>12</v>
      </c>
      <c r="C592" s="8" t="s">
        <v>72</v>
      </c>
      <c r="D592" s="21" t="n">
        <v>43811</v>
      </c>
      <c r="E592" s="22" t="n">
        <v>285.11</v>
      </c>
      <c r="F592" s="21" t="n">
        <v>43812</v>
      </c>
      <c r="G592" s="22" t="n">
        <v>289.34</v>
      </c>
      <c r="H592" s="22" t="n">
        <v>267.79</v>
      </c>
      <c r="I592" s="21" t="n">
        <v>43833</v>
      </c>
      <c r="J592" s="22" t="n">
        <v>290.74</v>
      </c>
      <c r="K592" s="21" t="n">
        <v>43836</v>
      </c>
      <c r="L592" s="22" t="n">
        <v>287.73</v>
      </c>
      <c r="M592" s="8" t="s">
        <v>73</v>
      </c>
      <c r="N592" s="4" t="n">
        <v>13</v>
      </c>
      <c r="O592" s="6" t="n">
        <f aca="false">IF(C592="롱",(J592-E592)/E592,(E592-J592)/E592)</f>
        <v>0.0197467644067202</v>
      </c>
    </row>
    <row r="593" customFormat="false" ht="17.15" hidden="false" customHeight="false" outlineLevel="0" collapsed="false">
      <c r="A593" s="4" t="n">
        <v>6</v>
      </c>
      <c r="B593" s="4" t="s">
        <v>22</v>
      </c>
      <c r="C593" s="8" t="s">
        <v>72</v>
      </c>
      <c r="D593" s="21" t="n">
        <v>43811</v>
      </c>
      <c r="E593" s="22" t="n">
        <v>285.11</v>
      </c>
      <c r="F593" s="21" t="n">
        <v>43812</v>
      </c>
      <c r="G593" s="22" t="n">
        <v>289.34</v>
      </c>
      <c r="H593" s="22" t="n">
        <v>267.79</v>
      </c>
      <c r="I593" s="21" t="n">
        <v>43823</v>
      </c>
      <c r="J593" s="22" t="n">
        <v>292.9</v>
      </c>
      <c r="K593" s="21" t="n">
        <v>43825</v>
      </c>
      <c r="L593" s="22" t="n">
        <v>293.12</v>
      </c>
      <c r="M593" s="8" t="s">
        <v>73</v>
      </c>
      <c r="N593" s="4" t="n">
        <v>8</v>
      </c>
      <c r="O593" s="6" t="n">
        <f aca="false">IF(C593="롱",(J593-E593)/E593,(E593-J593)/E593)</f>
        <v>0.0273227876959769</v>
      </c>
    </row>
    <row r="594" customFormat="false" ht="17.15" hidden="false" customHeight="false" outlineLevel="0" collapsed="false">
      <c r="A594" s="4" t="n">
        <v>4</v>
      </c>
      <c r="B594" s="4" t="s">
        <v>18</v>
      </c>
      <c r="C594" s="8" t="s">
        <v>72</v>
      </c>
      <c r="D594" s="21" t="n">
        <v>43812</v>
      </c>
      <c r="E594" s="22" t="n">
        <v>290.11</v>
      </c>
      <c r="F594" s="21" t="n">
        <v>43815</v>
      </c>
      <c r="G594" s="22" t="n">
        <v>289.54</v>
      </c>
      <c r="H594" s="22" t="n">
        <v>272.64</v>
      </c>
      <c r="I594" s="21" t="n">
        <v>43861</v>
      </c>
      <c r="J594" s="22" t="n">
        <v>284.53</v>
      </c>
      <c r="K594" s="21" t="n">
        <v>43864</v>
      </c>
      <c r="L594" s="22" t="n">
        <v>280.17</v>
      </c>
      <c r="M594" s="8" t="s">
        <v>73</v>
      </c>
      <c r="N594" s="4" t="n">
        <v>30</v>
      </c>
      <c r="O594" s="6" t="n">
        <f aca="false">IF(C594="롱",(J594-E594)/E594,(E594-J594)/E594)</f>
        <v>-0.0192340836234533</v>
      </c>
    </row>
    <row r="595" customFormat="false" ht="17.15" hidden="false" customHeight="false" outlineLevel="0" collapsed="false">
      <c r="A595" s="4" t="n">
        <v>1</v>
      </c>
      <c r="B595" s="4" t="s">
        <v>12</v>
      </c>
      <c r="C595" s="8" t="s">
        <v>72</v>
      </c>
      <c r="D595" s="21" t="n">
        <v>43843</v>
      </c>
      <c r="E595" s="22" t="n">
        <v>300.13</v>
      </c>
      <c r="F595" s="21" t="n">
        <v>43844</v>
      </c>
      <c r="G595" s="22" t="n">
        <v>302.2</v>
      </c>
      <c r="H595" s="22" t="n">
        <v>282.02</v>
      </c>
      <c r="I595" s="21" t="n">
        <v>43858</v>
      </c>
      <c r="J595" s="22" t="n">
        <v>292.77</v>
      </c>
      <c r="K595" s="21" t="n">
        <v>43859</v>
      </c>
      <c r="L595" s="22" t="n">
        <v>294.38</v>
      </c>
      <c r="M595" s="8" t="s">
        <v>73</v>
      </c>
      <c r="N595" s="4" t="n">
        <v>9</v>
      </c>
      <c r="O595" s="6" t="n">
        <f aca="false">IF(C595="롱",(J595-E595)/E595,(E595-J595)/E595)</f>
        <v>-0.0245227068270417</v>
      </c>
    </row>
    <row r="596" customFormat="false" ht="17.15" hidden="false" customHeight="false" outlineLevel="0" collapsed="false">
      <c r="A596" s="4" t="n">
        <v>6</v>
      </c>
      <c r="B596" s="4" t="s">
        <v>22</v>
      </c>
      <c r="C596" s="8" t="s">
        <v>72</v>
      </c>
      <c r="D596" s="21" t="n">
        <v>43843</v>
      </c>
      <c r="E596" s="22" t="n">
        <v>300.13</v>
      </c>
      <c r="F596" s="21" t="n">
        <v>43844</v>
      </c>
      <c r="G596" s="22" t="n">
        <v>302.2</v>
      </c>
      <c r="H596" s="22" t="n">
        <v>282.02</v>
      </c>
      <c r="I596" s="21" t="n">
        <v>43851</v>
      </c>
      <c r="J596" s="22" t="n">
        <v>302.11</v>
      </c>
      <c r="K596" s="21" t="n">
        <v>43852</v>
      </c>
      <c r="L596" s="22" t="n">
        <v>301.79</v>
      </c>
      <c r="M596" s="8" t="s">
        <v>73</v>
      </c>
      <c r="N596" s="4" t="n">
        <v>6</v>
      </c>
      <c r="O596" s="6" t="n">
        <f aca="false">IF(C596="롱",(J596-E596)/E596,(E596-J596)/E596)</f>
        <v>0.00659714123879658</v>
      </c>
    </row>
    <row r="597" customFormat="false" ht="17.15" hidden="false" customHeight="false" outlineLevel="0" collapsed="false">
      <c r="A597" s="4" t="n">
        <v>2</v>
      </c>
      <c r="B597" s="4" t="s">
        <v>14</v>
      </c>
      <c r="C597" s="8" t="s">
        <v>72</v>
      </c>
      <c r="D597" s="21" t="n">
        <v>43861</v>
      </c>
      <c r="E597" s="22" t="n">
        <v>284.53</v>
      </c>
      <c r="F597" s="21" t="n">
        <v>43864</v>
      </c>
      <c r="G597" s="22" t="n">
        <v>280.17</v>
      </c>
      <c r="H597" s="22" t="n">
        <v>261.19</v>
      </c>
      <c r="I597" s="21" t="n">
        <v>43873</v>
      </c>
      <c r="J597" s="22" t="n">
        <v>301.54</v>
      </c>
      <c r="K597" s="21" t="n">
        <v>43874</v>
      </c>
      <c r="L597" s="22" t="n">
        <v>302.79</v>
      </c>
      <c r="M597" s="8" t="s">
        <v>73</v>
      </c>
      <c r="N597" s="4" t="n">
        <v>8</v>
      </c>
      <c r="O597" s="6" t="n">
        <f aca="false">IF(C597="롱",(J597-E597)/E597,(E597-J597)/E597)</f>
        <v>0.0597827997047765</v>
      </c>
    </row>
    <row r="598" customFormat="false" ht="17.15" hidden="false" customHeight="false" outlineLevel="0" collapsed="false">
      <c r="A598" s="4" t="n">
        <v>5</v>
      </c>
      <c r="B598" s="4" t="s">
        <v>20</v>
      </c>
      <c r="C598" s="8" t="s">
        <v>72</v>
      </c>
      <c r="D598" s="21" t="n">
        <v>43865</v>
      </c>
      <c r="E598" s="22" t="n">
        <v>290.68</v>
      </c>
      <c r="F598" s="21" t="n">
        <v>43866</v>
      </c>
      <c r="G598" s="22" t="n">
        <v>293.57</v>
      </c>
      <c r="H598" s="22" t="n">
        <v>266.76</v>
      </c>
      <c r="I598" s="21" t="n">
        <v>43885</v>
      </c>
      <c r="J598" s="22" t="n">
        <v>281.02</v>
      </c>
      <c r="K598" s="21" t="n">
        <v>43886</v>
      </c>
      <c r="L598" s="22" t="n">
        <v>280.48</v>
      </c>
      <c r="M598" s="8" t="s">
        <v>73</v>
      </c>
      <c r="N598" s="4" t="n">
        <v>14</v>
      </c>
      <c r="O598" s="6" t="n">
        <f aca="false">IF(C598="롱",(J598-E598)/E598,(E598-J598)/E598)</f>
        <v>-0.0332324205311684</v>
      </c>
    </row>
    <row r="599" customFormat="false" ht="17.15" hidden="false" customHeight="false" outlineLevel="0" collapsed="false">
      <c r="A599" s="4" t="n">
        <v>3</v>
      </c>
      <c r="B599" s="4" t="s">
        <v>16</v>
      </c>
      <c r="C599" s="8" t="s">
        <v>72</v>
      </c>
      <c r="D599" s="21" t="n">
        <v>43867</v>
      </c>
      <c r="E599" s="22" t="n">
        <v>300.65</v>
      </c>
      <c r="F599" s="21" t="n">
        <v>43868</v>
      </c>
      <c r="G599" s="22" t="n">
        <v>299.59</v>
      </c>
      <c r="H599" s="22" t="n">
        <v>275.27</v>
      </c>
      <c r="I599" s="21" t="n">
        <v>43882</v>
      </c>
      <c r="J599" s="22" t="n">
        <v>292.42</v>
      </c>
      <c r="K599" s="21" t="n">
        <v>43885</v>
      </c>
      <c r="L599" s="22" t="n">
        <v>285.51</v>
      </c>
      <c r="M599" s="8" t="s">
        <v>73</v>
      </c>
      <c r="N599" s="4" t="n">
        <v>11</v>
      </c>
      <c r="O599" s="6" t="n">
        <f aca="false">IF(C599="롱",(J599-E599)/E599,(E599-J599)/E599)</f>
        <v>-0.0273740229502743</v>
      </c>
    </row>
    <row r="600" customFormat="false" ht="17.15" hidden="false" customHeight="false" outlineLevel="0" collapsed="false">
      <c r="A600" s="4" t="n">
        <v>11</v>
      </c>
      <c r="B600" s="4" t="s">
        <v>32</v>
      </c>
      <c r="C600" s="8" t="s">
        <v>74</v>
      </c>
      <c r="D600" s="21" t="n">
        <v>43871</v>
      </c>
      <c r="E600" s="22" t="n">
        <v>296.24</v>
      </c>
      <c r="F600" s="21" t="n">
        <v>43872</v>
      </c>
      <c r="G600" s="22" t="n">
        <v>297.91</v>
      </c>
      <c r="H600" s="22" t="n">
        <v>321.77</v>
      </c>
      <c r="I600" s="21" t="n">
        <v>43872</v>
      </c>
      <c r="J600" s="22" t="n">
        <v>299.28</v>
      </c>
      <c r="K600" s="21" t="n">
        <v>43873</v>
      </c>
      <c r="L600" s="22" t="n">
        <v>299.83</v>
      </c>
      <c r="M600" s="8" t="s">
        <v>73</v>
      </c>
      <c r="N600" s="4" t="n">
        <v>1</v>
      </c>
      <c r="O600" s="6" t="n">
        <f aca="false">IF(C600="롱",(J600-E600)/E600,(E600-J600)/E600)</f>
        <v>-0.0102619497704563</v>
      </c>
    </row>
    <row r="601" customFormat="false" ht="17.15" hidden="false" customHeight="false" outlineLevel="0" collapsed="false">
      <c r="A601" s="4" t="n">
        <v>1</v>
      </c>
      <c r="B601" s="4" t="s">
        <v>12</v>
      </c>
      <c r="C601" s="8" t="s">
        <v>72</v>
      </c>
      <c r="D601" s="21" t="n">
        <v>43872</v>
      </c>
      <c r="E601" s="22" t="n">
        <v>299.28</v>
      </c>
      <c r="F601" s="21" t="n">
        <v>43873</v>
      </c>
      <c r="G601" s="22" t="n">
        <v>299.83</v>
      </c>
      <c r="H601" s="22" t="n">
        <v>273.28</v>
      </c>
      <c r="I601" s="21" t="n">
        <v>43881</v>
      </c>
      <c r="J601" s="22" t="n">
        <v>296.65</v>
      </c>
      <c r="K601" s="21" t="n">
        <v>43882</v>
      </c>
      <c r="L601" s="22" t="n">
        <v>292.16</v>
      </c>
      <c r="M601" s="8" t="s">
        <v>73</v>
      </c>
      <c r="N601" s="4" t="n">
        <v>7</v>
      </c>
      <c r="O601" s="6" t="n">
        <f aca="false">IF(C601="롱",(J601-E601)/E601,(E601-J601)/E601)</f>
        <v>-0.00878775728414861</v>
      </c>
    </row>
    <row r="602" customFormat="false" ht="17.15" hidden="false" customHeight="false" outlineLevel="0" collapsed="false">
      <c r="A602" s="4" t="n">
        <v>4</v>
      </c>
      <c r="B602" s="4" t="s">
        <v>18</v>
      </c>
      <c r="C602" s="8" t="s">
        <v>72</v>
      </c>
      <c r="D602" s="21" t="n">
        <v>43872</v>
      </c>
      <c r="E602" s="22" t="n">
        <v>299.28</v>
      </c>
      <c r="F602" s="21" t="n">
        <v>43873</v>
      </c>
      <c r="G602" s="22" t="n">
        <v>299.83</v>
      </c>
      <c r="H602" s="22" t="n">
        <v>273.28</v>
      </c>
      <c r="I602" s="21" t="n">
        <v>43885</v>
      </c>
      <c r="J602" s="22" t="n">
        <v>281.02</v>
      </c>
      <c r="K602" s="21" t="n">
        <v>43886</v>
      </c>
      <c r="L602" s="22" t="n">
        <v>280.48</v>
      </c>
      <c r="M602" s="8" t="s">
        <v>73</v>
      </c>
      <c r="N602" s="4" t="n">
        <v>9</v>
      </c>
      <c r="O602" s="6" t="n">
        <f aca="false">IF(C602="롱",(J602-E602)/E602,(E602-J602)/E602)</f>
        <v>-0.0610130981021117</v>
      </c>
    </row>
    <row r="603" customFormat="false" ht="17.15" hidden="false" customHeight="false" outlineLevel="0" collapsed="false">
      <c r="A603" s="4" t="n">
        <v>7</v>
      </c>
      <c r="B603" s="4" t="s">
        <v>24</v>
      </c>
      <c r="C603" s="8" t="s">
        <v>72</v>
      </c>
      <c r="D603" s="21" t="n">
        <v>43885</v>
      </c>
      <c r="E603" s="22" t="n">
        <v>281.02</v>
      </c>
      <c r="F603" s="21" t="n">
        <v>43886</v>
      </c>
      <c r="G603" s="22" t="n">
        <v>280.48</v>
      </c>
      <c r="H603" s="22" t="n">
        <v>252.92</v>
      </c>
      <c r="I603" s="21" t="n">
        <v>43888</v>
      </c>
      <c r="J603" s="22" t="n">
        <v>277.09</v>
      </c>
      <c r="K603" s="21" t="n">
        <v>43889</v>
      </c>
      <c r="L603" s="22" t="n">
        <v>272.33</v>
      </c>
      <c r="M603" s="8" t="s">
        <v>73</v>
      </c>
      <c r="N603" s="4" t="n">
        <v>3</v>
      </c>
      <c r="O603" s="6" t="n">
        <f aca="false">IF(C603="롱",(J603-E603)/E603,(E603-J603)/E603)</f>
        <v>-0.0139847697672764</v>
      </c>
    </row>
    <row r="604" customFormat="false" ht="17.15" hidden="false" customHeight="false" outlineLevel="0" collapsed="false">
      <c r="A604" s="4" t="n">
        <v>2</v>
      </c>
      <c r="B604" s="4" t="s">
        <v>14</v>
      </c>
      <c r="C604" s="8" t="s">
        <v>72</v>
      </c>
      <c r="D604" s="21" t="n">
        <v>43888</v>
      </c>
      <c r="E604" s="22" t="n">
        <v>277.09</v>
      </c>
      <c r="F604" s="21" t="n">
        <v>43889</v>
      </c>
      <c r="G604" s="22" t="n">
        <v>272.33</v>
      </c>
      <c r="H604" s="22" t="n">
        <v>249.38</v>
      </c>
      <c r="I604" s="21" t="n">
        <v>43902</v>
      </c>
      <c r="J604" s="22" t="n">
        <v>249.38</v>
      </c>
      <c r="K604" s="21" t="n">
        <v>43903</v>
      </c>
      <c r="L604" s="22" t="n">
        <v>231.71</v>
      </c>
      <c r="M604" s="8" t="s">
        <v>75</v>
      </c>
      <c r="N604" s="4" t="n">
        <v>10</v>
      </c>
      <c r="O604" s="6" t="n">
        <f aca="false">IF(C604="롱",(J604-E604)/E604,(E604-J604)/E604)</f>
        <v>-0.100003608935725</v>
      </c>
    </row>
    <row r="605" customFormat="false" ht="17.15" hidden="false" customHeight="false" outlineLevel="0" collapsed="false">
      <c r="A605" s="4" t="n">
        <v>8</v>
      </c>
      <c r="B605" s="4" t="s">
        <v>26</v>
      </c>
      <c r="C605" s="8" t="s">
        <v>72</v>
      </c>
      <c r="D605" s="21" t="n">
        <v>43997</v>
      </c>
      <c r="E605" s="22" t="n">
        <v>267.95</v>
      </c>
      <c r="F605" s="21" t="n">
        <v>43998</v>
      </c>
      <c r="G605" s="22" t="n">
        <v>275.89</v>
      </c>
      <c r="H605" s="22" t="n">
        <v>241.15</v>
      </c>
      <c r="I605" s="21" t="n">
        <v>43998</v>
      </c>
      <c r="J605" s="22" t="n">
        <v>282.59</v>
      </c>
      <c r="K605" s="21" t="n">
        <v>43999</v>
      </c>
      <c r="L605" s="22" t="n">
        <v>282.08</v>
      </c>
      <c r="M605" s="8" t="s">
        <v>73</v>
      </c>
      <c r="N605" s="4" t="n">
        <v>1</v>
      </c>
      <c r="O605" s="6" t="n">
        <f aca="false">IF(C605="롱",(J605-E605)/E605,(E605-J605)/E605)</f>
        <v>0.054637059152827</v>
      </c>
    </row>
    <row r="606" customFormat="false" ht="17.15" hidden="false" customHeight="false" outlineLevel="0" collapsed="false">
      <c r="A606" s="4" t="n">
        <v>3</v>
      </c>
      <c r="B606" s="4" t="s">
        <v>16</v>
      </c>
      <c r="C606" s="8" t="s">
        <v>72</v>
      </c>
      <c r="D606" s="21" t="n">
        <v>43998</v>
      </c>
      <c r="E606" s="22" t="n">
        <v>282.59</v>
      </c>
      <c r="F606" s="21" t="n">
        <v>43999</v>
      </c>
      <c r="G606" s="22" t="n">
        <v>282.08</v>
      </c>
      <c r="H606" s="22" t="n">
        <v>254.33</v>
      </c>
      <c r="I606" s="21" t="n">
        <v>44053</v>
      </c>
      <c r="J606" s="22" t="n">
        <v>316.77</v>
      </c>
      <c r="K606" s="21" t="n">
        <v>44054</v>
      </c>
      <c r="L606" s="22" t="n">
        <v>317.63</v>
      </c>
      <c r="M606" s="8" t="s">
        <v>73</v>
      </c>
      <c r="N606" s="4" t="n">
        <v>39</v>
      </c>
      <c r="O606" s="6" t="n">
        <f aca="false">IF(C606="롱",(J606-E606)/E606,(E606-J606)/E606)</f>
        <v>0.120952616865423</v>
      </c>
    </row>
    <row r="607" customFormat="false" ht="17.15" hidden="false" customHeight="false" outlineLevel="0" collapsed="false">
      <c r="A607" s="4" t="n">
        <v>4</v>
      </c>
      <c r="B607" s="4" t="s">
        <v>18</v>
      </c>
      <c r="C607" s="8" t="s">
        <v>72</v>
      </c>
      <c r="D607" s="21" t="n">
        <v>44018</v>
      </c>
      <c r="E607" s="22" t="n">
        <v>290.62</v>
      </c>
      <c r="F607" s="21" t="n">
        <v>44019</v>
      </c>
      <c r="G607" s="22" t="n">
        <v>292.74</v>
      </c>
      <c r="H607" s="22" t="n">
        <v>261.56</v>
      </c>
      <c r="I607" s="21" t="n">
        <v>44068</v>
      </c>
      <c r="J607" s="22" t="n">
        <v>313.59</v>
      </c>
      <c r="K607" s="21" t="n">
        <v>44069</v>
      </c>
      <c r="L607" s="22" t="n">
        <v>313.61</v>
      </c>
      <c r="M607" s="8" t="s">
        <v>73</v>
      </c>
      <c r="N607" s="4" t="n">
        <v>35</v>
      </c>
      <c r="O607" s="6" t="n">
        <f aca="false">IF(C607="롱",(J607-E607)/E607,(E607-J607)/E607)</f>
        <v>0.0790379189319385</v>
      </c>
    </row>
    <row r="608" customFormat="false" ht="17.15" hidden="false" customHeight="false" outlineLevel="0" collapsed="false">
      <c r="A608" s="4" t="n">
        <v>1</v>
      </c>
      <c r="B608" s="4" t="s">
        <v>12</v>
      </c>
      <c r="C608" s="8" t="s">
        <v>72</v>
      </c>
      <c r="D608" s="21" t="n">
        <v>44027</v>
      </c>
      <c r="E608" s="22" t="n">
        <v>292.27</v>
      </c>
      <c r="F608" s="21" t="n">
        <v>44028</v>
      </c>
      <c r="G608" s="22" t="n">
        <v>292.34</v>
      </c>
      <c r="H608" s="22" t="n">
        <v>268.08</v>
      </c>
      <c r="I608" s="21" t="n">
        <v>44036</v>
      </c>
      <c r="J608" s="22" t="n">
        <v>290.66</v>
      </c>
      <c r="K608" s="21" t="n">
        <v>44039</v>
      </c>
      <c r="L608" s="22" t="n">
        <v>291.03</v>
      </c>
      <c r="M608" s="8" t="s">
        <v>73</v>
      </c>
      <c r="N608" s="4" t="n">
        <v>7</v>
      </c>
      <c r="O608" s="6" t="n">
        <f aca="false">IF(C608="롱",(J608-E608)/E608,(E608-J608)/E608)</f>
        <v>-0.00550860505696772</v>
      </c>
    </row>
    <row r="609" customFormat="false" ht="17.15" hidden="false" customHeight="false" outlineLevel="0" collapsed="false">
      <c r="A609" s="4" t="n">
        <v>1</v>
      </c>
      <c r="B609" s="4" t="s">
        <v>12</v>
      </c>
      <c r="C609" s="8" t="s">
        <v>72</v>
      </c>
      <c r="D609" s="21" t="n">
        <v>44040</v>
      </c>
      <c r="E609" s="22" t="n">
        <v>300.13</v>
      </c>
      <c r="F609" s="21" t="n">
        <v>44041</v>
      </c>
      <c r="G609" s="22" t="n">
        <v>300.57</v>
      </c>
      <c r="H609" s="22" t="n">
        <v>278.91</v>
      </c>
      <c r="I609" s="21" t="n">
        <v>44063</v>
      </c>
      <c r="J609" s="22" t="n">
        <v>301.59</v>
      </c>
      <c r="K609" s="21" t="n">
        <v>44064</v>
      </c>
      <c r="L609" s="22" t="n">
        <v>306.17</v>
      </c>
      <c r="M609" s="8" t="s">
        <v>73</v>
      </c>
      <c r="N609" s="4" t="n">
        <v>16</v>
      </c>
      <c r="O609" s="6" t="n">
        <f aca="false">IF(C609="롱",(J609-E609)/E609,(E609-J609)/E609)</f>
        <v>0.00486455869123373</v>
      </c>
    </row>
    <row r="610" customFormat="false" ht="17.15" hidden="false" customHeight="false" outlineLevel="0" collapsed="false">
      <c r="A610" s="4" t="n">
        <v>6</v>
      </c>
      <c r="B610" s="4" t="s">
        <v>22</v>
      </c>
      <c r="C610" s="8" t="s">
        <v>72</v>
      </c>
      <c r="D610" s="21" t="n">
        <v>44041</v>
      </c>
      <c r="E610" s="22" t="n">
        <v>301.25</v>
      </c>
      <c r="F610" s="21" t="n">
        <v>44042</v>
      </c>
      <c r="G610" s="22" t="n">
        <v>303.13</v>
      </c>
      <c r="H610" s="22" t="n">
        <v>280.15</v>
      </c>
      <c r="I610" s="21" t="n">
        <v>44046</v>
      </c>
      <c r="J610" s="22" t="n">
        <v>299.46</v>
      </c>
      <c r="K610" s="21" t="n">
        <v>44047</v>
      </c>
      <c r="L610" s="22" t="n">
        <v>302.5</v>
      </c>
      <c r="M610" s="8" t="s">
        <v>73</v>
      </c>
      <c r="N610" s="4" t="n">
        <v>3</v>
      </c>
      <c r="O610" s="6" t="n">
        <f aca="false">IF(C610="롱",(J610-E610)/E610,(E610-J610)/E610)</f>
        <v>-0.00594190871369301</v>
      </c>
    </row>
    <row r="611" customFormat="false" ht="17.15" hidden="false" customHeight="false" outlineLevel="0" collapsed="false">
      <c r="A611" s="4" t="n">
        <v>6</v>
      </c>
      <c r="B611" s="4" t="s">
        <v>22</v>
      </c>
      <c r="C611" s="8" t="s">
        <v>72</v>
      </c>
      <c r="D611" s="21" t="n">
        <v>44048</v>
      </c>
      <c r="E611" s="22" t="n">
        <v>306.64</v>
      </c>
      <c r="F611" s="21" t="n">
        <v>44049</v>
      </c>
      <c r="G611" s="22" t="n">
        <v>307.88</v>
      </c>
      <c r="H611" s="22" t="n">
        <v>285.94</v>
      </c>
      <c r="I611" s="21" t="n">
        <v>44057</v>
      </c>
      <c r="J611" s="22" t="n">
        <v>319.24</v>
      </c>
      <c r="K611" s="21" t="n">
        <v>44061</v>
      </c>
      <c r="L611" s="22" t="n">
        <v>319.57</v>
      </c>
      <c r="M611" s="8" t="s">
        <v>73</v>
      </c>
      <c r="N611" s="4" t="n">
        <v>7</v>
      </c>
      <c r="O611" s="6" t="n">
        <f aca="false">IF(C611="롱",(J611-E611)/E611,(E611-J611)/E611)</f>
        <v>0.0410905296112706</v>
      </c>
    </row>
    <row r="612" customFormat="false" ht="17.15" hidden="false" customHeight="false" outlineLevel="0" collapsed="false">
      <c r="A612" s="4" t="n">
        <v>3</v>
      </c>
      <c r="B612" s="4" t="s">
        <v>16</v>
      </c>
      <c r="C612" s="8" t="s">
        <v>72</v>
      </c>
      <c r="D612" s="21" t="n">
        <v>44064</v>
      </c>
      <c r="E612" s="22" t="n">
        <v>306.16</v>
      </c>
      <c r="F612" s="21" t="n">
        <v>44067</v>
      </c>
      <c r="G612" s="22" t="n">
        <v>306.86</v>
      </c>
      <c r="H612" s="22" t="n">
        <v>277.36</v>
      </c>
      <c r="I612" s="21" t="n">
        <v>44096</v>
      </c>
      <c r="J612" s="22" t="n">
        <v>308.82</v>
      </c>
      <c r="K612" s="21" t="n">
        <v>44097</v>
      </c>
      <c r="L612" s="22" t="n">
        <v>311.5</v>
      </c>
      <c r="M612" s="8" t="s">
        <v>73</v>
      </c>
      <c r="N612" s="4" t="n">
        <v>22</v>
      </c>
      <c r="O612" s="6" t="n">
        <f aca="false">IF(C612="롱",(J612-E612)/E612,(E612-J612)/E612)</f>
        <v>0.008688267572511</v>
      </c>
    </row>
    <row r="613" customFormat="false" ht="17.15" hidden="false" customHeight="false" outlineLevel="0" collapsed="false">
      <c r="A613" s="4" t="n">
        <v>4</v>
      </c>
      <c r="B613" s="4" t="s">
        <v>18</v>
      </c>
      <c r="C613" s="8" t="s">
        <v>72</v>
      </c>
      <c r="D613" s="21" t="n">
        <v>44070</v>
      </c>
      <c r="E613" s="22" t="n">
        <v>311.38</v>
      </c>
      <c r="F613" s="21" t="n">
        <v>44071</v>
      </c>
      <c r="G613" s="22" t="n">
        <v>313.86</v>
      </c>
      <c r="H613" s="22" t="n">
        <v>282.28</v>
      </c>
      <c r="I613" s="21" t="n">
        <v>44075</v>
      </c>
      <c r="J613" s="22" t="n">
        <v>309.81</v>
      </c>
      <c r="K613" s="21" t="n">
        <v>44076</v>
      </c>
      <c r="L613" s="22" t="n">
        <v>311.69</v>
      </c>
      <c r="M613" s="8" t="s">
        <v>73</v>
      </c>
      <c r="N613" s="4" t="n">
        <v>3</v>
      </c>
      <c r="O613" s="6" t="n">
        <f aca="false">IF(C613="롱",(J613-E613)/E613,(E613-J613)/E613)</f>
        <v>-0.00504207078168153</v>
      </c>
    </row>
    <row r="614" customFormat="false" ht="17.15" hidden="false" customHeight="false" outlineLevel="0" collapsed="false">
      <c r="A614" s="4" t="n">
        <v>4</v>
      </c>
      <c r="B614" s="4" t="s">
        <v>18</v>
      </c>
      <c r="C614" s="8" t="s">
        <v>72</v>
      </c>
      <c r="D614" s="21" t="n">
        <v>44082</v>
      </c>
      <c r="E614" s="22" t="n">
        <v>317.38</v>
      </c>
      <c r="F614" s="21" t="n">
        <v>44083</v>
      </c>
      <c r="G614" s="22" t="n">
        <v>313.54</v>
      </c>
      <c r="H614" s="22" t="n">
        <v>286.19</v>
      </c>
      <c r="I614" s="21" t="n">
        <v>44097</v>
      </c>
      <c r="J614" s="22" t="n">
        <v>309.64</v>
      </c>
      <c r="K614" s="21" t="n">
        <v>44098</v>
      </c>
      <c r="L614" s="22" t="n">
        <v>304.85</v>
      </c>
      <c r="M614" s="8" t="s">
        <v>73</v>
      </c>
      <c r="N614" s="4" t="n">
        <v>11</v>
      </c>
      <c r="O614" s="6" t="n">
        <f aca="false">IF(C614="롱",(J614-E614)/E614,(E614-J614)/E614)</f>
        <v>-0.0243871699539984</v>
      </c>
    </row>
    <row r="615" customFormat="false" ht="17.15" hidden="false" customHeight="false" outlineLevel="0" collapsed="false">
      <c r="A615" s="4" t="n">
        <v>1</v>
      </c>
      <c r="B615" s="4" t="s">
        <v>12</v>
      </c>
      <c r="C615" s="8" t="s">
        <v>72</v>
      </c>
      <c r="D615" s="21" t="n">
        <v>44088</v>
      </c>
      <c r="E615" s="22" t="n">
        <v>320.98</v>
      </c>
      <c r="F615" s="21" t="n">
        <v>44089</v>
      </c>
      <c r="G615" s="22" t="n">
        <v>321.82</v>
      </c>
      <c r="H615" s="22" t="n">
        <v>291.65</v>
      </c>
      <c r="I615" s="21" t="n">
        <v>44092</v>
      </c>
      <c r="J615" s="22" t="n">
        <v>318.39</v>
      </c>
      <c r="K615" s="21" t="n">
        <v>44095</v>
      </c>
      <c r="L615" s="22" t="n">
        <v>318.13</v>
      </c>
      <c r="M615" s="8" t="s">
        <v>73</v>
      </c>
      <c r="N615" s="4" t="n">
        <v>4</v>
      </c>
      <c r="O615" s="6" t="n">
        <f aca="false">IF(C615="롱",(J615-E615)/E615,(E615-J615)/E615)</f>
        <v>-0.00806903856938137</v>
      </c>
    </row>
    <row r="616" customFormat="false" ht="17.15" hidden="false" customHeight="false" outlineLevel="0" collapsed="false">
      <c r="A616" s="4" t="n">
        <v>2</v>
      </c>
      <c r="B616" s="4" t="s">
        <v>14</v>
      </c>
      <c r="C616" s="8" t="s">
        <v>72</v>
      </c>
      <c r="D616" s="21" t="n">
        <v>44098</v>
      </c>
      <c r="E616" s="22" t="n">
        <v>302.48</v>
      </c>
      <c r="F616" s="21" t="n">
        <v>44099</v>
      </c>
      <c r="G616" s="22" t="n">
        <v>305.38</v>
      </c>
      <c r="H616" s="22" t="n">
        <v>275.86</v>
      </c>
      <c r="I616" s="21" t="n">
        <v>44140</v>
      </c>
      <c r="J616" s="22" t="n">
        <v>321.51</v>
      </c>
      <c r="K616" s="21" t="n">
        <v>44141</v>
      </c>
      <c r="L616" s="22" t="n">
        <v>322.72</v>
      </c>
      <c r="M616" s="8" t="s">
        <v>73</v>
      </c>
      <c r="N616" s="4" t="n">
        <v>26</v>
      </c>
      <c r="O616" s="6" t="n">
        <f aca="false">IF(C616="롱",(J616-E616)/E616,(E616-J616)/E616)</f>
        <v>0.0629132504628404</v>
      </c>
    </row>
    <row r="617" customFormat="false" ht="17.15" hidden="false" customHeight="false" outlineLevel="0" collapsed="false">
      <c r="A617" s="4" t="n">
        <v>5</v>
      </c>
      <c r="B617" s="4" t="s">
        <v>20</v>
      </c>
      <c r="C617" s="8" t="s">
        <v>72</v>
      </c>
      <c r="D617" s="21" t="n">
        <v>44102</v>
      </c>
      <c r="E617" s="22" t="n">
        <v>307.03</v>
      </c>
      <c r="F617" s="21" t="n">
        <v>44103</v>
      </c>
      <c r="G617" s="22" t="n">
        <v>310.01</v>
      </c>
      <c r="H617" s="22" t="n">
        <v>281.78</v>
      </c>
      <c r="I617" s="21" t="n">
        <v>44131</v>
      </c>
      <c r="J617" s="22" t="n">
        <v>311.8</v>
      </c>
      <c r="K617" s="21" t="n">
        <v>44132</v>
      </c>
      <c r="L617" s="22" t="n">
        <v>310.66</v>
      </c>
      <c r="M617" s="8" t="s">
        <v>73</v>
      </c>
      <c r="N617" s="4" t="n">
        <v>17</v>
      </c>
      <c r="O617" s="6" t="n">
        <f aca="false">IF(C617="롱",(J617-E617)/E617,(E617-J617)/E617)</f>
        <v>0.0155359411132464</v>
      </c>
    </row>
    <row r="618" customFormat="false" ht="17.15" hidden="false" customHeight="false" outlineLevel="0" collapsed="false">
      <c r="A618" s="4" t="n">
        <v>3</v>
      </c>
      <c r="B618" s="4" t="s">
        <v>16</v>
      </c>
      <c r="C618" s="8" t="s">
        <v>72</v>
      </c>
      <c r="D618" s="21" t="n">
        <v>44109</v>
      </c>
      <c r="E618" s="22" t="n">
        <v>313.51</v>
      </c>
      <c r="F618" s="21" t="n">
        <v>44110</v>
      </c>
      <c r="G618" s="22" t="n">
        <v>315.13</v>
      </c>
      <c r="H618" s="22" t="n">
        <v>287.9</v>
      </c>
      <c r="I618" s="21" t="n">
        <v>44133</v>
      </c>
      <c r="J618" s="22" t="n">
        <v>309.94</v>
      </c>
      <c r="K618" s="21" t="n">
        <v>44134</v>
      </c>
      <c r="L618" s="22" t="n">
        <v>308.91</v>
      </c>
      <c r="M618" s="8" t="s">
        <v>73</v>
      </c>
      <c r="N618" s="4" t="n">
        <v>17</v>
      </c>
      <c r="O618" s="6" t="n">
        <f aca="false">IF(C618="롱",(J618-E618)/E618,(E618-J618)/E618)</f>
        <v>-0.0113871965806513</v>
      </c>
    </row>
    <row r="619" customFormat="false" ht="17.15" hidden="false" customHeight="false" outlineLevel="0" collapsed="false">
      <c r="A619" s="4" t="n">
        <v>1</v>
      </c>
      <c r="B619" s="4" t="s">
        <v>12</v>
      </c>
      <c r="C619" s="8" t="s">
        <v>72</v>
      </c>
      <c r="D619" s="21" t="n">
        <v>44112</v>
      </c>
      <c r="E619" s="22" t="n">
        <v>317.47</v>
      </c>
      <c r="F619" s="21" t="n">
        <v>44116</v>
      </c>
      <c r="G619" s="22" t="n">
        <v>318.99</v>
      </c>
      <c r="H619" s="22" t="n">
        <v>293.11</v>
      </c>
      <c r="I619" s="21" t="n">
        <v>44120</v>
      </c>
      <c r="J619" s="22" t="n">
        <v>311.83</v>
      </c>
      <c r="K619" s="21" t="n">
        <v>44123</v>
      </c>
      <c r="L619" s="22" t="n">
        <v>313.43</v>
      </c>
      <c r="M619" s="8" t="s">
        <v>73</v>
      </c>
      <c r="N619" s="4" t="n">
        <v>5</v>
      </c>
      <c r="O619" s="6" t="n">
        <f aca="false">IF(C619="롱",(J619-E619)/E619,(E619-J619)/E619)</f>
        <v>-0.0177654581535265</v>
      </c>
    </row>
    <row r="620" customFormat="false" ht="17.15" hidden="false" customHeight="false" outlineLevel="0" collapsed="false">
      <c r="A620" s="4" t="n">
        <v>4</v>
      </c>
      <c r="B620" s="4" t="s">
        <v>18</v>
      </c>
      <c r="C620" s="8" t="s">
        <v>72</v>
      </c>
      <c r="D620" s="21" t="n">
        <v>44112</v>
      </c>
      <c r="E620" s="22" t="n">
        <v>317.47</v>
      </c>
      <c r="F620" s="21" t="n">
        <v>44116</v>
      </c>
      <c r="G620" s="22" t="n">
        <v>318.99</v>
      </c>
      <c r="H620" s="22" t="n">
        <v>293.11</v>
      </c>
      <c r="I620" s="21" t="n">
        <v>44133</v>
      </c>
      <c r="J620" s="22" t="n">
        <v>309.94</v>
      </c>
      <c r="K620" s="21" t="n">
        <v>44134</v>
      </c>
      <c r="L620" s="22" t="n">
        <v>308.91</v>
      </c>
      <c r="M620" s="8" t="s">
        <v>73</v>
      </c>
      <c r="N620" s="4" t="n">
        <v>14</v>
      </c>
      <c r="O620" s="6" t="n">
        <f aca="false">IF(C620="롱",(J620-E620)/E620,(E620-J620)/E620)</f>
        <v>-0.0237187765773145</v>
      </c>
    </row>
    <row r="621" customFormat="false" ht="17.15" hidden="false" customHeight="false" outlineLevel="0" collapsed="false">
      <c r="A621" s="4" t="n">
        <v>6</v>
      </c>
      <c r="B621" s="4" t="s">
        <v>22</v>
      </c>
      <c r="C621" s="8" t="s">
        <v>72</v>
      </c>
      <c r="D621" s="21" t="n">
        <v>44112</v>
      </c>
      <c r="E621" s="22" t="n">
        <v>317.47</v>
      </c>
      <c r="F621" s="21" t="n">
        <v>44116</v>
      </c>
      <c r="G621" s="22" t="n">
        <v>318.99</v>
      </c>
      <c r="H621" s="22" t="n">
        <v>293.11</v>
      </c>
      <c r="I621" s="21" t="n">
        <v>44118</v>
      </c>
      <c r="J621" s="22" t="n">
        <v>316.57</v>
      </c>
      <c r="K621" s="21" t="n">
        <v>44119</v>
      </c>
      <c r="L621" s="22" t="n">
        <v>315.76</v>
      </c>
      <c r="M621" s="8" t="s">
        <v>73</v>
      </c>
      <c r="N621" s="4" t="n">
        <v>3</v>
      </c>
      <c r="O621" s="6" t="n">
        <f aca="false">IF(C621="롱",(J621-E621)/E621,(E621-J621)/E621)</f>
        <v>-0.00283491353513729</v>
      </c>
    </row>
    <row r="622" customFormat="false" ht="17.15" hidden="false" customHeight="false" outlineLevel="0" collapsed="false">
      <c r="A622" s="4" t="n">
        <v>10</v>
      </c>
      <c r="B622" s="4" t="s">
        <v>30</v>
      </c>
      <c r="C622" s="8" t="s">
        <v>72</v>
      </c>
      <c r="D622" s="21" t="n">
        <v>44124</v>
      </c>
      <c r="E622" s="22" t="n">
        <v>314.71</v>
      </c>
      <c r="F622" s="21" t="n">
        <v>44125</v>
      </c>
      <c r="G622" s="22" t="n">
        <v>315.34</v>
      </c>
      <c r="H622" s="22" t="n">
        <v>289.76</v>
      </c>
      <c r="I622" s="21" t="n">
        <v>44131</v>
      </c>
      <c r="J622" s="22" t="n">
        <v>311.8</v>
      </c>
      <c r="K622" s="21" t="n">
        <v>44132</v>
      </c>
      <c r="L622" s="22" t="n">
        <v>310.66</v>
      </c>
      <c r="M622" s="8" t="s">
        <v>73</v>
      </c>
      <c r="N622" s="4" t="n">
        <v>5</v>
      </c>
      <c r="O622" s="6" t="n">
        <f aca="false">IF(C622="롱",(J622-E622)/E622,(E622-J622)/E622)</f>
        <v>-0.0092466079883066</v>
      </c>
    </row>
    <row r="623" customFormat="false" ht="17.15" hidden="false" customHeight="false" outlineLevel="0" collapsed="false">
      <c r="A623" s="4" t="n">
        <v>5</v>
      </c>
      <c r="B623" s="4" t="s">
        <v>20</v>
      </c>
      <c r="C623" s="8" t="s">
        <v>72</v>
      </c>
      <c r="D623" s="21" t="n">
        <v>44132</v>
      </c>
      <c r="E623" s="22" t="n">
        <v>313.17</v>
      </c>
      <c r="F623" s="21" t="n">
        <v>44133</v>
      </c>
      <c r="G623" s="22" t="n">
        <v>308.99</v>
      </c>
      <c r="H623" s="22" t="n">
        <v>292.87</v>
      </c>
      <c r="I623" s="21" t="n">
        <v>44133</v>
      </c>
      <c r="J623" s="22" t="n">
        <v>309.94</v>
      </c>
      <c r="K623" s="21" t="n">
        <v>44134</v>
      </c>
      <c r="L623" s="22" t="n">
        <v>308.91</v>
      </c>
      <c r="M623" s="8" t="s">
        <v>73</v>
      </c>
      <c r="N623" s="4" t="n">
        <v>1</v>
      </c>
      <c r="O623" s="6" t="n">
        <f aca="false">IF(C623="롱",(J623-E623)/E623,(E623-J623)/E623)</f>
        <v>-0.0103138870262159</v>
      </c>
    </row>
    <row r="624" customFormat="false" ht="17.15" hidden="false" customHeight="false" outlineLevel="0" collapsed="false">
      <c r="A624" s="4" t="n">
        <v>3</v>
      </c>
      <c r="B624" s="4" t="s">
        <v>16</v>
      </c>
      <c r="C624" s="8" t="s">
        <v>72</v>
      </c>
      <c r="D624" s="21" t="n">
        <v>44138</v>
      </c>
      <c r="E624" s="22" t="n">
        <v>312.07</v>
      </c>
      <c r="F624" s="21" t="n">
        <v>44139</v>
      </c>
      <c r="G624" s="22" t="n">
        <v>314.31</v>
      </c>
      <c r="H624" s="22" t="n">
        <v>289.74</v>
      </c>
      <c r="I624" s="21" t="n">
        <v>44158</v>
      </c>
      <c r="J624" s="22" t="n">
        <v>348.46</v>
      </c>
      <c r="K624" s="21" t="n">
        <v>44159</v>
      </c>
      <c r="L624" s="22" t="n">
        <v>350.3</v>
      </c>
      <c r="M624" s="8" t="s">
        <v>73</v>
      </c>
      <c r="N624" s="4" t="n">
        <v>14</v>
      </c>
      <c r="O624" s="6" t="n">
        <f aca="false">IF(C624="롱",(J624-E624)/E624,(E624-J624)/E624)</f>
        <v>0.116608453231647</v>
      </c>
    </row>
    <row r="625" customFormat="false" ht="17.15" hidden="false" customHeight="false" outlineLevel="0" collapsed="false">
      <c r="A625" s="4" t="n">
        <v>5</v>
      </c>
      <c r="B625" s="4" t="s">
        <v>20</v>
      </c>
      <c r="C625" s="8" t="s">
        <v>72</v>
      </c>
      <c r="D625" s="21" t="n">
        <v>44139</v>
      </c>
      <c r="E625" s="22" t="n">
        <v>313.83</v>
      </c>
      <c r="F625" s="21" t="n">
        <v>44140</v>
      </c>
      <c r="G625" s="22" t="n">
        <v>315.74</v>
      </c>
      <c r="H625" s="22" t="n">
        <v>291.3</v>
      </c>
      <c r="I625" s="21" t="n">
        <v>44265</v>
      </c>
      <c r="J625" s="22" t="n">
        <v>403.48</v>
      </c>
      <c r="K625" s="21" t="n">
        <v>44266</v>
      </c>
      <c r="L625" s="22" t="n">
        <v>404.36</v>
      </c>
      <c r="M625" s="8" t="s">
        <v>73</v>
      </c>
      <c r="N625" s="4" t="n">
        <v>84</v>
      </c>
      <c r="O625" s="6" t="n">
        <f aca="false">IF(C625="롱",(J625-E625)/E625,(E625-J625)/E625)</f>
        <v>0.285664213109008</v>
      </c>
    </row>
    <row r="626" customFormat="false" ht="17.15" hidden="false" customHeight="false" outlineLevel="0" collapsed="false">
      <c r="A626" s="4" t="n">
        <v>1</v>
      </c>
      <c r="B626" s="4" t="s">
        <v>12</v>
      </c>
      <c r="C626" s="8" t="s">
        <v>72</v>
      </c>
      <c r="D626" s="21" t="n">
        <v>44140</v>
      </c>
      <c r="E626" s="22" t="n">
        <v>321.51</v>
      </c>
      <c r="F626" s="21" t="n">
        <v>44141</v>
      </c>
      <c r="G626" s="22" t="n">
        <v>322.72</v>
      </c>
      <c r="H626" s="22" t="n">
        <v>298.47</v>
      </c>
      <c r="I626" s="21" t="n">
        <v>44182</v>
      </c>
      <c r="J626" s="22" t="n">
        <v>372</v>
      </c>
      <c r="K626" s="21" t="n">
        <v>44183</v>
      </c>
      <c r="L626" s="22" t="n">
        <v>372.02</v>
      </c>
      <c r="M626" s="8" t="s">
        <v>73</v>
      </c>
      <c r="N626" s="4" t="n">
        <v>30</v>
      </c>
      <c r="O626" s="6" t="n">
        <f aca="false">IF(C626="롱",(J626-E626)/E626,(E626-J626)/E626)</f>
        <v>0.157040216478492</v>
      </c>
    </row>
    <row r="627" customFormat="false" ht="17.15" hidden="false" customHeight="false" outlineLevel="0" collapsed="false">
      <c r="A627" s="4" t="n">
        <v>6</v>
      </c>
      <c r="B627" s="4" t="s">
        <v>22</v>
      </c>
      <c r="C627" s="8" t="s">
        <v>72</v>
      </c>
      <c r="D627" s="21" t="n">
        <v>44140</v>
      </c>
      <c r="E627" s="22" t="n">
        <v>321.51</v>
      </c>
      <c r="F627" s="21" t="n">
        <v>44141</v>
      </c>
      <c r="G627" s="22" t="n">
        <v>322.72</v>
      </c>
      <c r="H627" s="22" t="n">
        <v>298.47</v>
      </c>
      <c r="I627" s="21" t="n">
        <v>44165</v>
      </c>
      <c r="J627" s="22" t="n">
        <v>346.05</v>
      </c>
      <c r="K627" s="21" t="n">
        <v>44166</v>
      </c>
      <c r="L627" s="22" t="n">
        <v>349.37</v>
      </c>
      <c r="M627" s="8" t="s">
        <v>73</v>
      </c>
      <c r="N627" s="4" t="n">
        <v>17</v>
      </c>
      <c r="O627" s="6" t="n">
        <f aca="false">IF(C627="롱",(J627-E627)/E627,(E627-J627)/E627)</f>
        <v>0.0763273304096296</v>
      </c>
    </row>
    <row r="628" customFormat="false" ht="17.15" hidden="false" customHeight="false" outlineLevel="0" collapsed="false">
      <c r="A628" s="4" t="n">
        <v>4</v>
      </c>
      <c r="B628" s="4" t="s">
        <v>18</v>
      </c>
      <c r="C628" s="8" t="s">
        <v>72</v>
      </c>
      <c r="D628" s="21" t="n">
        <v>44141</v>
      </c>
      <c r="E628" s="22" t="n">
        <v>322.1</v>
      </c>
      <c r="F628" s="21" t="n">
        <v>44144</v>
      </c>
      <c r="G628" s="22" t="n">
        <v>325.25</v>
      </c>
      <c r="H628" s="22" t="n">
        <v>299.09</v>
      </c>
      <c r="I628" s="21" t="n">
        <v>44228</v>
      </c>
      <c r="J628" s="22" t="n">
        <v>415.45</v>
      </c>
      <c r="K628" s="21" t="n">
        <v>44229</v>
      </c>
      <c r="L628" s="22" t="n">
        <v>416.77</v>
      </c>
      <c r="M628" s="8" t="s">
        <v>73</v>
      </c>
      <c r="N628" s="4" t="n">
        <v>58</v>
      </c>
      <c r="O628" s="6" t="n">
        <f aca="false">IF(C628="롱",(J628-E628)/E628,(E628-J628)/E628)</f>
        <v>0.289816827072338</v>
      </c>
    </row>
    <row r="629" customFormat="false" ht="17.15" hidden="false" customHeight="false" outlineLevel="0" collapsed="false">
      <c r="A629" s="4" t="n">
        <v>6</v>
      </c>
      <c r="B629" s="4" t="s">
        <v>22</v>
      </c>
      <c r="C629" s="8" t="s">
        <v>72</v>
      </c>
      <c r="D629" s="21" t="n">
        <v>44168</v>
      </c>
      <c r="E629" s="22" t="n">
        <v>361.66</v>
      </c>
      <c r="F629" s="21" t="n">
        <v>44169</v>
      </c>
      <c r="G629" s="22" t="n">
        <v>363.28</v>
      </c>
      <c r="H629" s="22" t="n">
        <v>336.41</v>
      </c>
      <c r="I629" s="21" t="n">
        <v>44173</v>
      </c>
      <c r="J629" s="22" t="n">
        <v>363.45</v>
      </c>
      <c r="K629" s="21" t="n">
        <v>44174</v>
      </c>
      <c r="L629" s="22" t="n">
        <v>363.77</v>
      </c>
      <c r="M629" s="8" t="s">
        <v>73</v>
      </c>
      <c r="N629" s="4" t="n">
        <v>3</v>
      </c>
      <c r="O629" s="6" t="n">
        <f aca="false">IF(C629="롱",(J629-E629)/E629,(E629-J629)/E629)</f>
        <v>0.00494939998893979</v>
      </c>
    </row>
    <row r="630" customFormat="false" ht="17.15" hidden="false" customHeight="false" outlineLevel="0" collapsed="false">
      <c r="A630" s="4" t="n">
        <v>1</v>
      </c>
      <c r="B630" s="4" t="s">
        <v>12</v>
      </c>
      <c r="C630" s="8" t="s">
        <v>72</v>
      </c>
      <c r="D630" s="21" t="n">
        <v>44195</v>
      </c>
      <c r="E630" s="22" t="n">
        <v>389.29</v>
      </c>
      <c r="F630" s="21" t="n">
        <v>44200</v>
      </c>
      <c r="G630" s="22" t="n">
        <v>389.5</v>
      </c>
      <c r="H630" s="22" t="n">
        <v>359.54</v>
      </c>
      <c r="I630" s="21" t="n">
        <v>44215</v>
      </c>
      <c r="J630" s="22" t="n">
        <v>421.35</v>
      </c>
      <c r="K630" s="21" t="n">
        <v>44216</v>
      </c>
      <c r="L630" s="22" t="n">
        <v>425.17</v>
      </c>
      <c r="M630" s="8" t="s">
        <v>73</v>
      </c>
      <c r="N630" s="4" t="n">
        <v>12</v>
      </c>
      <c r="O630" s="6" t="n">
        <f aca="false">IF(C630="롱",(J630-E630)/E630,(E630-J630)/E630)</f>
        <v>0.0823550566415783</v>
      </c>
    </row>
    <row r="631" customFormat="false" ht="17.15" hidden="false" customHeight="false" outlineLevel="0" collapsed="false">
      <c r="A631" s="4" t="n">
        <v>6</v>
      </c>
      <c r="B631" s="4" t="s">
        <v>22</v>
      </c>
      <c r="C631" s="8" t="s">
        <v>72</v>
      </c>
      <c r="D631" s="21" t="n">
        <v>44195</v>
      </c>
      <c r="E631" s="22" t="n">
        <v>389.29</v>
      </c>
      <c r="F631" s="21" t="n">
        <v>44200</v>
      </c>
      <c r="G631" s="22" t="n">
        <v>389.5</v>
      </c>
      <c r="H631" s="22" t="n">
        <v>359.54</v>
      </c>
      <c r="I631" s="21" t="n">
        <v>44210</v>
      </c>
      <c r="J631" s="22" t="n">
        <v>429.85</v>
      </c>
      <c r="K631" s="21" t="n">
        <v>44211</v>
      </c>
      <c r="L631" s="22" t="n">
        <v>430.37</v>
      </c>
      <c r="M631" s="8" t="s">
        <v>73</v>
      </c>
      <c r="N631" s="4" t="n">
        <v>9</v>
      </c>
      <c r="O631" s="6" t="n">
        <f aca="false">IF(C631="롱",(J631-E631)/E631,(E631-J631)/E631)</f>
        <v>0.10418967864574</v>
      </c>
    </row>
    <row r="632" customFormat="false" ht="17.15" hidden="false" customHeight="false" outlineLevel="0" collapsed="false">
      <c r="A632" s="4" t="n">
        <v>3</v>
      </c>
      <c r="B632" s="4" t="s">
        <v>16</v>
      </c>
      <c r="C632" s="8" t="s">
        <v>72</v>
      </c>
      <c r="D632" s="21" t="n">
        <v>44228</v>
      </c>
      <c r="E632" s="22" t="n">
        <v>415.45</v>
      </c>
      <c r="F632" s="21" t="n">
        <v>44229</v>
      </c>
      <c r="G632" s="22" t="n">
        <v>416.77</v>
      </c>
      <c r="H632" s="22" t="n">
        <v>373.9</v>
      </c>
      <c r="I632" s="21" t="n">
        <v>44251</v>
      </c>
      <c r="J632" s="22" t="n">
        <v>407.16</v>
      </c>
      <c r="K632" s="21" t="n">
        <v>44252</v>
      </c>
      <c r="L632" s="22" t="n">
        <v>412.05</v>
      </c>
      <c r="M632" s="8" t="s">
        <v>73</v>
      </c>
      <c r="N632" s="4" t="n">
        <v>15</v>
      </c>
      <c r="O632" s="6" t="n">
        <f aca="false">IF(C632="롱",(J632-E632)/E632,(E632-J632)/E632)</f>
        <v>-0.0199542664580574</v>
      </c>
    </row>
    <row r="633" customFormat="false" ht="17.15" hidden="false" customHeight="false" outlineLevel="0" collapsed="false">
      <c r="A633" s="4" t="n">
        <v>11</v>
      </c>
      <c r="B633" s="4" t="s">
        <v>32</v>
      </c>
      <c r="C633" s="8" t="s">
        <v>74</v>
      </c>
      <c r="D633" s="21" t="n">
        <v>44231</v>
      </c>
      <c r="E633" s="22" t="n">
        <v>418.31</v>
      </c>
      <c r="F633" s="21" t="n">
        <v>44232</v>
      </c>
      <c r="G633" s="22" t="n">
        <v>419.84</v>
      </c>
      <c r="H633" s="22" t="n">
        <v>460.14</v>
      </c>
      <c r="I633" s="21" t="n">
        <v>44242</v>
      </c>
      <c r="J633" s="22" t="n">
        <v>427.01</v>
      </c>
      <c r="K633" s="21" t="n">
        <v>44243</v>
      </c>
      <c r="L633" s="22" t="n">
        <v>427.8</v>
      </c>
      <c r="M633" s="8" t="s">
        <v>73</v>
      </c>
      <c r="N633" s="4" t="n">
        <v>5</v>
      </c>
      <c r="O633" s="6" t="n">
        <f aca="false">IF(C633="롱",(J633-E633)/E633,(E633-J633)/E633)</f>
        <v>-0.0207979727952953</v>
      </c>
    </row>
    <row r="634" customFormat="false" ht="17.15" hidden="false" customHeight="false" outlineLevel="0" collapsed="false">
      <c r="A634" s="4" t="n">
        <v>4</v>
      </c>
      <c r="B634" s="4" t="s">
        <v>18</v>
      </c>
      <c r="C634" s="8" t="s">
        <v>72</v>
      </c>
      <c r="D634" s="21" t="n">
        <v>44243</v>
      </c>
      <c r="E634" s="22" t="n">
        <v>429.24</v>
      </c>
      <c r="F634" s="21" t="n">
        <v>44244</v>
      </c>
      <c r="G634" s="22" t="n">
        <v>429.2</v>
      </c>
      <c r="H634" s="22" t="n">
        <v>386.32</v>
      </c>
      <c r="I634" s="21" t="n">
        <v>44249</v>
      </c>
      <c r="J634" s="22" t="n">
        <v>416.88</v>
      </c>
      <c r="K634" s="21" t="n">
        <v>44250</v>
      </c>
      <c r="L634" s="22" t="n">
        <v>415.07</v>
      </c>
      <c r="M634" s="8" t="s">
        <v>73</v>
      </c>
      <c r="N634" s="4" t="n">
        <v>4</v>
      </c>
      <c r="O634" s="6" t="n">
        <f aca="false">IF(C634="롱",(J634-E634)/E634,(E634-J634)/E634)</f>
        <v>-0.0287950796757059</v>
      </c>
    </row>
    <row r="635" customFormat="false" ht="17.15" hidden="false" customHeight="false" outlineLevel="0" collapsed="false">
      <c r="A635" s="4" t="n">
        <v>3</v>
      </c>
      <c r="B635" s="4" t="s">
        <v>16</v>
      </c>
      <c r="C635" s="8" t="s">
        <v>72</v>
      </c>
      <c r="D635" s="21" t="n">
        <v>44252</v>
      </c>
      <c r="E635" s="22" t="n">
        <v>422.52</v>
      </c>
      <c r="F635" s="21" t="n">
        <v>44253</v>
      </c>
      <c r="G635" s="22" t="n">
        <v>421.19</v>
      </c>
      <c r="H635" s="22" t="n">
        <v>380.27</v>
      </c>
      <c r="I635" s="21" t="n">
        <v>44264</v>
      </c>
      <c r="J635" s="22" t="n">
        <v>405.79</v>
      </c>
      <c r="K635" s="21" t="n">
        <v>44265</v>
      </c>
      <c r="L635" s="22" t="n">
        <v>406.37</v>
      </c>
      <c r="M635" s="8" t="s">
        <v>73</v>
      </c>
      <c r="N635" s="4" t="n">
        <v>7</v>
      </c>
      <c r="O635" s="6" t="n">
        <f aca="false">IF(C635="롱",(J635-E635)/E635,(E635-J635)/E635)</f>
        <v>-0.0395957587806493</v>
      </c>
    </row>
    <row r="636" customFormat="false" ht="17.15" hidden="false" customHeight="false" outlineLevel="0" collapsed="false">
      <c r="A636" s="4" t="n">
        <v>2</v>
      </c>
      <c r="B636" s="4" t="s">
        <v>14</v>
      </c>
      <c r="C636" s="8" t="s">
        <v>72</v>
      </c>
      <c r="D636" s="21" t="n">
        <v>44264</v>
      </c>
      <c r="E636" s="22" t="n">
        <v>405.79</v>
      </c>
      <c r="F636" s="21" t="n">
        <v>44265</v>
      </c>
      <c r="G636" s="22" t="n">
        <v>406.37</v>
      </c>
      <c r="H636" s="22" t="n">
        <v>365.21</v>
      </c>
      <c r="I636" s="21" t="n">
        <v>44288</v>
      </c>
      <c r="J636" s="22" t="n">
        <v>423.74</v>
      </c>
      <c r="K636" s="21" t="n">
        <v>44291</v>
      </c>
      <c r="L636" s="22" t="n">
        <v>425.15</v>
      </c>
      <c r="M636" s="8" t="s">
        <v>73</v>
      </c>
      <c r="N636" s="4" t="n">
        <v>18</v>
      </c>
      <c r="O636" s="6" t="n">
        <f aca="false">IF(C636="롱",(J636-E636)/E636,(E636-J636)/E636)</f>
        <v>0.0442347026787254</v>
      </c>
    </row>
    <row r="637" customFormat="false" ht="17.15" hidden="false" customHeight="false" outlineLevel="0" collapsed="false">
      <c r="A637" s="4" t="n">
        <v>5</v>
      </c>
      <c r="B637" s="4" t="s">
        <v>20</v>
      </c>
      <c r="C637" s="8" t="s">
        <v>72</v>
      </c>
      <c r="D637" s="21" t="n">
        <v>44266</v>
      </c>
      <c r="E637" s="22" t="n">
        <v>411.02</v>
      </c>
      <c r="F637" s="21" t="n">
        <v>44267</v>
      </c>
      <c r="G637" s="22" t="n">
        <v>413.67</v>
      </c>
      <c r="H637" s="22" t="n">
        <v>369.92</v>
      </c>
      <c r="I637" s="21" t="n">
        <v>44278</v>
      </c>
      <c r="J637" s="22" t="n">
        <v>408.71</v>
      </c>
      <c r="K637" s="21" t="n">
        <v>44279</v>
      </c>
      <c r="L637" s="22" t="n">
        <v>407.32</v>
      </c>
      <c r="M637" s="8" t="s">
        <v>73</v>
      </c>
      <c r="N637" s="4" t="n">
        <v>8</v>
      </c>
      <c r="O637" s="6" t="n">
        <f aca="false">IF(C637="롱",(J637-E637)/E637,(E637-J637)/E637)</f>
        <v>-0.0056201644688823</v>
      </c>
    </row>
    <row r="638" customFormat="false" ht="17.15" hidden="false" customHeight="false" outlineLevel="0" collapsed="false">
      <c r="A638" s="4" t="n">
        <v>3</v>
      </c>
      <c r="B638" s="4" t="s">
        <v>16</v>
      </c>
      <c r="C638" s="8" t="s">
        <v>72</v>
      </c>
      <c r="D638" s="21" t="n">
        <v>44267</v>
      </c>
      <c r="E638" s="22" t="n">
        <v>416.13</v>
      </c>
      <c r="F638" s="21" t="n">
        <v>44270</v>
      </c>
      <c r="G638" s="22" t="n">
        <v>416.58</v>
      </c>
      <c r="H638" s="22" t="n">
        <v>374.52</v>
      </c>
      <c r="I638" s="21" t="n">
        <v>44279</v>
      </c>
      <c r="J638" s="22" t="n">
        <v>407.1</v>
      </c>
      <c r="K638" s="21" t="n">
        <v>44280</v>
      </c>
      <c r="L638" s="22" t="n">
        <v>407.03</v>
      </c>
      <c r="M638" s="8" t="s">
        <v>73</v>
      </c>
      <c r="N638" s="4" t="n">
        <v>8</v>
      </c>
      <c r="O638" s="6" t="n">
        <f aca="false">IF(C638="롱",(J638-E638)/E638,(E638-J638)/E638)</f>
        <v>-0.021699949535001</v>
      </c>
    </row>
    <row r="639" customFormat="false" ht="17.15" hidden="false" customHeight="false" outlineLevel="0" collapsed="false">
      <c r="A639" s="4" t="n">
        <v>1</v>
      </c>
      <c r="B639" s="4" t="s">
        <v>12</v>
      </c>
      <c r="C639" s="8" t="s">
        <v>72</v>
      </c>
      <c r="D639" s="21" t="n">
        <v>44273</v>
      </c>
      <c r="E639" s="22" t="n">
        <v>417.06</v>
      </c>
      <c r="F639" s="21" t="n">
        <v>44274</v>
      </c>
      <c r="G639" s="22" t="n">
        <v>416.7</v>
      </c>
      <c r="H639" s="22" t="n">
        <v>375.35</v>
      </c>
      <c r="I639" s="21" t="n">
        <v>44278</v>
      </c>
      <c r="J639" s="22" t="n">
        <v>408.71</v>
      </c>
      <c r="K639" s="21" t="n">
        <v>44279</v>
      </c>
      <c r="L639" s="22" t="n">
        <v>407.32</v>
      </c>
      <c r="M639" s="8" t="s">
        <v>73</v>
      </c>
      <c r="N639" s="4" t="n">
        <v>3</v>
      </c>
      <c r="O639" s="6" t="n">
        <f aca="false">IF(C639="롱",(J639-E639)/E639,(E639-J639)/E639)</f>
        <v>-0.0200211000815231</v>
      </c>
    </row>
    <row r="640" customFormat="false" ht="17.15" hidden="false" customHeight="false" outlineLevel="0" collapsed="false">
      <c r="A640" s="4" t="n">
        <v>4</v>
      </c>
      <c r="B640" s="4" t="s">
        <v>18</v>
      </c>
      <c r="C640" s="8" t="s">
        <v>72</v>
      </c>
      <c r="D640" s="21" t="n">
        <v>44273</v>
      </c>
      <c r="E640" s="22" t="n">
        <v>417.06</v>
      </c>
      <c r="F640" s="21" t="n">
        <v>44274</v>
      </c>
      <c r="G640" s="22" t="n">
        <v>416.7</v>
      </c>
      <c r="H640" s="22" t="n">
        <v>375.35</v>
      </c>
      <c r="I640" s="21" t="n">
        <v>44278</v>
      </c>
      <c r="J640" s="22" t="n">
        <v>408.71</v>
      </c>
      <c r="K640" s="21" t="n">
        <v>44279</v>
      </c>
      <c r="L640" s="22" t="n">
        <v>407.32</v>
      </c>
      <c r="M640" s="8" t="s">
        <v>73</v>
      </c>
      <c r="N640" s="4" t="n">
        <v>3</v>
      </c>
      <c r="O640" s="6" t="n">
        <f aca="false">IF(C640="롱",(J640-E640)/E640,(E640-J640)/E640)</f>
        <v>-0.0200211000815231</v>
      </c>
    </row>
    <row r="641" customFormat="false" ht="17.15" hidden="false" customHeight="false" outlineLevel="0" collapsed="false">
      <c r="A641" s="4" t="n">
        <v>3</v>
      </c>
      <c r="B641" s="4" t="s">
        <v>16</v>
      </c>
      <c r="C641" s="8" t="s">
        <v>72</v>
      </c>
      <c r="D641" s="21" t="n">
        <v>44281</v>
      </c>
      <c r="E641" s="22" t="n">
        <v>412.89</v>
      </c>
      <c r="F641" s="21" t="n">
        <v>44284</v>
      </c>
      <c r="G641" s="22" t="n">
        <v>413.9</v>
      </c>
      <c r="H641" s="22" t="n">
        <v>374.97</v>
      </c>
      <c r="I641" s="21" t="n">
        <v>44319</v>
      </c>
      <c r="J641" s="22" t="n">
        <v>420.36</v>
      </c>
      <c r="K641" s="21" t="n">
        <v>44320</v>
      </c>
      <c r="L641" s="22" t="n">
        <v>420.99</v>
      </c>
      <c r="M641" s="8" t="s">
        <v>73</v>
      </c>
      <c r="N641" s="4" t="n">
        <v>26</v>
      </c>
      <c r="O641" s="6" t="n">
        <f aca="false">IF(C641="롱",(J641-E641)/E641,(E641-J641)/E641)</f>
        <v>0.0180919857589189</v>
      </c>
    </row>
    <row r="642" customFormat="false" ht="17.15" hidden="false" customHeight="false" outlineLevel="0" collapsed="false">
      <c r="A642" s="4" t="n">
        <v>10</v>
      </c>
      <c r="B642" s="4" t="s">
        <v>30</v>
      </c>
      <c r="C642" s="8" t="s">
        <v>72</v>
      </c>
      <c r="D642" s="21" t="n">
        <v>44281</v>
      </c>
      <c r="E642" s="22" t="n">
        <v>412.89</v>
      </c>
      <c r="F642" s="21" t="n">
        <v>44284</v>
      </c>
      <c r="G642" s="22" t="n">
        <v>413.9</v>
      </c>
      <c r="H642" s="22" t="n">
        <v>374.97</v>
      </c>
      <c r="I642" s="21" t="n">
        <v>44284</v>
      </c>
      <c r="J642" s="22" t="n">
        <v>412.05</v>
      </c>
      <c r="K642" s="21" t="n">
        <v>44285</v>
      </c>
      <c r="L642" s="22" t="n">
        <v>412.32</v>
      </c>
      <c r="M642" s="8" t="s">
        <v>73</v>
      </c>
      <c r="N642" s="4" t="n">
        <v>1</v>
      </c>
      <c r="O642" s="6" t="n">
        <f aca="false">IF(C642="롱",(J642-E642)/E642,(E642-J642)/E642)</f>
        <v>-0.0020344401656615</v>
      </c>
    </row>
    <row r="643" customFormat="false" ht="17.15" hidden="false" customHeight="false" outlineLevel="0" collapsed="false">
      <c r="A643" s="4" t="n">
        <v>1</v>
      </c>
      <c r="B643" s="4" t="s">
        <v>12</v>
      </c>
      <c r="C643" s="8" t="s">
        <v>72</v>
      </c>
      <c r="D643" s="21" t="n">
        <v>44285</v>
      </c>
      <c r="E643" s="22" t="n">
        <v>416.61</v>
      </c>
      <c r="F643" s="21" t="n">
        <v>44286</v>
      </c>
      <c r="G643" s="22" t="n">
        <v>417.12</v>
      </c>
      <c r="H643" s="22" t="n">
        <v>383.38</v>
      </c>
      <c r="I643" s="21" t="n">
        <v>44309</v>
      </c>
      <c r="J643" s="22" t="n">
        <v>428.34</v>
      </c>
      <c r="K643" s="21" t="n">
        <v>44312</v>
      </c>
      <c r="L643" s="22" t="n">
        <v>428.89</v>
      </c>
      <c r="M643" s="8" t="s">
        <v>73</v>
      </c>
      <c r="N643" s="4" t="n">
        <v>18</v>
      </c>
      <c r="O643" s="6" t="n">
        <f aca="false">IF(C643="롱",(J643-E643)/E643,(E643-J643)/E643)</f>
        <v>0.0281558291927701</v>
      </c>
    </row>
    <row r="644" customFormat="false" ht="17.15" hidden="false" customHeight="false" outlineLevel="0" collapsed="false">
      <c r="A644" s="4" t="n">
        <v>5</v>
      </c>
      <c r="B644" s="4" t="s">
        <v>20</v>
      </c>
      <c r="C644" s="8" t="s">
        <v>72</v>
      </c>
      <c r="D644" s="21" t="n">
        <v>44285</v>
      </c>
      <c r="E644" s="22" t="n">
        <v>416.61</v>
      </c>
      <c r="F644" s="21" t="n">
        <v>44286</v>
      </c>
      <c r="G644" s="22" t="n">
        <v>417.12</v>
      </c>
      <c r="H644" s="22" t="n">
        <v>383.38</v>
      </c>
      <c r="I644" s="21" t="n">
        <v>44286</v>
      </c>
      <c r="J644" s="22" t="n">
        <v>415.04</v>
      </c>
      <c r="K644" s="21" t="n">
        <v>44287</v>
      </c>
      <c r="L644" s="22" t="n">
        <v>416.99</v>
      </c>
      <c r="M644" s="8" t="s">
        <v>73</v>
      </c>
      <c r="N644" s="4" t="n">
        <v>1</v>
      </c>
      <c r="O644" s="6" t="n">
        <f aca="false">IF(C644="롱",(J644-E644)/E644,(E644-J644)/E644)</f>
        <v>-0.00376851251770239</v>
      </c>
    </row>
    <row r="645" customFormat="false" ht="17.15" hidden="false" customHeight="false" outlineLevel="0" collapsed="false">
      <c r="A645" s="4" t="n">
        <v>4</v>
      </c>
      <c r="B645" s="4" t="s">
        <v>18</v>
      </c>
      <c r="C645" s="8" t="s">
        <v>72</v>
      </c>
      <c r="D645" s="21" t="n">
        <v>44286</v>
      </c>
      <c r="E645" s="22" t="n">
        <v>415.04</v>
      </c>
      <c r="F645" s="21" t="n">
        <v>44287</v>
      </c>
      <c r="G645" s="22" t="n">
        <v>416.99</v>
      </c>
      <c r="H645" s="22" t="n">
        <v>382.49</v>
      </c>
      <c r="I645" s="21" t="n">
        <v>44316</v>
      </c>
      <c r="J645" s="22" t="n">
        <v>422.36</v>
      </c>
      <c r="K645" s="21" t="n">
        <v>44319</v>
      </c>
      <c r="L645" s="22" t="n">
        <v>422.54</v>
      </c>
      <c r="M645" s="8" t="s">
        <v>73</v>
      </c>
      <c r="N645" s="4" t="n">
        <v>22</v>
      </c>
      <c r="O645" s="6" t="n">
        <f aca="false">IF(C645="롱",(J645-E645)/E645,(E645-J645)/E645)</f>
        <v>0.0176368542791056</v>
      </c>
    </row>
    <row r="646" customFormat="false" ht="17.15" hidden="false" customHeight="false" outlineLevel="0" collapsed="false">
      <c r="A646" s="4" t="n">
        <v>5</v>
      </c>
      <c r="B646" s="4" t="s">
        <v>20</v>
      </c>
      <c r="C646" s="8" t="s">
        <v>72</v>
      </c>
      <c r="D646" s="21" t="n">
        <v>44287</v>
      </c>
      <c r="E646" s="22" t="n">
        <v>419.42</v>
      </c>
      <c r="F646" s="21" t="n">
        <v>44288</v>
      </c>
      <c r="G646" s="22" t="n">
        <v>422.19</v>
      </c>
      <c r="H646" s="22" t="n">
        <v>387.94</v>
      </c>
      <c r="I646" s="21" t="n">
        <v>44329</v>
      </c>
      <c r="J646" s="22" t="n">
        <v>416.07</v>
      </c>
      <c r="K646" s="21" t="n">
        <v>44330</v>
      </c>
      <c r="L646" s="22" t="n">
        <v>417.5</v>
      </c>
      <c r="M646" s="8" t="s">
        <v>73</v>
      </c>
      <c r="N646" s="4" t="n">
        <v>29</v>
      </c>
      <c r="O646" s="6" t="n">
        <f aca="false">IF(C646="롱",(J646-E646)/E646,(E646-J646)/E646)</f>
        <v>-0.0079872204472844</v>
      </c>
    </row>
    <row r="647" customFormat="false" ht="17.15" hidden="false" customHeight="false" outlineLevel="0" collapsed="false">
      <c r="A647" s="4" t="n">
        <v>6</v>
      </c>
      <c r="B647" s="4" t="s">
        <v>22</v>
      </c>
      <c r="C647" s="8" t="s">
        <v>72</v>
      </c>
      <c r="D647" s="21" t="n">
        <v>44291</v>
      </c>
      <c r="E647" s="22" t="n">
        <v>424.85</v>
      </c>
      <c r="F647" s="21" t="n">
        <v>44292</v>
      </c>
      <c r="G647" s="22" t="n">
        <v>425.18</v>
      </c>
      <c r="H647" s="22" t="n">
        <v>395.15</v>
      </c>
      <c r="I647" s="21" t="n">
        <v>44295</v>
      </c>
      <c r="J647" s="22" t="n">
        <v>424.3</v>
      </c>
      <c r="K647" s="21" t="n">
        <v>44298</v>
      </c>
      <c r="L647" s="22" t="n">
        <v>424.73</v>
      </c>
      <c r="M647" s="8" t="s">
        <v>73</v>
      </c>
      <c r="N647" s="4" t="n">
        <v>4</v>
      </c>
      <c r="O647" s="6" t="n">
        <f aca="false">IF(C647="롱",(J647-E647)/E647,(E647-J647)/E647)</f>
        <v>-0.00129457455572558</v>
      </c>
    </row>
    <row r="648" customFormat="false" ht="17.15" hidden="false" customHeight="false" outlineLevel="0" collapsed="false">
      <c r="A648" s="4" t="n">
        <v>6</v>
      </c>
      <c r="B648" s="4" t="s">
        <v>22</v>
      </c>
      <c r="C648" s="8" t="s">
        <v>72</v>
      </c>
      <c r="D648" s="21" t="n">
        <v>44301</v>
      </c>
      <c r="E648" s="22" t="n">
        <v>432.66</v>
      </c>
      <c r="F648" s="21" t="n">
        <v>44302</v>
      </c>
      <c r="G648" s="22" t="n">
        <v>432.43</v>
      </c>
      <c r="H648" s="22" t="n">
        <v>408.69</v>
      </c>
      <c r="I648" s="21" t="n">
        <v>44307</v>
      </c>
      <c r="J648" s="22" t="n">
        <v>426.75</v>
      </c>
      <c r="K648" s="21" t="n">
        <v>44308</v>
      </c>
      <c r="L648" s="22" t="n">
        <v>427.06</v>
      </c>
      <c r="M648" s="8" t="s">
        <v>73</v>
      </c>
      <c r="N648" s="4" t="n">
        <v>4</v>
      </c>
      <c r="O648" s="6" t="n">
        <f aca="false">IF(C648="롱",(J648-E648)/E648,(E648-J648)/E648)</f>
        <v>-0.0136596865899321</v>
      </c>
    </row>
    <row r="649" customFormat="false" ht="17.15" hidden="false" customHeight="false" outlineLevel="0" collapsed="false">
      <c r="A649" s="4" t="n">
        <v>2</v>
      </c>
      <c r="B649" s="4" t="s">
        <v>14</v>
      </c>
      <c r="C649" s="8" t="s">
        <v>72</v>
      </c>
      <c r="D649" s="21" t="n">
        <v>44319</v>
      </c>
      <c r="E649" s="22" t="n">
        <v>420.36</v>
      </c>
      <c r="F649" s="21" t="n">
        <v>44320</v>
      </c>
      <c r="G649" s="22" t="n">
        <v>420.99</v>
      </c>
      <c r="H649" s="22" t="n">
        <v>397.39</v>
      </c>
      <c r="I649" s="21" t="n">
        <v>44326</v>
      </c>
      <c r="J649" s="22" t="n">
        <v>435.63</v>
      </c>
      <c r="K649" s="21" t="n">
        <v>44327</v>
      </c>
      <c r="L649" s="22" t="n">
        <v>434.14</v>
      </c>
      <c r="M649" s="8" t="s">
        <v>73</v>
      </c>
      <c r="N649" s="4" t="n">
        <v>4</v>
      </c>
      <c r="O649" s="6" t="n">
        <f aca="false">IF(C649="롱",(J649-E649)/E649,(E649-J649)/E649)</f>
        <v>0.0363260062803311</v>
      </c>
    </row>
    <row r="650" customFormat="false" ht="17.15" hidden="false" customHeight="false" outlineLevel="0" collapsed="false">
      <c r="A650" s="4" t="n">
        <v>7</v>
      </c>
      <c r="B650" s="4" t="s">
        <v>24</v>
      </c>
      <c r="C650" s="8" t="s">
        <v>72</v>
      </c>
      <c r="D650" s="21" t="n">
        <v>44319</v>
      </c>
      <c r="E650" s="22" t="n">
        <v>420.36</v>
      </c>
      <c r="F650" s="21" t="n">
        <v>44320</v>
      </c>
      <c r="G650" s="22" t="n">
        <v>420.99</v>
      </c>
      <c r="H650" s="22" t="n">
        <v>397.39</v>
      </c>
      <c r="I650" s="21" t="n">
        <v>44326</v>
      </c>
      <c r="J650" s="22" t="n">
        <v>435.63</v>
      </c>
      <c r="K650" s="21" t="n">
        <v>44327</v>
      </c>
      <c r="L650" s="22" t="n">
        <v>434.14</v>
      </c>
      <c r="M650" s="8" t="s">
        <v>73</v>
      </c>
      <c r="N650" s="4" t="n">
        <v>4</v>
      </c>
      <c r="O650" s="6" t="n">
        <f aca="false">IF(C650="롱",(J650-E650)/E650,(E650-J650)/E650)</f>
        <v>0.0363260062803311</v>
      </c>
    </row>
    <row r="651" customFormat="false" ht="17.15" hidden="false" customHeight="false" outlineLevel="0" collapsed="false">
      <c r="A651" s="4" t="n">
        <v>3</v>
      </c>
      <c r="B651" s="4" t="s">
        <v>16</v>
      </c>
      <c r="C651" s="8" t="s">
        <v>72</v>
      </c>
      <c r="D651" s="21" t="n">
        <v>44322</v>
      </c>
      <c r="E651" s="22" t="n">
        <v>426.64</v>
      </c>
      <c r="F651" s="21" t="n">
        <v>44323</v>
      </c>
      <c r="G651" s="22" t="n">
        <v>426.51</v>
      </c>
      <c r="H651" s="22" t="n">
        <v>403</v>
      </c>
      <c r="I651" s="21" t="n">
        <v>44329</v>
      </c>
      <c r="J651" s="22" t="n">
        <v>416.07</v>
      </c>
      <c r="K651" s="21" t="n">
        <v>44330</v>
      </c>
      <c r="L651" s="22" t="n">
        <v>417.5</v>
      </c>
      <c r="M651" s="8" t="s">
        <v>73</v>
      </c>
      <c r="N651" s="4" t="n">
        <v>5</v>
      </c>
      <c r="O651" s="6" t="n">
        <f aca="false">IF(C651="롱",(J651-E651)/E651,(E651-J651)/E651)</f>
        <v>-0.024774985936621</v>
      </c>
    </row>
    <row r="652" customFormat="false" ht="17.15" hidden="false" customHeight="false" outlineLevel="0" collapsed="false">
      <c r="A652" s="4" t="n">
        <v>2</v>
      </c>
      <c r="B652" s="4" t="s">
        <v>14</v>
      </c>
      <c r="C652" s="8" t="s">
        <v>72</v>
      </c>
      <c r="D652" s="21" t="n">
        <v>44329</v>
      </c>
      <c r="E652" s="22" t="n">
        <v>416.07</v>
      </c>
      <c r="F652" s="21" t="n">
        <v>44330</v>
      </c>
      <c r="G652" s="22" t="n">
        <v>417.5</v>
      </c>
      <c r="H652" s="22" t="n">
        <v>388.28</v>
      </c>
      <c r="I652" s="21" t="n">
        <v>44347</v>
      </c>
      <c r="J652" s="22" t="n">
        <v>427.91</v>
      </c>
      <c r="K652" s="21" t="n">
        <v>44348</v>
      </c>
      <c r="L652" s="22" t="n">
        <v>428.08</v>
      </c>
      <c r="M652" s="8" t="s">
        <v>73</v>
      </c>
      <c r="N652" s="4" t="n">
        <v>11</v>
      </c>
      <c r="O652" s="6" t="n">
        <f aca="false">IF(C652="롱",(J652-E652)/E652,(E652-J652)/E652)</f>
        <v>0.0284567500660947</v>
      </c>
    </row>
    <row r="653" customFormat="false" ht="17.15" hidden="false" customHeight="false" outlineLevel="0" collapsed="false">
      <c r="A653" s="4" t="n">
        <v>7</v>
      </c>
      <c r="B653" s="4" t="s">
        <v>24</v>
      </c>
      <c r="C653" s="8" t="s">
        <v>72</v>
      </c>
      <c r="D653" s="21" t="n">
        <v>44329</v>
      </c>
      <c r="E653" s="22" t="n">
        <v>416.07</v>
      </c>
      <c r="F653" s="21" t="n">
        <v>44330</v>
      </c>
      <c r="G653" s="22" t="n">
        <v>417.5</v>
      </c>
      <c r="H653" s="22" t="n">
        <v>388.28</v>
      </c>
      <c r="I653" s="21" t="n">
        <v>44347</v>
      </c>
      <c r="J653" s="22" t="n">
        <v>427.91</v>
      </c>
      <c r="K653" s="21" t="n">
        <v>44348</v>
      </c>
      <c r="L653" s="22" t="n">
        <v>428.08</v>
      </c>
      <c r="M653" s="8" t="s">
        <v>73</v>
      </c>
      <c r="N653" s="4" t="n">
        <v>11</v>
      </c>
      <c r="O653" s="6" t="n">
        <f aca="false">IF(C653="롱",(J653-E653)/E653,(E653-J653)/E653)</f>
        <v>0.0284567500660947</v>
      </c>
    </row>
    <row r="654" customFormat="false" ht="17.15" hidden="false" customHeight="false" outlineLevel="0" collapsed="false">
      <c r="A654" s="4" t="n">
        <v>5</v>
      </c>
      <c r="B654" s="4" t="s">
        <v>20</v>
      </c>
      <c r="C654" s="8" t="s">
        <v>72</v>
      </c>
      <c r="D654" s="21" t="n">
        <v>44334</v>
      </c>
      <c r="E654" s="22" t="n">
        <v>423.09</v>
      </c>
      <c r="F654" s="21" t="n">
        <v>44336</v>
      </c>
      <c r="G654" s="22" t="n">
        <v>423.38</v>
      </c>
      <c r="H654" s="22" t="n">
        <v>393.36</v>
      </c>
      <c r="I654" s="21" t="n">
        <v>44386</v>
      </c>
      <c r="J654" s="22" t="n">
        <v>427.84</v>
      </c>
      <c r="K654" s="21" t="n">
        <v>44389</v>
      </c>
      <c r="L654" s="22" t="n">
        <v>429.33</v>
      </c>
      <c r="M654" s="8" t="s">
        <v>73</v>
      </c>
      <c r="N654" s="4" t="n">
        <v>37</v>
      </c>
      <c r="O654" s="6" t="n">
        <f aca="false">IF(C654="롱",(J654-E654)/E654,(E654-J654)/E654)</f>
        <v>0.0112269257132052</v>
      </c>
    </row>
    <row r="655" customFormat="false" ht="17.15" hidden="false" customHeight="false" outlineLevel="0" collapsed="false">
      <c r="A655" s="4" t="n">
        <v>3</v>
      </c>
      <c r="B655" s="4" t="s">
        <v>16</v>
      </c>
      <c r="C655" s="8" t="s">
        <v>72</v>
      </c>
      <c r="D655" s="21" t="n">
        <v>44341</v>
      </c>
      <c r="E655" s="22" t="n">
        <v>424.35</v>
      </c>
      <c r="F655" s="21" t="n">
        <v>44342</v>
      </c>
      <c r="G655" s="22" t="n">
        <v>424.46</v>
      </c>
      <c r="H655" s="22" t="n">
        <v>395.2</v>
      </c>
      <c r="I655" s="21" t="n">
        <v>44386</v>
      </c>
      <c r="J655" s="22" t="n">
        <v>427.84</v>
      </c>
      <c r="K655" s="21" t="n">
        <v>44389</v>
      </c>
      <c r="L655" s="22" t="n">
        <v>429.33</v>
      </c>
      <c r="M655" s="8" t="s">
        <v>73</v>
      </c>
      <c r="N655" s="4" t="n">
        <v>33</v>
      </c>
      <c r="O655" s="6" t="n">
        <f aca="false">IF(C655="롱",(J655-E655)/E655,(E655-J655)/E655)</f>
        <v>0.00822434311299623</v>
      </c>
    </row>
    <row r="656" customFormat="false" ht="17.15" hidden="false" customHeight="false" outlineLevel="0" collapsed="false">
      <c r="A656" s="4" t="n">
        <v>1</v>
      </c>
      <c r="B656" s="4" t="s">
        <v>12</v>
      </c>
      <c r="C656" s="8" t="s">
        <v>72</v>
      </c>
      <c r="D656" s="21" t="n">
        <v>44344</v>
      </c>
      <c r="E656" s="22" t="n">
        <v>425.95</v>
      </c>
      <c r="F656" s="21" t="n">
        <v>44347</v>
      </c>
      <c r="G656" s="22" t="n">
        <v>426.31</v>
      </c>
      <c r="H656" s="22" t="n">
        <v>396.9</v>
      </c>
      <c r="I656" s="21" t="n">
        <v>44379</v>
      </c>
      <c r="J656" s="22" t="n">
        <v>436</v>
      </c>
      <c r="K656" s="21" t="n">
        <v>44382</v>
      </c>
      <c r="L656" s="22" t="n">
        <v>436.53</v>
      </c>
      <c r="M656" s="8" t="s">
        <v>73</v>
      </c>
      <c r="N656" s="4" t="n">
        <v>25</v>
      </c>
      <c r="O656" s="6" t="n">
        <f aca="false">IF(C656="롱",(J656-E656)/E656,(E656-J656)/E656)</f>
        <v>0.0235943185819932</v>
      </c>
    </row>
    <row r="657" customFormat="false" ht="17.15" hidden="false" customHeight="false" outlineLevel="0" collapsed="false">
      <c r="A657" s="4" t="n">
        <v>4</v>
      </c>
      <c r="B657" s="4" t="s">
        <v>18</v>
      </c>
      <c r="C657" s="8" t="s">
        <v>72</v>
      </c>
      <c r="D657" s="21" t="n">
        <v>44347</v>
      </c>
      <c r="E657" s="22" t="n">
        <v>427.91</v>
      </c>
      <c r="F657" s="21" t="n">
        <v>44348</v>
      </c>
      <c r="G657" s="22" t="n">
        <v>428.08</v>
      </c>
      <c r="H657" s="22" t="n">
        <v>399.22</v>
      </c>
      <c r="I657" s="21" t="n">
        <v>44386</v>
      </c>
      <c r="J657" s="22" t="n">
        <v>427.84</v>
      </c>
      <c r="K657" s="21" t="n">
        <v>44389</v>
      </c>
      <c r="L657" s="22" t="n">
        <v>429.33</v>
      </c>
      <c r="M657" s="8" t="s">
        <v>73</v>
      </c>
      <c r="N657" s="4" t="n">
        <v>29</v>
      </c>
      <c r="O657" s="6" t="n">
        <f aca="false">IF(C657="롱",(J657-E657)/E657,(E657-J657)/E657)</f>
        <v>-0.000163585800752612</v>
      </c>
    </row>
    <row r="658" customFormat="false" ht="17.15" hidden="false" customHeight="false" outlineLevel="0" collapsed="false">
      <c r="A658" s="4" t="n">
        <v>6</v>
      </c>
      <c r="B658" s="4" t="s">
        <v>22</v>
      </c>
      <c r="C658" s="8" t="s">
        <v>72</v>
      </c>
      <c r="D658" s="21" t="n">
        <v>44348</v>
      </c>
      <c r="E658" s="22" t="n">
        <v>430.32</v>
      </c>
      <c r="F658" s="21" t="n">
        <v>44349</v>
      </c>
      <c r="G658" s="22" t="n">
        <v>430.6</v>
      </c>
      <c r="H658" s="22" t="n">
        <v>401.59</v>
      </c>
      <c r="I658" s="21" t="n">
        <v>44356</v>
      </c>
      <c r="J658" s="22" t="n">
        <v>428.16</v>
      </c>
      <c r="K658" s="21" t="n">
        <v>44357</v>
      </c>
      <c r="L658" s="22" t="n">
        <v>428.23</v>
      </c>
      <c r="M658" s="8" t="s">
        <v>73</v>
      </c>
      <c r="N658" s="4" t="n">
        <v>6</v>
      </c>
      <c r="O658" s="6" t="n">
        <f aca="false">IF(C658="롱",(J658-E658)/E658,(E658-J658)/E658)</f>
        <v>-0.0050195203569436</v>
      </c>
    </row>
    <row r="659" customFormat="false" ht="17.15" hidden="false" customHeight="false" outlineLevel="0" collapsed="false">
      <c r="A659" s="4" t="n">
        <v>6</v>
      </c>
      <c r="B659" s="4" t="s">
        <v>22</v>
      </c>
      <c r="C659" s="8" t="s">
        <v>72</v>
      </c>
      <c r="D659" s="21" t="n">
        <v>44361</v>
      </c>
      <c r="E659" s="22" t="n">
        <v>433.22</v>
      </c>
      <c r="F659" s="21" t="n">
        <v>44362</v>
      </c>
      <c r="G659" s="22" t="n">
        <v>433.41</v>
      </c>
      <c r="H659" s="22" t="n">
        <v>410.58</v>
      </c>
      <c r="I659" s="21" t="n">
        <v>44368</v>
      </c>
      <c r="J659" s="22" t="n">
        <v>431.46</v>
      </c>
      <c r="K659" s="21" t="n">
        <v>44369</v>
      </c>
      <c r="L659" s="22" t="n">
        <v>432.1</v>
      </c>
      <c r="M659" s="8" t="s">
        <v>73</v>
      </c>
      <c r="N659" s="4" t="n">
        <v>5</v>
      </c>
      <c r="O659" s="6" t="n">
        <f aca="false">IF(C659="롱",(J659-E659)/E659,(E659-J659)/E659)</f>
        <v>-0.00406260098795081</v>
      </c>
    </row>
    <row r="660" customFormat="false" ht="17.15" hidden="false" customHeight="false" outlineLevel="0" collapsed="false">
      <c r="A660" s="4" t="n">
        <v>6</v>
      </c>
      <c r="B660" s="4" t="s">
        <v>22</v>
      </c>
      <c r="C660" s="8" t="s">
        <v>72</v>
      </c>
      <c r="D660" s="21" t="n">
        <v>44371</v>
      </c>
      <c r="E660" s="22" t="n">
        <v>438.38</v>
      </c>
      <c r="F660" s="21" t="n">
        <v>44372</v>
      </c>
      <c r="G660" s="22" t="n">
        <v>438.76</v>
      </c>
      <c r="H660" s="22" t="n">
        <v>418.98</v>
      </c>
      <c r="I660" s="21" t="n">
        <v>44376</v>
      </c>
      <c r="J660" s="22" t="n">
        <v>437.54</v>
      </c>
      <c r="K660" s="21" t="n">
        <v>44377</v>
      </c>
      <c r="L660" s="22" t="n">
        <v>437.76</v>
      </c>
      <c r="M660" s="8" t="s">
        <v>73</v>
      </c>
      <c r="N660" s="4" t="n">
        <v>3</v>
      </c>
      <c r="O660" s="6" t="n">
        <f aca="false">IF(C660="롱",(J660-E660)/E660,(E660-J660)/E660)</f>
        <v>-0.00191614580957155</v>
      </c>
    </row>
    <row r="661" customFormat="false" ht="17.15" hidden="false" customHeight="false" outlineLevel="0" collapsed="false">
      <c r="A661" s="4" t="n">
        <v>2</v>
      </c>
      <c r="B661" s="4" t="s">
        <v>14</v>
      </c>
      <c r="C661" s="8" t="s">
        <v>72</v>
      </c>
      <c r="D661" s="21" t="n">
        <v>44386</v>
      </c>
      <c r="E661" s="22" t="n">
        <v>427.84</v>
      </c>
      <c r="F661" s="21" t="n">
        <v>44389</v>
      </c>
      <c r="G661" s="22" t="n">
        <v>429.33</v>
      </c>
      <c r="H661" s="22" t="n">
        <v>409.4</v>
      </c>
      <c r="I661" s="21" t="n">
        <v>44412</v>
      </c>
      <c r="J661" s="22" t="n">
        <v>436.05</v>
      </c>
      <c r="K661" s="21" t="n">
        <v>44413</v>
      </c>
      <c r="L661" s="22" t="n">
        <v>436.46</v>
      </c>
      <c r="M661" s="8" t="s">
        <v>73</v>
      </c>
      <c r="N661" s="4" t="n">
        <v>18</v>
      </c>
      <c r="O661" s="6" t="n">
        <f aca="false">IF(C661="롱",(J661-E661)/E661,(E661-J661)/E661)</f>
        <v>0.0191894166043382</v>
      </c>
    </row>
    <row r="662" customFormat="false" ht="17.15" hidden="false" customHeight="false" outlineLevel="0" collapsed="false">
      <c r="A662" s="4" t="n">
        <v>7</v>
      </c>
      <c r="B662" s="4" t="s">
        <v>24</v>
      </c>
      <c r="C662" s="8" t="s">
        <v>72</v>
      </c>
      <c r="D662" s="21" t="n">
        <v>44386</v>
      </c>
      <c r="E662" s="22" t="n">
        <v>427.84</v>
      </c>
      <c r="F662" s="21" t="n">
        <v>44389</v>
      </c>
      <c r="G662" s="22" t="n">
        <v>429.33</v>
      </c>
      <c r="H662" s="22" t="n">
        <v>409.4</v>
      </c>
      <c r="I662" s="21" t="n">
        <v>44407</v>
      </c>
      <c r="J662" s="22" t="n">
        <v>423.91</v>
      </c>
      <c r="K662" s="21" t="n">
        <v>44410</v>
      </c>
      <c r="L662" s="22" t="n">
        <v>426.29</v>
      </c>
      <c r="M662" s="8" t="s">
        <v>73</v>
      </c>
      <c r="N662" s="4" t="n">
        <v>15</v>
      </c>
      <c r="O662" s="6" t="n">
        <f aca="false">IF(C662="롱",(J662-E662)/E662,(E662-J662)/E662)</f>
        <v>-0.00918567688855635</v>
      </c>
    </row>
    <row r="663" customFormat="false" ht="17.15" hidden="false" customHeight="false" outlineLevel="0" collapsed="false">
      <c r="A663" s="4" t="n">
        <v>5</v>
      </c>
      <c r="B663" s="4" t="s">
        <v>20</v>
      </c>
      <c r="C663" s="8" t="s">
        <v>72</v>
      </c>
      <c r="D663" s="21" t="n">
        <v>44389</v>
      </c>
      <c r="E663" s="22" t="n">
        <v>431.28</v>
      </c>
      <c r="F663" s="21" t="n">
        <v>44390</v>
      </c>
      <c r="G663" s="22" t="n">
        <v>432.39</v>
      </c>
      <c r="H663" s="22" t="n">
        <v>412.37</v>
      </c>
      <c r="I663" s="21" t="n">
        <v>44396</v>
      </c>
      <c r="J663" s="22" t="n">
        <v>429.89</v>
      </c>
      <c r="K663" s="21" t="n">
        <v>44397</v>
      </c>
      <c r="L663" s="22" t="n">
        <v>427.14</v>
      </c>
      <c r="M663" s="8" t="s">
        <v>73</v>
      </c>
      <c r="N663" s="4" t="n">
        <v>5</v>
      </c>
      <c r="O663" s="6" t="n">
        <f aca="false">IF(C663="롱",(J663-E663)/E663,(E663-J663)/E663)</f>
        <v>-0.00322296419959188</v>
      </c>
    </row>
    <row r="664" customFormat="false" ht="17.15" hidden="false" customHeight="false" outlineLevel="0" collapsed="false">
      <c r="A664" s="4" t="n">
        <v>3</v>
      </c>
      <c r="B664" s="4" t="s">
        <v>16</v>
      </c>
      <c r="C664" s="8" t="s">
        <v>72</v>
      </c>
      <c r="D664" s="21" t="n">
        <v>44390</v>
      </c>
      <c r="E664" s="22" t="n">
        <v>434.71</v>
      </c>
      <c r="F664" s="21" t="n">
        <v>44391</v>
      </c>
      <c r="G664" s="22" t="n">
        <v>434.47</v>
      </c>
      <c r="H664" s="22" t="n">
        <v>415.45</v>
      </c>
      <c r="I664" s="21" t="n">
        <v>44396</v>
      </c>
      <c r="J664" s="22" t="n">
        <v>429.89</v>
      </c>
      <c r="K664" s="21" t="n">
        <v>44397</v>
      </c>
      <c r="L664" s="22" t="n">
        <v>427.14</v>
      </c>
      <c r="M664" s="8" t="s">
        <v>73</v>
      </c>
      <c r="N664" s="4" t="n">
        <v>4</v>
      </c>
      <c r="O664" s="6" t="n">
        <f aca="false">IF(C664="롱",(J664-E664)/E664,(E664-J664)/E664)</f>
        <v>-0.0110878516712291</v>
      </c>
    </row>
    <row r="665" customFormat="false" ht="17.15" hidden="false" customHeight="false" outlineLevel="0" collapsed="false">
      <c r="A665" s="4" t="n">
        <v>5</v>
      </c>
      <c r="B665" s="4" t="s">
        <v>20</v>
      </c>
      <c r="C665" s="8" t="s">
        <v>72</v>
      </c>
      <c r="D665" s="21" t="n">
        <v>44399</v>
      </c>
      <c r="E665" s="22" t="n">
        <v>431.38</v>
      </c>
      <c r="F665" s="21" t="n">
        <v>44400</v>
      </c>
      <c r="G665" s="22" t="n">
        <v>431.75</v>
      </c>
      <c r="H665" s="22" t="n">
        <v>410.36</v>
      </c>
      <c r="I665" s="21" t="n">
        <v>44403</v>
      </c>
      <c r="J665" s="22" t="n">
        <v>427.47</v>
      </c>
      <c r="K665" s="21" t="n">
        <v>44404</v>
      </c>
      <c r="L665" s="22" t="n">
        <v>430.14</v>
      </c>
      <c r="M665" s="8" t="s">
        <v>73</v>
      </c>
      <c r="N665" s="4" t="n">
        <v>2</v>
      </c>
      <c r="O665" s="6" t="n">
        <f aca="false">IF(C665="롱",(J665-E665)/E665,(E665-J665)/E665)</f>
        <v>-0.00906393435022479</v>
      </c>
    </row>
    <row r="666" customFormat="false" ht="17.15" hidden="false" customHeight="false" outlineLevel="0" collapsed="false">
      <c r="A666" s="4" t="n">
        <v>1</v>
      </c>
      <c r="B666" s="4" t="s">
        <v>12</v>
      </c>
      <c r="C666" s="8" t="s">
        <v>72</v>
      </c>
      <c r="D666" s="21" t="n">
        <v>44412</v>
      </c>
      <c r="E666" s="22" t="n">
        <v>436.05</v>
      </c>
      <c r="F666" s="21" t="n">
        <v>44413</v>
      </c>
      <c r="G666" s="22" t="n">
        <v>436.46</v>
      </c>
      <c r="H666" s="22" t="n">
        <v>412.57</v>
      </c>
      <c r="I666" s="21" t="n">
        <v>44419</v>
      </c>
      <c r="J666" s="22" t="n">
        <v>424.74</v>
      </c>
      <c r="K666" s="21" t="n">
        <v>44420</v>
      </c>
      <c r="L666" s="22" t="n">
        <v>423.17</v>
      </c>
      <c r="M666" s="8" t="s">
        <v>73</v>
      </c>
      <c r="N666" s="4" t="n">
        <v>5</v>
      </c>
      <c r="O666" s="6" t="n">
        <f aca="false">IF(C666="롱",(J666-E666)/E666,(E666-J666)/E666)</f>
        <v>-0.02593739250086</v>
      </c>
    </row>
    <row r="667" customFormat="false" ht="17.15" hidden="false" customHeight="false" outlineLevel="0" collapsed="false">
      <c r="A667" s="4" t="n">
        <v>5</v>
      </c>
      <c r="B667" s="4" t="s">
        <v>20</v>
      </c>
      <c r="C667" s="8" t="s">
        <v>72</v>
      </c>
      <c r="D667" s="21" t="n">
        <v>44412</v>
      </c>
      <c r="E667" s="22" t="n">
        <v>436.05</v>
      </c>
      <c r="F667" s="21" t="n">
        <v>44413</v>
      </c>
      <c r="G667" s="22" t="n">
        <v>436.46</v>
      </c>
      <c r="H667" s="22" t="n">
        <v>412.57</v>
      </c>
      <c r="I667" s="21" t="n">
        <v>44418</v>
      </c>
      <c r="J667" s="22" t="n">
        <v>428.56</v>
      </c>
      <c r="K667" s="21" t="n">
        <v>44419</v>
      </c>
      <c r="L667" s="22" t="n">
        <v>427.16</v>
      </c>
      <c r="M667" s="8" t="s">
        <v>73</v>
      </c>
      <c r="N667" s="4" t="n">
        <v>4</v>
      </c>
      <c r="O667" s="6" t="n">
        <f aca="false">IF(C667="롱",(J667-E667)/E667,(E667-J667)/E667)</f>
        <v>-0.0171769292512327</v>
      </c>
    </row>
    <row r="668" customFormat="false" ht="17.15" hidden="false" customHeight="false" outlineLevel="0" collapsed="false">
      <c r="A668" s="4" t="n">
        <v>6</v>
      </c>
      <c r="B668" s="4" t="s">
        <v>22</v>
      </c>
      <c r="C668" s="8" t="s">
        <v>72</v>
      </c>
      <c r="D668" s="21" t="n">
        <v>44412</v>
      </c>
      <c r="E668" s="22" t="n">
        <v>436.05</v>
      </c>
      <c r="F668" s="21" t="n">
        <v>44413</v>
      </c>
      <c r="G668" s="22" t="n">
        <v>436.46</v>
      </c>
      <c r="H668" s="22" t="n">
        <v>412.57</v>
      </c>
      <c r="I668" s="21" t="n">
        <v>44417</v>
      </c>
      <c r="J668" s="22" t="n">
        <v>431.65</v>
      </c>
      <c r="K668" s="21" t="n">
        <v>44418</v>
      </c>
      <c r="L668" s="22" t="n">
        <v>433.01</v>
      </c>
      <c r="M668" s="8" t="s">
        <v>73</v>
      </c>
      <c r="N668" s="4" t="n">
        <v>3</v>
      </c>
      <c r="O668" s="6" t="n">
        <f aca="false">IF(C668="롱",(J668-E668)/E668,(E668-J668)/E668)</f>
        <v>-0.0100905859419792</v>
      </c>
    </row>
    <row r="669" customFormat="false" ht="17.15" hidden="false" customHeight="false" outlineLevel="0" collapsed="false">
      <c r="A669" s="4" t="n">
        <v>4</v>
      </c>
      <c r="B669" s="4" t="s">
        <v>18</v>
      </c>
      <c r="C669" s="8" t="s">
        <v>72</v>
      </c>
      <c r="D669" s="21" t="n">
        <v>44414</v>
      </c>
      <c r="E669" s="22" t="n">
        <v>433.29</v>
      </c>
      <c r="F669" s="21" t="n">
        <v>44417</v>
      </c>
      <c r="G669" s="22" t="n">
        <v>431.57</v>
      </c>
      <c r="H669" s="22" t="n">
        <v>411.4</v>
      </c>
      <c r="I669" s="21" t="n">
        <v>44420</v>
      </c>
      <c r="J669" s="22" t="n">
        <v>422.38</v>
      </c>
      <c r="K669" s="21" t="n">
        <v>44421</v>
      </c>
      <c r="L669" s="22" t="n">
        <v>421.38</v>
      </c>
      <c r="M669" s="8" t="s">
        <v>73</v>
      </c>
      <c r="N669" s="4" t="n">
        <v>4</v>
      </c>
      <c r="O669" s="6" t="n">
        <f aca="false">IF(C669="롱",(J669-E669)/E669,(E669-J669)/E669)</f>
        <v>-0.0251794410210252</v>
      </c>
    </row>
    <row r="670" customFormat="false" ht="17.15" hidden="false" customHeight="false" outlineLevel="0" collapsed="false">
      <c r="A670" s="4" t="n">
        <v>2</v>
      </c>
      <c r="B670" s="4" t="s">
        <v>14</v>
      </c>
      <c r="C670" s="8" t="s">
        <v>72</v>
      </c>
      <c r="D670" s="21" t="n">
        <v>44420</v>
      </c>
      <c r="E670" s="22" t="n">
        <v>422.38</v>
      </c>
      <c r="F670" s="21" t="n">
        <v>44421</v>
      </c>
      <c r="G670" s="22" t="n">
        <v>421.38</v>
      </c>
      <c r="H670" s="22" t="n">
        <v>399.76</v>
      </c>
      <c r="I670" s="21" t="n">
        <v>44428</v>
      </c>
      <c r="J670" s="22" t="n">
        <v>399.76</v>
      </c>
      <c r="K670" s="21" t="n">
        <v>44431</v>
      </c>
      <c r="L670" s="22" t="n">
        <v>404.32</v>
      </c>
      <c r="M670" s="8" t="s">
        <v>75</v>
      </c>
      <c r="N670" s="4" t="n">
        <v>5</v>
      </c>
      <c r="O670" s="6" t="n">
        <f aca="false">IF(C670="롱",(J670-E670)/E670,(E670-J670)/E670)</f>
        <v>-0.053553672048866</v>
      </c>
    </row>
    <row r="671" customFormat="false" ht="17.15" hidden="false" customHeight="false" outlineLevel="0" collapsed="false">
      <c r="A671" s="4" t="n">
        <v>7</v>
      </c>
      <c r="B671" s="4" t="s">
        <v>24</v>
      </c>
      <c r="C671" s="8" t="s">
        <v>72</v>
      </c>
      <c r="D671" s="21" t="n">
        <v>44421</v>
      </c>
      <c r="E671" s="22" t="n">
        <v>416.06</v>
      </c>
      <c r="F671" s="21" t="n">
        <v>44425</v>
      </c>
      <c r="G671" s="22" t="n">
        <v>415.5</v>
      </c>
      <c r="H671" s="22" t="n">
        <v>392.23</v>
      </c>
      <c r="I671" s="21" t="n">
        <v>44425</v>
      </c>
      <c r="J671" s="22" t="n">
        <v>411.31</v>
      </c>
      <c r="K671" s="21" t="n">
        <v>44426</v>
      </c>
      <c r="L671" s="22" t="n">
        <v>410.92</v>
      </c>
      <c r="M671" s="8" t="s">
        <v>73</v>
      </c>
      <c r="N671" s="4" t="n">
        <v>1</v>
      </c>
      <c r="O671" s="6" t="n">
        <f aca="false">IF(C671="롱",(J671-E671)/E671,(E671-J671)/E671)</f>
        <v>-0.0114166226025093</v>
      </c>
    </row>
    <row r="672" customFormat="false" ht="17.15" hidden="false" customHeight="false" outlineLevel="0" collapsed="false">
      <c r="A672" s="4" t="n">
        <v>7</v>
      </c>
      <c r="B672" s="4" t="s">
        <v>24</v>
      </c>
      <c r="C672" s="8" t="s">
        <v>72</v>
      </c>
      <c r="D672" s="21" t="n">
        <v>44448</v>
      </c>
      <c r="E672" s="22" t="n">
        <v>407.28</v>
      </c>
      <c r="F672" s="21" t="n">
        <v>44449</v>
      </c>
      <c r="G672" s="22" t="n">
        <v>407.99</v>
      </c>
      <c r="H672" s="22" t="n">
        <v>376.37</v>
      </c>
      <c r="I672" s="21" t="n">
        <v>44470</v>
      </c>
      <c r="J672" s="22" t="n">
        <v>394.79</v>
      </c>
      <c r="K672" s="21" t="n">
        <v>44474</v>
      </c>
      <c r="L672" s="22" t="n">
        <v>391.95</v>
      </c>
      <c r="M672" s="8" t="s">
        <v>73</v>
      </c>
      <c r="N672" s="4" t="n">
        <v>13</v>
      </c>
      <c r="O672" s="6" t="n">
        <f aca="false">IF(C672="롱",(J672-E672)/E672,(E672-J672)/E672)</f>
        <v>-0.0306668630917304</v>
      </c>
    </row>
    <row r="673" customFormat="false" ht="17.15" hidden="false" customHeight="false" outlineLevel="0" collapsed="false">
      <c r="A673" s="4" t="n">
        <v>10</v>
      </c>
      <c r="B673" s="4" t="s">
        <v>30</v>
      </c>
      <c r="C673" s="8" t="s">
        <v>72</v>
      </c>
      <c r="D673" s="21" t="n">
        <v>44453</v>
      </c>
      <c r="E673" s="22" t="n">
        <v>412.36</v>
      </c>
      <c r="F673" s="21" t="n">
        <v>44454</v>
      </c>
      <c r="G673" s="22" t="n">
        <v>412.05</v>
      </c>
      <c r="H673" s="22" t="n">
        <v>383.05</v>
      </c>
      <c r="I673" s="21" t="n">
        <v>44455</v>
      </c>
      <c r="J673" s="22" t="n">
        <v>409.22</v>
      </c>
      <c r="K673" s="21" t="n">
        <v>44456</v>
      </c>
      <c r="L673" s="22" t="n">
        <v>408.9</v>
      </c>
      <c r="M673" s="8" t="s">
        <v>73</v>
      </c>
      <c r="N673" s="4" t="n">
        <v>2</v>
      </c>
      <c r="O673" s="6" t="n">
        <f aca="false">IF(C673="롱",(J673-E673)/E673,(E673-J673)/E673)</f>
        <v>-0.00761470559705109</v>
      </c>
    </row>
    <row r="674" customFormat="false" ht="17.15" hidden="false" customHeight="false" outlineLevel="0" collapsed="false">
      <c r="A674" s="4" t="n">
        <v>11</v>
      </c>
      <c r="B674" s="4" t="s">
        <v>32</v>
      </c>
      <c r="C674" s="8" t="s">
        <v>74</v>
      </c>
      <c r="D674" s="21" t="n">
        <v>44455</v>
      </c>
      <c r="E674" s="22" t="n">
        <v>409.22</v>
      </c>
      <c r="F674" s="21" t="n">
        <v>44456</v>
      </c>
      <c r="G674" s="22" t="n">
        <v>408.9</v>
      </c>
      <c r="H674" s="22" t="n">
        <v>437.12</v>
      </c>
      <c r="I674" s="21" t="n">
        <v>44494</v>
      </c>
      <c r="J674" s="22" t="n">
        <v>395.01</v>
      </c>
      <c r="K674" s="21" t="n">
        <v>44495</v>
      </c>
      <c r="L674" s="22" t="n">
        <v>397.75</v>
      </c>
      <c r="M674" s="8" t="s">
        <v>73</v>
      </c>
      <c r="N674" s="4" t="n">
        <v>22</v>
      </c>
      <c r="O674" s="6" t="n">
        <f aca="false">IF(C674="롱",(J674-E674)/E674,(E674-J674)/E674)</f>
        <v>0.0347245980157373</v>
      </c>
    </row>
    <row r="675" customFormat="false" ht="17.15" hidden="false" customHeight="false" outlineLevel="0" collapsed="false">
      <c r="A675" s="4" t="n">
        <v>10</v>
      </c>
      <c r="B675" s="4" t="s">
        <v>30</v>
      </c>
      <c r="C675" s="8" t="s">
        <v>72</v>
      </c>
      <c r="D675" s="21" t="n">
        <v>44502</v>
      </c>
      <c r="E675" s="22" t="n">
        <v>394.82</v>
      </c>
      <c r="F675" s="21" t="n">
        <v>44503</v>
      </c>
      <c r="G675" s="22" t="n">
        <v>395.73</v>
      </c>
      <c r="H675" s="22" t="n">
        <v>365.9</v>
      </c>
      <c r="I675" s="21" t="n">
        <v>44503</v>
      </c>
      <c r="J675" s="22" t="n">
        <v>389.48</v>
      </c>
      <c r="K675" s="21" t="n">
        <v>44504</v>
      </c>
      <c r="L675" s="22" t="n">
        <v>393.16</v>
      </c>
      <c r="M675" s="8" t="s">
        <v>73</v>
      </c>
      <c r="N675" s="4" t="n">
        <v>1</v>
      </c>
      <c r="O675" s="6" t="n">
        <f aca="false">IF(C675="롱",(J675-E675)/E675,(E675-J675)/E675)</f>
        <v>-0.0135251507015855</v>
      </c>
    </row>
    <row r="676" customFormat="false" ht="17.15" hidden="false" customHeight="false" outlineLevel="0" collapsed="false">
      <c r="A676" s="4" t="n">
        <v>10</v>
      </c>
      <c r="B676" s="4" t="s">
        <v>30</v>
      </c>
      <c r="C676" s="8" t="s">
        <v>72</v>
      </c>
      <c r="D676" s="21" t="n">
        <v>44504</v>
      </c>
      <c r="E676" s="22" t="n">
        <v>391.54</v>
      </c>
      <c r="F676" s="21" t="n">
        <v>44505</v>
      </c>
      <c r="G676" s="22" t="n">
        <v>394.65</v>
      </c>
      <c r="H676" s="22" t="n">
        <v>364.45</v>
      </c>
      <c r="I676" s="21" t="n">
        <v>44505</v>
      </c>
      <c r="J676" s="22" t="n">
        <v>389.86</v>
      </c>
      <c r="K676" s="21" t="n">
        <v>44508</v>
      </c>
      <c r="L676" s="22" t="n">
        <v>390.1</v>
      </c>
      <c r="M676" s="8" t="s">
        <v>73</v>
      </c>
      <c r="N676" s="4" t="n">
        <v>1</v>
      </c>
      <c r="O676" s="6" t="n">
        <f aca="false">IF(C676="롱",(J676-E676)/E676,(E676-J676)/E676)</f>
        <v>-0.00429074934872556</v>
      </c>
    </row>
    <row r="677" customFormat="false" ht="17.15" hidden="false" customHeight="false" outlineLevel="0" collapsed="false">
      <c r="A677" s="4" t="n">
        <v>11</v>
      </c>
      <c r="B677" s="4" t="s">
        <v>32</v>
      </c>
      <c r="C677" s="8" t="s">
        <v>74</v>
      </c>
      <c r="D677" s="21" t="n">
        <v>44505</v>
      </c>
      <c r="E677" s="22" t="n">
        <v>389.86</v>
      </c>
      <c r="F677" s="21" t="n">
        <v>44508</v>
      </c>
      <c r="G677" s="22" t="n">
        <v>390.1</v>
      </c>
      <c r="H677" s="22" t="n">
        <v>417.02</v>
      </c>
      <c r="I677" s="21" t="n">
        <v>44515</v>
      </c>
      <c r="J677" s="22" t="n">
        <v>394.36</v>
      </c>
      <c r="K677" s="21" t="n">
        <v>44516</v>
      </c>
      <c r="L677" s="22" t="n">
        <v>393.94</v>
      </c>
      <c r="M677" s="8" t="s">
        <v>73</v>
      </c>
      <c r="N677" s="4" t="n">
        <v>6</v>
      </c>
      <c r="O677" s="6" t="n">
        <f aca="false">IF(C677="롱",(J677-E677)/E677,(E677-J677)/E677)</f>
        <v>-0.0115426050377058</v>
      </c>
    </row>
    <row r="678" customFormat="false" ht="17.15" hidden="false" customHeight="false" outlineLevel="0" collapsed="false">
      <c r="A678" s="4" t="n">
        <v>8</v>
      </c>
      <c r="B678" s="4" t="s">
        <v>26</v>
      </c>
      <c r="C678" s="8" t="s">
        <v>72</v>
      </c>
      <c r="D678" s="21" t="n">
        <v>44586</v>
      </c>
      <c r="E678" s="22" t="n">
        <v>362.39</v>
      </c>
      <c r="F678" s="21" t="n">
        <v>44587</v>
      </c>
      <c r="G678" s="22" t="n">
        <v>363.72</v>
      </c>
      <c r="H678" s="22" t="n">
        <v>334.06</v>
      </c>
      <c r="I678" s="21" t="n">
        <v>44602</v>
      </c>
      <c r="J678" s="22" t="n">
        <v>371.57</v>
      </c>
      <c r="K678" s="21" t="n">
        <v>44603</v>
      </c>
      <c r="L678" s="22" t="n">
        <v>367.54</v>
      </c>
      <c r="M678" s="8" t="s">
        <v>73</v>
      </c>
      <c r="N678" s="4" t="n">
        <v>9</v>
      </c>
      <c r="O678" s="6" t="n">
        <f aca="false">IF(C678="롱",(J678-E678)/E678,(E678-J678)/E678)</f>
        <v>0.0253318248296035</v>
      </c>
    </row>
    <row r="679" customFormat="false" ht="17.15" hidden="false" customHeight="false" outlineLevel="0" collapsed="false">
      <c r="A679" s="4" t="n">
        <v>11</v>
      </c>
      <c r="B679" s="4" t="s">
        <v>32</v>
      </c>
      <c r="C679" s="8" t="s">
        <v>74</v>
      </c>
      <c r="D679" s="21" t="n">
        <v>44624</v>
      </c>
      <c r="E679" s="22" t="n">
        <v>361.69</v>
      </c>
      <c r="F679" s="21" t="n">
        <v>44627</v>
      </c>
      <c r="G679" s="22" t="n">
        <v>356.59</v>
      </c>
      <c r="H679" s="22" t="n">
        <v>392.77</v>
      </c>
      <c r="I679" s="21" t="n">
        <v>44637</v>
      </c>
      <c r="J679" s="22" t="n">
        <v>361.46</v>
      </c>
      <c r="K679" s="21" t="n">
        <v>44638</v>
      </c>
      <c r="L679" s="22" t="n">
        <v>361.16</v>
      </c>
      <c r="M679" s="8" t="s">
        <v>73</v>
      </c>
      <c r="N679" s="4" t="n">
        <v>8</v>
      </c>
      <c r="O679" s="6" t="n">
        <f aca="false">IF(C679="롱",(J679-E679)/E679,(E679-J679)/E679)</f>
        <v>0.000635903674417369</v>
      </c>
    </row>
    <row r="680" customFormat="false" ht="17.15" hidden="false" customHeight="false" outlineLevel="0" collapsed="false">
      <c r="A680" s="4" t="n">
        <v>5</v>
      </c>
      <c r="B680" s="4" t="s">
        <v>20</v>
      </c>
      <c r="C680" s="8" t="s">
        <v>72</v>
      </c>
      <c r="D680" s="21" t="n">
        <v>44922</v>
      </c>
      <c r="E680" s="22" t="n">
        <v>304.22</v>
      </c>
      <c r="F680" s="21" t="n">
        <v>44923</v>
      </c>
      <c r="G680" s="22" t="n">
        <v>299.36</v>
      </c>
      <c r="H680" s="22" t="n">
        <v>284</v>
      </c>
      <c r="I680" s="21" t="n">
        <v>44923</v>
      </c>
      <c r="J680" s="22" t="n">
        <v>297.09</v>
      </c>
      <c r="K680" s="21" t="n">
        <v>44924</v>
      </c>
      <c r="L680" s="22" t="n">
        <v>294.98</v>
      </c>
      <c r="M680" s="8" t="s">
        <v>73</v>
      </c>
      <c r="N680" s="4" t="n">
        <v>1</v>
      </c>
      <c r="O680" s="6" t="n">
        <f aca="false">IF(C680="롱",(J680-E680)/E680,(E680-J680)/E680)</f>
        <v>-0.0234369863914274</v>
      </c>
    </row>
    <row r="681" customFormat="false" ht="17.15" hidden="false" customHeight="false" outlineLevel="0" collapsed="false">
      <c r="A681" s="4" t="n">
        <v>1</v>
      </c>
      <c r="B681" s="4" t="s">
        <v>12</v>
      </c>
      <c r="C681" s="8" t="s">
        <v>72</v>
      </c>
      <c r="D681" s="21" t="n">
        <v>44935</v>
      </c>
      <c r="E681" s="22" t="n">
        <v>309.69</v>
      </c>
      <c r="F681" s="21" t="n">
        <v>44936</v>
      </c>
      <c r="G681" s="22" t="n">
        <v>308.69</v>
      </c>
      <c r="H681" s="22" t="n">
        <v>285.25</v>
      </c>
      <c r="I681" s="21" t="n">
        <v>44970</v>
      </c>
      <c r="J681" s="22" t="n">
        <v>321.75</v>
      </c>
      <c r="K681" s="21" t="n">
        <v>44971</v>
      </c>
      <c r="L681" s="22" t="n">
        <v>324.5</v>
      </c>
      <c r="M681" s="8" t="s">
        <v>73</v>
      </c>
      <c r="N681" s="4" t="n">
        <v>23</v>
      </c>
      <c r="O681" s="6" t="n">
        <f aca="false">IF(C681="롱",(J681-E681)/E681,(E681-J681)/E681)</f>
        <v>0.0389421679744261</v>
      </c>
    </row>
    <row r="682" customFormat="false" ht="17.15" hidden="false" customHeight="false" outlineLevel="0" collapsed="false">
      <c r="A682" s="4" t="n">
        <v>5</v>
      </c>
      <c r="B682" s="4" t="s">
        <v>20</v>
      </c>
      <c r="C682" s="8" t="s">
        <v>72</v>
      </c>
      <c r="D682" s="21" t="n">
        <v>44935</v>
      </c>
      <c r="E682" s="22" t="n">
        <v>309.69</v>
      </c>
      <c r="F682" s="21" t="n">
        <v>44936</v>
      </c>
      <c r="G682" s="22" t="n">
        <v>308.69</v>
      </c>
      <c r="H682" s="22" t="n">
        <v>285.25</v>
      </c>
      <c r="I682" s="21" t="n">
        <v>44995</v>
      </c>
      <c r="J682" s="22" t="n">
        <v>310.65</v>
      </c>
      <c r="K682" s="21" t="n">
        <v>44998</v>
      </c>
      <c r="L682" s="22" t="n">
        <v>311.77</v>
      </c>
      <c r="M682" s="8" t="s">
        <v>73</v>
      </c>
      <c r="N682" s="4" t="n">
        <v>41</v>
      </c>
      <c r="O682" s="6" t="n">
        <f aca="false">IF(C682="롱",(J682-E682)/E682,(E682-J682)/E682)</f>
        <v>0.00309987406761594</v>
      </c>
    </row>
    <row r="683" customFormat="false" ht="17.15" hidden="false" customHeight="false" outlineLevel="0" collapsed="false">
      <c r="A683" s="4" t="n">
        <v>6</v>
      </c>
      <c r="B683" s="4" t="s">
        <v>22</v>
      </c>
      <c r="C683" s="8" t="s">
        <v>72</v>
      </c>
      <c r="D683" s="21" t="n">
        <v>44935</v>
      </c>
      <c r="E683" s="22" t="n">
        <v>309.69</v>
      </c>
      <c r="F683" s="21" t="n">
        <v>44936</v>
      </c>
      <c r="G683" s="22" t="n">
        <v>308.69</v>
      </c>
      <c r="H683" s="22" t="n">
        <v>285.25</v>
      </c>
      <c r="I683" s="21" t="n">
        <v>44944</v>
      </c>
      <c r="J683" s="22" t="n">
        <v>311.91</v>
      </c>
      <c r="K683" s="21" t="n">
        <v>44945</v>
      </c>
      <c r="L683" s="22" t="n">
        <v>310.08</v>
      </c>
      <c r="M683" s="8" t="s">
        <v>73</v>
      </c>
      <c r="N683" s="4" t="n">
        <v>7</v>
      </c>
      <c r="O683" s="6" t="n">
        <f aca="false">IF(C683="롱",(J683-E683)/E683,(E683-J683)/E683)</f>
        <v>0.0071684587813621</v>
      </c>
    </row>
    <row r="684" customFormat="false" ht="17.15" hidden="false" customHeight="false" outlineLevel="0" collapsed="false">
      <c r="A684" s="4" t="n">
        <v>4</v>
      </c>
      <c r="B684" s="4" t="s">
        <v>18</v>
      </c>
      <c r="C684" s="8" t="s">
        <v>72</v>
      </c>
      <c r="D684" s="21" t="n">
        <v>44936</v>
      </c>
      <c r="E684" s="22" t="n">
        <v>309.57</v>
      </c>
      <c r="F684" s="21" t="n">
        <v>44937</v>
      </c>
      <c r="G684" s="22" t="n">
        <v>311.66</v>
      </c>
      <c r="H684" s="22" t="n">
        <v>284.92</v>
      </c>
      <c r="I684" s="21" t="n">
        <v>44977</v>
      </c>
      <c r="J684" s="22" t="n">
        <v>321.79</v>
      </c>
      <c r="K684" s="21" t="n">
        <v>44978</v>
      </c>
      <c r="L684" s="22" t="n">
        <v>322.16</v>
      </c>
      <c r="M684" s="8" t="s">
        <v>73</v>
      </c>
      <c r="N684" s="4" t="n">
        <v>27</v>
      </c>
      <c r="O684" s="6" t="n">
        <f aca="false">IF(C684="롱",(J684-E684)/E684,(E684-J684)/E684)</f>
        <v>0.0394741092483123</v>
      </c>
    </row>
    <row r="685" customFormat="false" ht="17.15" hidden="false" customHeight="false" outlineLevel="0" collapsed="false">
      <c r="A685" s="4" t="n">
        <v>6</v>
      </c>
      <c r="B685" s="4" t="s">
        <v>22</v>
      </c>
      <c r="C685" s="8" t="s">
        <v>72</v>
      </c>
      <c r="D685" s="21" t="n">
        <v>44951</v>
      </c>
      <c r="E685" s="22" t="n">
        <v>320.76</v>
      </c>
      <c r="F685" s="21" t="n">
        <v>44952</v>
      </c>
      <c r="G685" s="22" t="n">
        <v>321.82</v>
      </c>
      <c r="H685" s="22" t="n">
        <v>296.46</v>
      </c>
      <c r="I685" s="21" t="n">
        <v>44957</v>
      </c>
      <c r="J685" s="22" t="n">
        <v>317.26</v>
      </c>
      <c r="K685" s="21" t="n">
        <v>44958</v>
      </c>
      <c r="L685" s="22" t="n">
        <v>320.54</v>
      </c>
      <c r="M685" s="8" t="s">
        <v>73</v>
      </c>
      <c r="N685" s="4" t="n">
        <v>4</v>
      </c>
      <c r="O685" s="6" t="n">
        <f aca="false">IF(C685="롱",(J685-E685)/E685,(E685-J685)/E685)</f>
        <v>-0.0109115849856591</v>
      </c>
    </row>
    <row r="686" customFormat="false" ht="17.15" hidden="false" customHeight="false" outlineLevel="0" collapsed="false">
      <c r="A686" s="4" t="n">
        <v>6</v>
      </c>
      <c r="B686" s="4" t="s">
        <v>22</v>
      </c>
      <c r="C686" s="8" t="s">
        <v>72</v>
      </c>
      <c r="D686" s="21" t="n">
        <v>44960</v>
      </c>
      <c r="E686" s="22" t="n">
        <v>325.86</v>
      </c>
      <c r="F686" s="21" t="n">
        <v>44963</v>
      </c>
      <c r="G686" s="22" t="n">
        <v>322.9</v>
      </c>
      <c r="H686" s="22" t="n">
        <v>302.13</v>
      </c>
      <c r="I686" s="21" t="n">
        <v>44963</v>
      </c>
      <c r="J686" s="22" t="n">
        <v>318.83</v>
      </c>
      <c r="K686" s="21" t="n">
        <v>44964</v>
      </c>
      <c r="L686" s="22" t="n">
        <v>319.36</v>
      </c>
      <c r="M686" s="8" t="s">
        <v>73</v>
      </c>
      <c r="N686" s="4" t="n">
        <v>1</v>
      </c>
      <c r="O686" s="6" t="n">
        <f aca="false">IF(C686="롱",(J686-E686)/E686,(E686-J686)/E686)</f>
        <v>-0.0215736819493035</v>
      </c>
    </row>
    <row r="687" customFormat="false" ht="17.15" hidden="false" customHeight="false" outlineLevel="0" collapsed="false">
      <c r="A687" s="4" t="n">
        <v>3</v>
      </c>
      <c r="B687" s="4" t="s">
        <v>16</v>
      </c>
      <c r="C687" s="8" t="s">
        <v>72</v>
      </c>
      <c r="D687" s="21" t="n">
        <v>44973</v>
      </c>
      <c r="E687" s="22" t="n">
        <v>324.1</v>
      </c>
      <c r="F687" s="21" t="n">
        <v>44974</v>
      </c>
      <c r="G687" s="22" t="n">
        <v>320.15</v>
      </c>
      <c r="H687" s="22" t="n">
        <v>299.76</v>
      </c>
      <c r="I687" s="21" t="n">
        <v>44984</v>
      </c>
      <c r="J687" s="22" t="n">
        <v>313.94</v>
      </c>
      <c r="K687" s="21" t="n">
        <v>44985</v>
      </c>
      <c r="L687" s="22" t="n">
        <v>315.75</v>
      </c>
      <c r="M687" s="8" t="s">
        <v>73</v>
      </c>
      <c r="N687" s="4" t="n">
        <v>7</v>
      </c>
      <c r="O687" s="6" t="n">
        <f aca="false">IF(C687="롱",(J687-E687)/E687,(E687-J687)/E687)</f>
        <v>-0.0313483492749152</v>
      </c>
    </row>
    <row r="688" customFormat="false" ht="17.15" hidden="false" customHeight="false" outlineLevel="0" collapsed="false">
      <c r="A688" s="4" t="n">
        <v>10</v>
      </c>
      <c r="B688" s="4" t="s">
        <v>30</v>
      </c>
      <c r="C688" s="8" t="s">
        <v>72</v>
      </c>
      <c r="D688" s="21" t="n">
        <v>44973</v>
      </c>
      <c r="E688" s="22" t="n">
        <v>324.1</v>
      </c>
      <c r="F688" s="21" t="n">
        <v>44974</v>
      </c>
      <c r="G688" s="22" t="n">
        <v>320.15</v>
      </c>
      <c r="H688" s="22" t="n">
        <v>299.76</v>
      </c>
      <c r="I688" s="21" t="n">
        <v>44974</v>
      </c>
      <c r="J688" s="22" t="n">
        <v>320.78</v>
      </c>
      <c r="K688" s="21" t="n">
        <v>44977</v>
      </c>
      <c r="L688" s="22" t="n">
        <v>321.07</v>
      </c>
      <c r="M688" s="8" t="s">
        <v>73</v>
      </c>
      <c r="N688" s="4" t="n">
        <v>1</v>
      </c>
      <c r="O688" s="6" t="n">
        <f aca="false">IF(C688="롱",(J688-E688)/E688,(E688-J688)/E688)</f>
        <v>-0.0102437519284173</v>
      </c>
    </row>
    <row r="689" customFormat="false" ht="17.15" hidden="false" customHeight="false" outlineLevel="0" collapsed="false">
      <c r="A689" s="4" t="n">
        <v>3</v>
      </c>
      <c r="B689" s="4" t="s">
        <v>16</v>
      </c>
      <c r="C689" s="8" t="s">
        <v>72</v>
      </c>
      <c r="D689" s="21" t="n">
        <v>44991</v>
      </c>
      <c r="E689" s="22" t="n">
        <v>320.94</v>
      </c>
      <c r="F689" s="21" t="n">
        <v>44992</v>
      </c>
      <c r="G689" s="22" t="n">
        <v>320.04</v>
      </c>
      <c r="H689" s="22" t="n">
        <v>297.81</v>
      </c>
      <c r="I689" s="21" t="n">
        <v>44994</v>
      </c>
      <c r="J689" s="22" t="n">
        <v>314.04</v>
      </c>
      <c r="K689" s="21" t="n">
        <v>44995</v>
      </c>
      <c r="L689" s="22" t="n">
        <v>310.15</v>
      </c>
      <c r="M689" s="8" t="s">
        <v>73</v>
      </c>
      <c r="N689" s="4" t="n">
        <v>3</v>
      </c>
      <c r="O689" s="6" t="n">
        <f aca="false">IF(C689="롱",(J689-E689)/E689,(E689-J689)/E689)</f>
        <v>-0.0214993456720882</v>
      </c>
    </row>
    <row r="690" customFormat="false" ht="17.15" hidden="false" customHeight="false" outlineLevel="0" collapsed="false">
      <c r="A690" s="4" t="n">
        <v>11</v>
      </c>
      <c r="B690" s="4" t="s">
        <v>32</v>
      </c>
      <c r="C690" s="8" t="s">
        <v>74</v>
      </c>
      <c r="D690" s="21" t="n">
        <v>44992</v>
      </c>
      <c r="E690" s="22" t="n">
        <v>319.8</v>
      </c>
      <c r="F690" s="21" t="n">
        <v>44993</v>
      </c>
      <c r="G690" s="22" t="n">
        <v>316.14</v>
      </c>
      <c r="H690" s="22" t="n">
        <v>341.74</v>
      </c>
      <c r="I690" s="21" t="n">
        <v>45008</v>
      </c>
      <c r="J690" s="22" t="n">
        <v>315.75</v>
      </c>
      <c r="K690" s="21" t="n">
        <v>45009</v>
      </c>
      <c r="L690" s="22" t="n">
        <v>315.17</v>
      </c>
      <c r="M690" s="8" t="s">
        <v>73</v>
      </c>
      <c r="N690" s="4" t="n">
        <v>12</v>
      </c>
      <c r="O690" s="6" t="n">
        <f aca="false">IF(C690="롱",(J690-E690)/E690,(E690-J690)/E690)</f>
        <v>0.0126641651031895</v>
      </c>
    </row>
    <row r="691" customFormat="false" ht="17.15" hidden="false" customHeight="false" outlineLevel="0" collapsed="false">
      <c r="A691" s="4" t="n">
        <v>5</v>
      </c>
      <c r="B691" s="4" t="s">
        <v>20</v>
      </c>
      <c r="C691" s="8" t="s">
        <v>72</v>
      </c>
      <c r="D691" s="21" t="n">
        <v>45007</v>
      </c>
      <c r="E691" s="22" t="n">
        <v>314.11</v>
      </c>
      <c r="F691" s="21" t="n">
        <v>45008</v>
      </c>
      <c r="G691" s="22" t="n">
        <v>311.51</v>
      </c>
      <c r="H691" s="22" t="n">
        <v>291.26</v>
      </c>
      <c r="I691" s="21" t="n">
        <v>45012</v>
      </c>
      <c r="J691" s="22" t="n">
        <v>312.85</v>
      </c>
      <c r="K691" s="21" t="n">
        <v>45013</v>
      </c>
      <c r="L691" s="22" t="n">
        <v>314.15</v>
      </c>
      <c r="M691" s="8" t="s">
        <v>73</v>
      </c>
      <c r="N691" s="4" t="n">
        <v>3</v>
      </c>
      <c r="O691" s="6" t="n">
        <f aca="false">IF(C691="롱",(J691-E691)/E691,(E691-J691)/E691)</f>
        <v>-0.00401133360924514</v>
      </c>
    </row>
    <row r="692" customFormat="false" ht="17.15" hidden="false" customHeight="false" outlineLevel="0" collapsed="false">
      <c r="A692" s="4" t="n">
        <v>1</v>
      </c>
      <c r="B692" s="4" t="s">
        <v>12</v>
      </c>
      <c r="C692" s="8" t="s">
        <v>72</v>
      </c>
      <c r="D692" s="21" t="n">
        <v>45008</v>
      </c>
      <c r="E692" s="22" t="n">
        <v>315.75</v>
      </c>
      <c r="F692" s="21" t="n">
        <v>45009</v>
      </c>
      <c r="G692" s="22" t="n">
        <v>315.17</v>
      </c>
      <c r="H692" s="22" t="n">
        <v>293.25</v>
      </c>
      <c r="I692" s="21" t="n">
        <v>45041</v>
      </c>
      <c r="J692" s="22" t="n">
        <v>324.48</v>
      </c>
      <c r="K692" s="21" t="n">
        <v>45042</v>
      </c>
      <c r="L692" s="22" t="n">
        <v>324.57</v>
      </c>
      <c r="M692" s="8" t="s">
        <v>73</v>
      </c>
      <c r="N692" s="4" t="n">
        <v>23</v>
      </c>
      <c r="O692" s="6" t="n">
        <f aca="false">IF(C692="롱",(J692-E692)/E692,(E692-J692)/E692)</f>
        <v>0.0276484560570072</v>
      </c>
    </row>
    <row r="693" customFormat="false" ht="17.15" hidden="false" customHeight="false" outlineLevel="0" collapsed="false">
      <c r="A693" s="4" t="n">
        <v>6</v>
      </c>
      <c r="B693" s="4" t="s">
        <v>22</v>
      </c>
      <c r="C693" s="8" t="s">
        <v>72</v>
      </c>
      <c r="D693" s="21" t="n">
        <v>45008</v>
      </c>
      <c r="E693" s="22" t="n">
        <v>315.75</v>
      </c>
      <c r="F693" s="21" t="n">
        <v>45009</v>
      </c>
      <c r="G693" s="22" t="n">
        <v>315.17</v>
      </c>
      <c r="H693" s="22" t="n">
        <v>293.25</v>
      </c>
      <c r="I693" s="21" t="n">
        <v>45012</v>
      </c>
      <c r="J693" s="22" t="n">
        <v>312.85</v>
      </c>
      <c r="K693" s="21" t="n">
        <v>45013</v>
      </c>
      <c r="L693" s="22" t="n">
        <v>314.15</v>
      </c>
      <c r="M693" s="8" t="s">
        <v>73</v>
      </c>
      <c r="N693" s="4" t="n">
        <v>2</v>
      </c>
      <c r="O693" s="6" t="n">
        <f aca="false">IF(C693="롱",(J693-E693)/E693,(E693-J693)/E693)</f>
        <v>-0.00918448139350745</v>
      </c>
    </row>
    <row r="694" customFormat="false" ht="17.15" hidden="false" customHeight="false" outlineLevel="0" collapsed="false">
      <c r="A694" s="4" t="n">
        <v>4</v>
      </c>
      <c r="B694" s="4" t="s">
        <v>18</v>
      </c>
      <c r="C694" s="8" t="s">
        <v>72</v>
      </c>
      <c r="D694" s="21" t="n">
        <v>45013</v>
      </c>
      <c r="E694" s="22" t="n">
        <v>316.36</v>
      </c>
      <c r="F694" s="21" t="n">
        <v>45014</v>
      </c>
      <c r="G694" s="22" t="n">
        <v>315.68</v>
      </c>
      <c r="H694" s="22" t="n">
        <v>294.98</v>
      </c>
      <c r="I694" s="21" t="n">
        <v>45043</v>
      </c>
      <c r="J694" s="22" t="n">
        <v>325.09</v>
      </c>
      <c r="K694" s="21" t="n">
        <v>45044</v>
      </c>
      <c r="L694" s="22" t="n">
        <v>327.35</v>
      </c>
      <c r="M694" s="8" t="s">
        <v>73</v>
      </c>
      <c r="N694" s="4" t="n">
        <v>22</v>
      </c>
      <c r="O694" s="6" t="n">
        <f aca="false">IF(C694="롱",(J694-E694)/E694,(E694-J694)/E694)</f>
        <v>0.0275951447717789</v>
      </c>
    </row>
    <row r="695" customFormat="false" ht="17.15" hidden="false" customHeight="false" outlineLevel="0" collapsed="false">
      <c r="A695" s="4" t="n">
        <v>5</v>
      </c>
      <c r="B695" s="4" t="s">
        <v>20</v>
      </c>
      <c r="C695" s="8" t="s">
        <v>72</v>
      </c>
      <c r="D695" s="21" t="n">
        <v>45013</v>
      </c>
      <c r="E695" s="22" t="n">
        <v>316.36</v>
      </c>
      <c r="F695" s="21" t="n">
        <v>45014</v>
      </c>
      <c r="G695" s="22" t="n">
        <v>315.68</v>
      </c>
      <c r="H695" s="22" t="n">
        <v>294.98</v>
      </c>
      <c r="I695" s="21" t="n">
        <v>45114</v>
      </c>
      <c r="J695" s="22" t="n">
        <v>331.57</v>
      </c>
      <c r="K695" s="21" t="n">
        <v>45117</v>
      </c>
      <c r="L695" s="22" t="n">
        <v>331.82</v>
      </c>
      <c r="M695" s="8" t="s">
        <v>73</v>
      </c>
      <c r="N695" s="4" t="n">
        <v>69</v>
      </c>
      <c r="O695" s="6" t="n">
        <f aca="false">IF(C695="롱",(J695-E695)/E695,(E695-J695)/E695)</f>
        <v>0.0480781388291819</v>
      </c>
    </row>
    <row r="696" customFormat="false" ht="17.15" hidden="false" customHeight="false" outlineLevel="0" collapsed="false">
      <c r="A696" s="4" t="n">
        <v>6</v>
      </c>
      <c r="B696" s="4" t="s">
        <v>22</v>
      </c>
      <c r="C696" s="8" t="s">
        <v>72</v>
      </c>
      <c r="D696" s="21" t="n">
        <v>45015</v>
      </c>
      <c r="E696" s="22" t="n">
        <v>318.05</v>
      </c>
      <c r="F696" s="21" t="n">
        <v>45016</v>
      </c>
      <c r="G696" s="22" t="n">
        <v>319.6</v>
      </c>
      <c r="H696" s="22" t="n">
        <v>297.53</v>
      </c>
      <c r="I696" s="21" t="n">
        <v>45022</v>
      </c>
      <c r="J696" s="22" t="n">
        <v>317.82</v>
      </c>
      <c r="K696" s="21" t="n">
        <v>45023</v>
      </c>
      <c r="L696" s="22" t="n">
        <v>321.29</v>
      </c>
      <c r="M696" s="8" t="s">
        <v>73</v>
      </c>
      <c r="N696" s="4" t="n">
        <v>5</v>
      </c>
      <c r="O696" s="6" t="n">
        <f aca="false">IF(C696="롱",(J696-E696)/E696,(E696-J696)/E696)</f>
        <v>-0.000723156736362264</v>
      </c>
    </row>
    <row r="697" customFormat="false" ht="17.15" hidden="false" customHeight="false" outlineLevel="0" collapsed="false">
      <c r="A697" s="4" t="n">
        <v>6</v>
      </c>
      <c r="B697" s="4" t="s">
        <v>22</v>
      </c>
      <c r="C697" s="8" t="s">
        <v>72</v>
      </c>
      <c r="D697" s="21" t="n">
        <v>45027</v>
      </c>
      <c r="E697" s="22" t="n">
        <v>330.87</v>
      </c>
      <c r="F697" s="21" t="n">
        <v>45028</v>
      </c>
      <c r="G697" s="22" t="n">
        <v>330.88</v>
      </c>
      <c r="H697" s="22" t="n">
        <v>310.88</v>
      </c>
      <c r="I697" s="21" t="n">
        <v>45036</v>
      </c>
      <c r="J697" s="22" t="n">
        <v>332.66</v>
      </c>
      <c r="K697" s="21" t="n">
        <v>45037</v>
      </c>
      <c r="L697" s="22" t="n">
        <v>332.08</v>
      </c>
      <c r="M697" s="8" t="s">
        <v>73</v>
      </c>
      <c r="N697" s="4" t="n">
        <v>7</v>
      </c>
      <c r="O697" s="6" t="n">
        <f aca="false">IF(C697="롱",(J697-E697)/E697,(E697-J697)/E697)</f>
        <v>0.00540997975035519</v>
      </c>
    </row>
    <row r="698" customFormat="false" ht="17.15" hidden="false" customHeight="false" outlineLevel="0" collapsed="false">
      <c r="A698" s="4" t="n">
        <v>3</v>
      </c>
      <c r="B698" s="4" t="s">
        <v>16</v>
      </c>
      <c r="C698" s="8" t="s">
        <v>72</v>
      </c>
      <c r="D698" s="21" t="n">
        <v>45044</v>
      </c>
      <c r="E698" s="22" t="n">
        <v>326.46</v>
      </c>
      <c r="F698" s="21" t="n">
        <v>45048</v>
      </c>
      <c r="G698" s="22" t="n">
        <v>326.99</v>
      </c>
      <c r="H698" s="22" t="n">
        <v>307.78</v>
      </c>
      <c r="I698" s="21" t="n">
        <v>45106</v>
      </c>
      <c r="J698" s="22" t="n">
        <v>336.39</v>
      </c>
      <c r="K698" s="21" t="n">
        <v>45107</v>
      </c>
      <c r="L698" s="22" t="n">
        <v>337.56</v>
      </c>
      <c r="M698" s="8" t="s">
        <v>73</v>
      </c>
      <c r="N698" s="4" t="n">
        <v>40</v>
      </c>
      <c r="O698" s="6" t="n">
        <f aca="false">IF(C698="롱",(J698-E698)/E698,(E698-J698)/E698)</f>
        <v>0.0304172027200882</v>
      </c>
    </row>
    <row r="699" customFormat="false" ht="17.15" hidden="false" customHeight="false" outlineLevel="0" collapsed="false">
      <c r="A699" s="4" t="n">
        <v>11</v>
      </c>
      <c r="B699" s="4" t="s">
        <v>32</v>
      </c>
      <c r="C699" s="8" t="s">
        <v>74</v>
      </c>
      <c r="D699" s="21" t="n">
        <v>45049</v>
      </c>
      <c r="E699" s="22" t="n">
        <v>326.52</v>
      </c>
      <c r="F699" s="21" t="n">
        <v>45050</v>
      </c>
      <c r="G699" s="22" t="n">
        <v>325.75</v>
      </c>
      <c r="H699" s="22" t="n">
        <v>345.25</v>
      </c>
      <c r="I699" s="21" t="n">
        <v>45054</v>
      </c>
      <c r="J699" s="22" t="n">
        <v>328.9</v>
      </c>
      <c r="K699" s="21" t="n">
        <v>45055</v>
      </c>
      <c r="L699" s="22" t="n">
        <v>328.68</v>
      </c>
      <c r="M699" s="8" t="s">
        <v>73</v>
      </c>
      <c r="N699" s="4" t="n">
        <v>2</v>
      </c>
      <c r="O699" s="6" t="n">
        <f aca="false">IF(C699="롱",(J699-E699)/E699,(E699-J699)/E699)</f>
        <v>-0.00728898689207398</v>
      </c>
    </row>
    <row r="700" customFormat="false" ht="17.15" hidden="false" customHeight="false" outlineLevel="0" collapsed="false">
      <c r="A700" s="4" t="n">
        <v>11</v>
      </c>
      <c r="B700" s="4" t="s">
        <v>32</v>
      </c>
      <c r="C700" s="8" t="s">
        <v>74</v>
      </c>
      <c r="D700" s="21" t="n">
        <v>45055</v>
      </c>
      <c r="E700" s="22" t="n">
        <v>328.22</v>
      </c>
      <c r="F700" s="21" t="n">
        <v>45056</v>
      </c>
      <c r="G700" s="22" t="n">
        <v>327.73</v>
      </c>
      <c r="H700" s="22" t="n">
        <v>345.4</v>
      </c>
      <c r="I700" s="21" t="n">
        <v>45064</v>
      </c>
      <c r="J700" s="22" t="n">
        <v>329.84</v>
      </c>
      <c r="K700" s="21" t="n">
        <v>45065</v>
      </c>
      <c r="L700" s="22" t="n">
        <v>332.67</v>
      </c>
      <c r="M700" s="8" t="s">
        <v>73</v>
      </c>
      <c r="N700" s="4" t="n">
        <v>7</v>
      </c>
      <c r="O700" s="6" t="n">
        <f aca="false">IF(C700="롱",(J700-E700)/E700,(E700-J700)/E700)</f>
        <v>-0.00493571385046599</v>
      </c>
    </row>
    <row r="701" customFormat="false" ht="17.15" hidden="false" customHeight="false" outlineLevel="0" collapsed="false">
      <c r="A701" s="4" t="n">
        <v>1</v>
      </c>
      <c r="B701" s="4" t="s">
        <v>12</v>
      </c>
      <c r="C701" s="8" t="s">
        <v>72</v>
      </c>
      <c r="D701" s="21" t="n">
        <v>45065</v>
      </c>
      <c r="E701" s="22" t="n">
        <v>334.23</v>
      </c>
      <c r="F701" s="21" t="n">
        <v>45068</v>
      </c>
      <c r="G701" s="22" t="n">
        <v>334.5</v>
      </c>
      <c r="H701" s="22" t="n">
        <v>317.6</v>
      </c>
      <c r="I701" s="21" t="n">
        <v>45093</v>
      </c>
      <c r="J701" s="22" t="n">
        <v>345.17</v>
      </c>
      <c r="K701" s="21" t="n">
        <v>45096</v>
      </c>
      <c r="L701" s="22" t="n">
        <v>344.36</v>
      </c>
      <c r="M701" s="8" t="s">
        <v>73</v>
      </c>
      <c r="N701" s="4" t="n">
        <v>18</v>
      </c>
      <c r="O701" s="6" t="n">
        <f aca="false">IF(C701="롱",(J701-E701)/E701,(E701-J701)/E701)</f>
        <v>0.032731951051671</v>
      </c>
    </row>
    <row r="702" customFormat="false" ht="17.15" hidden="false" customHeight="false" outlineLevel="0" collapsed="false">
      <c r="A702" s="4" t="n">
        <v>4</v>
      </c>
      <c r="B702" s="4" t="s">
        <v>18</v>
      </c>
      <c r="C702" s="8" t="s">
        <v>72</v>
      </c>
      <c r="D702" s="21" t="n">
        <v>45065</v>
      </c>
      <c r="E702" s="22" t="n">
        <v>334.23</v>
      </c>
      <c r="F702" s="21" t="n">
        <v>45068</v>
      </c>
      <c r="G702" s="22" t="n">
        <v>334.5</v>
      </c>
      <c r="H702" s="22" t="n">
        <v>317.6</v>
      </c>
      <c r="I702" s="21" t="n">
        <v>45100</v>
      </c>
      <c r="J702" s="22" t="n">
        <v>338.45</v>
      </c>
      <c r="K702" s="21" t="n">
        <v>45103</v>
      </c>
      <c r="L702" s="22" t="n">
        <v>338.38</v>
      </c>
      <c r="M702" s="8" t="s">
        <v>73</v>
      </c>
      <c r="N702" s="4" t="n">
        <v>23</v>
      </c>
      <c r="O702" s="6" t="n">
        <f aca="false">IF(C702="롱",(J702-E702)/E702,(E702-J702)/E702)</f>
        <v>0.0126260359632587</v>
      </c>
    </row>
    <row r="703" customFormat="false" ht="17.15" hidden="false" customHeight="false" outlineLevel="0" collapsed="false">
      <c r="A703" s="4" t="n">
        <v>6</v>
      </c>
      <c r="B703" s="4" t="s">
        <v>22</v>
      </c>
      <c r="C703" s="8" t="s">
        <v>72</v>
      </c>
      <c r="D703" s="21" t="n">
        <v>45065</v>
      </c>
      <c r="E703" s="22" t="n">
        <v>334.23</v>
      </c>
      <c r="F703" s="21" t="n">
        <v>45068</v>
      </c>
      <c r="G703" s="22" t="n">
        <v>334.5</v>
      </c>
      <c r="H703" s="22" t="n">
        <v>317.6</v>
      </c>
      <c r="I703" s="21" t="n">
        <v>45071</v>
      </c>
      <c r="J703" s="22" t="n">
        <v>335.35</v>
      </c>
      <c r="K703" s="21" t="n">
        <v>45072</v>
      </c>
      <c r="L703" s="22" t="n">
        <v>336.87</v>
      </c>
      <c r="M703" s="8" t="s">
        <v>73</v>
      </c>
      <c r="N703" s="4" t="n">
        <v>4</v>
      </c>
      <c r="O703" s="6" t="n">
        <f aca="false">IF(C703="롱",(J703-E703)/E703,(E703-J703)/E703)</f>
        <v>0.00335098584806871</v>
      </c>
    </row>
    <row r="704" customFormat="false" ht="17.15" hidden="false" customHeight="false" outlineLevel="0" collapsed="false">
      <c r="A704" s="4" t="n">
        <v>2</v>
      </c>
      <c r="B704" s="4" t="s">
        <v>14</v>
      </c>
      <c r="C704" s="8" t="s">
        <v>72</v>
      </c>
      <c r="D704" s="21" t="n">
        <v>45106</v>
      </c>
      <c r="E704" s="22" t="n">
        <v>336.39</v>
      </c>
      <c r="F704" s="21" t="n">
        <v>45107</v>
      </c>
      <c r="G704" s="22" t="n">
        <v>337.56</v>
      </c>
      <c r="H704" s="22" t="n">
        <v>320.23</v>
      </c>
      <c r="I704" s="21" t="n">
        <v>45121</v>
      </c>
      <c r="J704" s="22" t="n">
        <v>346.93</v>
      </c>
      <c r="K704" s="21" t="n">
        <v>45124</v>
      </c>
      <c r="L704" s="22" t="n">
        <v>345.38</v>
      </c>
      <c r="M704" s="8" t="s">
        <v>73</v>
      </c>
      <c r="N704" s="4" t="n">
        <v>11</v>
      </c>
      <c r="O704" s="6" t="n">
        <f aca="false">IF(C704="롱",(J704-E704)/E704,(E704-J704)/E704)</f>
        <v>0.031332679330539</v>
      </c>
    </row>
    <row r="705" customFormat="false" ht="17.15" hidden="false" customHeight="false" outlineLevel="0" collapsed="false">
      <c r="A705" s="4" t="n">
        <v>3</v>
      </c>
      <c r="B705" s="4" t="s">
        <v>16</v>
      </c>
      <c r="C705" s="8" t="s">
        <v>72</v>
      </c>
      <c r="D705" s="21" t="n">
        <v>45110</v>
      </c>
      <c r="E705" s="22" t="n">
        <v>343.08</v>
      </c>
      <c r="F705" s="21" t="n">
        <v>45111</v>
      </c>
      <c r="G705" s="22" t="n">
        <v>343.54</v>
      </c>
      <c r="H705" s="22" t="n">
        <v>326.28</v>
      </c>
      <c r="I705" s="21" t="n">
        <v>45113</v>
      </c>
      <c r="J705" s="22" t="n">
        <v>336.2</v>
      </c>
      <c r="K705" s="21" t="n">
        <v>45114</v>
      </c>
      <c r="L705" s="22" t="n">
        <v>334.79</v>
      </c>
      <c r="M705" s="8" t="s">
        <v>73</v>
      </c>
      <c r="N705" s="4" t="n">
        <v>3</v>
      </c>
      <c r="O705" s="6" t="n">
        <f aca="false">IF(C705="롱",(J705-E705)/E705,(E705-J705)/E705)</f>
        <v>-0.0200536318059928</v>
      </c>
    </row>
    <row r="706" customFormat="false" ht="17.15" hidden="false" customHeight="false" outlineLevel="0" collapsed="false">
      <c r="A706" s="4" t="n">
        <v>7</v>
      </c>
      <c r="B706" s="4" t="s">
        <v>24</v>
      </c>
      <c r="C706" s="8" t="s">
        <v>72</v>
      </c>
      <c r="D706" s="21" t="n">
        <v>45117</v>
      </c>
      <c r="E706" s="22" t="n">
        <v>330.84</v>
      </c>
      <c r="F706" s="21" t="n">
        <v>45118</v>
      </c>
      <c r="G706" s="22" t="n">
        <v>333.47</v>
      </c>
      <c r="H706" s="22" t="n">
        <v>313.5</v>
      </c>
      <c r="I706" s="21" t="n">
        <v>45121</v>
      </c>
      <c r="J706" s="22" t="n">
        <v>346.93</v>
      </c>
      <c r="K706" s="21" t="n">
        <v>45124</v>
      </c>
      <c r="L706" s="22" t="n">
        <v>345.38</v>
      </c>
      <c r="M706" s="8" t="s">
        <v>73</v>
      </c>
      <c r="N706" s="4" t="n">
        <v>4</v>
      </c>
      <c r="O706" s="6" t="n">
        <f aca="false">IF(C706="롱",(J706-E706)/E706,(E706-J706)/E706)</f>
        <v>0.0486337806794826</v>
      </c>
    </row>
    <row r="707" customFormat="false" ht="17.15" hidden="false" customHeight="false" outlineLevel="0" collapsed="false">
      <c r="A707" s="4" t="n">
        <v>5</v>
      </c>
      <c r="B707" s="4" t="s">
        <v>20</v>
      </c>
      <c r="C707" s="8" t="s">
        <v>72</v>
      </c>
      <c r="D707" s="21" t="n">
        <v>45118</v>
      </c>
      <c r="E707" s="22" t="n">
        <v>337.02</v>
      </c>
      <c r="F707" s="21" t="n">
        <v>45119</v>
      </c>
      <c r="G707" s="22" t="n">
        <v>336.82</v>
      </c>
      <c r="H707" s="22" t="n">
        <v>318.86</v>
      </c>
      <c r="I707" s="21" t="n">
        <v>45146</v>
      </c>
      <c r="J707" s="22" t="n">
        <v>337.95</v>
      </c>
      <c r="K707" s="21" t="n">
        <v>45147</v>
      </c>
      <c r="L707" s="22" t="n">
        <v>339</v>
      </c>
      <c r="M707" s="8" t="s">
        <v>73</v>
      </c>
      <c r="N707" s="4" t="n">
        <v>20</v>
      </c>
      <c r="O707" s="6" t="n">
        <f aca="false">IF(C707="롱",(J707-E707)/E707,(E707-J707)/E707)</f>
        <v>0.00275948014954604</v>
      </c>
    </row>
    <row r="708" customFormat="false" ht="17.15" hidden="false" customHeight="false" outlineLevel="0" collapsed="false">
      <c r="A708" s="4" t="n">
        <v>3</v>
      </c>
      <c r="B708" s="4" t="s">
        <v>16</v>
      </c>
      <c r="C708" s="8" t="s">
        <v>72</v>
      </c>
      <c r="D708" s="21" t="n">
        <v>45119</v>
      </c>
      <c r="E708" s="22" t="n">
        <v>339.46</v>
      </c>
      <c r="F708" s="21" t="n">
        <v>45120</v>
      </c>
      <c r="G708" s="22" t="n">
        <v>341.6</v>
      </c>
      <c r="H708" s="22" t="n">
        <v>321.27</v>
      </c>
      <c r="I708" s="21" t="n">
        <v>45146</v>
      </c>
      <c r="J708" s="22" t="n">
        <v>337.95</v>
      </c>
      <c r="K708" s="21" t="n">
        <v>45147</v>
      </c>
      <c r="L708" s="22" t="n">
        <v>339</v>
      </c>
      <c r="M708" s="8" t="s">
        <v>73</v>
      </c>
      <c r="N708" s="4" t="n">
        <v>19</v>
      </c>
      <c r="O708" s="6" t="n">
        <f aca="false">IF(C708="롱",(J708-E708)/E708,(E708-J708)/E708)</f>
        <v>-0.00444824132445646</v>
      </c>
    </row>
    <row r="709" customFormat="false" ht="17.15" hidden="false" customHeight="false" outlineLevel="0" collapsed="false">
      <c r="A709" s="4" t="n">
        <v>1</v>
      </c>
      <c r="B709" s="4" t="s">
        <v>12</v>
      </c>
      <c r="C709" s="8" t="s">
        <v>72</v>
      </c>
      <c r="D709" s="21" t="n">
        <v>45121</v>
      </c>
      <c r="E709" s="22" t="n">
        <v>346.93</v>
      </c>
      <c r="F709" s="21" t="n">
        <v>45124</v>
      </c>
      <c r="G709" s="22" t="n">
        <v>345.38</v>
      </c>
      <c r="H709" s="22" t="n">
        <v>327.92</v>
      </c>
      <c r="I709" s="21" t="n">
        <v>45141</v>
      </c>
      <c r="J709" s="22" t="n">
        <v>341.54</v>
      </c>
      <c r="K709" s="21" t="n">
        <v>45142</v>
      </c>
      <c r="L709" s="22" t="n">
        <v>341.6</v>
      </c>
      <c r="M709" s="8" t="s">
        <v>73</v>
      </c>
      <c r="N709" s="4" t="n">
        <v>14</v>
      </c>
      <c r="O709" s="6" t="n">
        <f aca="false">IF(C709="롱",(J709-E709)/E709,(E709-J709)/E709)</f>
        <v>-0.0155362753293171</v>
      </c>
    </row>
    <row r="710" customFormat="false" ht="17.15" hidden="false" customHeight="false" outlineLevel="0" collapsed="false">
      <c r="A710" s="4" t="n">
        <v>6</v>
      </c>
      <c r="B710" s="4" t="s">
        <v>22</v>
      </c>
      <c r="C710" s="8" t="s">
        <v>72</v>
      </c>
      <c r="D710" s="21" t="n">
        <v>45121</v>
      </c>
      <c r="E710" s="22" t="n">
        <v>346.93</v>
      </c>
      <c r="F710" s="21" t="n">
        <v>45124</v>
      </c>
      <c r="G710" s="22" t="n">
        <v>345.38</v>
      </c>
      <c r="H710" s="22" t="n">
        <v>327.92</v>
      </c>
      <c r="I710" s="21" t="n">
        <v>45126</v>
      </c>
      <c r="J710" s="22" t="n">
        <v>343.11</v>
      </c>
      <c r="K710" s="21" t="n">
        <v>45127</v>
      </c>
      <c r="L710" s="22" t="n">
        <v>341.37</v>
      </c>
      <c r="M710" s="8" t="s">
        <v>73</v>
      </c>
      <c r="N710" s="4" t="n">
        <v>3</v>
      </c>
      <c r="O710" s="6" t="n">
        <f aca="false">IF(C710="롱",(J710-E710)/E710,(E710-J710)/E710)</f>
        <v>-0.011010866745453</v>
      </c>
    </row>
    <row r="711" customFormat="false" ht="17.15" hidden="false" customHeight="false" outlineLevel="0" collapsed="false">
      <c r="A711" s="4" t="n">
        <v>4</v>
      </c>
      <c r="B711" s="4" t="s">
        <v>18</v>
      </c>
      <c r="C711" s="8" t="s">
        <v>72</v>
      </c>
      <c r="D711" s="21" t="n">
        <v>45124</v>
      </c>
      <c r="E711" s="22" t="n">
        <v>345.75</v>
      </c>
      <c r="F711" s="21" t="n">
        <v>45125</v>
      </c>
      <c r="G711" s="22" t="n">
        <v>346.49</v>
      </c>
      <c r="H711" s="22" t="n">
        <v>326.98</v>
      </c>
      <c r="I711" s="21" t="n">
        <v>45146</v>
      </c>
      <c r="J711" s="22" t="n">
        <v>337.95</v>
      </c>
      <c r="K711" s="21" t="n">
        <v>45147</v>
      </c>
      <c r="L711" s="22" t="n">
        <v>339</v>
      </c>
      <c r="M711" s="8" t="s">
        <v>73</v>
      </c>
      <c r="N711" s="4" t="n">
        <v>16</v>
      </c>
      <c r="O711" s="6" t="n">
        <f aca="false">IF(C711="롱",(J711-E711)/E711,(E711-J711)/E711)</f>
        <v>-0.0225596529284165</v>
      </c>
    </row>
    <row r="712" customFormat="false" ht="17.15" hidden="false" customHeight="false" outlineLevel="0" collapsed="false">
      <c r="A712" s="4" t="n">
        <v>6</v>
      </c>
      <c r="B712" s="4" t="s">
        <v>22</v>
      </c>
      <c r="C712" s="8" t="s">
        <v>72</v>
      </c>
      <c r="D712" s="21" t="n">
        <v>45132</v>
      </c>
      <c r="E712" s="22" t="n">
        <v>344.92</v>
      </c>
      <c r="F712" s="21" t="n">
        <v>45133</v>
      </c>
      <c r="G712" s="22" t="n">
        <v>345.18</v>
      </c>
      <c r="H712" s="22" t="n">
        <v>324.52</v>
      </c>
      <c r="I712" s="21" t="n">
        <v>45133</v>
      </c>
      <c r="J712" s="22" t="n">
        <v>340.56</v>
      </c>
      <c r="K712" s="21" t="n">
        <v>45134</v>
      </c>
      <c r="L712" s="22" t="n">
        <v>341.64</v>
      </c>
      <c r="M712" s="8" t="s">
        <v>73</v>
      </c>
      <c r="N712" s="4" t="n">
        <v>1</v>
      </c>
      <c r="O712" s="6" t="n">
        <f aca="false">IF(C712="롱",(J712-E712)/E712,(E712-J712)/E712)</f>
        <v>-0.0126406123158994</v>
      </c>
    </row>
    <row r="713" customFormat="false" ht="17.15" hidden="false" customHeight="false" outlineLevel="0" collapsed="false">
      <c r="A713" s="4" t="n">
        <v>5</v>
      </c>
      <c r="B713" s="4" t="s">
        <v>20</v>
      </c>
      <c r="C713" s="8" t="s">
        <v>72</v>
      </c>
      <c r="D713" s="21" t="n">
        <v>45147</v>
      </c>
      <c r="E713" s="22" t="n">
        <v>341.61</v>
      </c>
      <c r="F713" s="21" t="n">
        <v>45148</v>
      </c>
      <c r="G713" s="22" t="n">
        <v>339.69</v>
      </c>
      <c r="H713" s="22" t="n">
        <v>319.84</v>
      </c>
      <c r="I713" s="21" t="n">
        <v>45149</v>
      </c>
      <c r="J713" s="22" t="n">
        <v>338.98</v>
      </c>
      <c r="K713" s="21" t="n">
        <v>45152</v>
      </c>
      <c r="L713" s="22" t="n">
        <v>338.58</v>
      </c>
      <c r="M713" s="8" t="s">
        <v>73</v>
      </c>
      <c r="N713" s="4" t="n">
        <v>2</v>
      </c>
      <c r="O713" s="6" t="n">
        <f aca="false">IF(C713="롱",(J713-E713)/E713,(E713-J713)/E713)</f>
        <v>-0.00769883785603465</v>
      </c>
    </row>
    <row r="714" customFormat="false" ht="17.15" hidden="false" customHeight="false" outlineLevel="0" collapsed="false">
      <c r="A714" s="4" t="n">
        <v>2</v>
      </c>
      <c r="B714" s="4" t="s">
        <v>14</v>
      </c>
      <c r="C714" s="8" t="s">
        <v>72</v>
      </c>
      <c r="D714" s="21" t="n">
        <v>45152</v>
      </c>
      <c r="E714" s="22" t="n">
        <v>336.33</v>
      </c>
      <c r="F714" s="21" t="n">
        <v>45154</v>
      </c>
      <c r="G714" s="22" t="n">
        <v>333.69</v>
      </c>
      <c r="H714" s="22" t="n">
        <v>314.71</v>
      </c>
      <c r="I714" s="21" t="n">
        <v>45168</v>
      </c>
      <c r="J714" s="22" t="n">
        <v>334.94</v>
      </c>
      <c r="K714" s="21" t="n">
        <v>45169</v>
      </c>
      <c r="L714" s="22" t="n">
        <v>335.38</v>
      </c>
      <c r="M714" s="8" t="s">
        <v>73</v>
      </c>
      <c r="N714" s="4" t="n">
        <v>11</v>
      </c>
      <c r="O714" s="6" t="n">
        <f aca="false">IF(C714="롱",(J714-E714)/E714,(E714-J714)/E714)</f>
        <v>-0.00413284571700409</v>
      </c>
    </row>
    <row r="715" customFormat="false" ht="17.15" hidden="false" customHeight="false" outlineLevel="0" collapsed="false">
      <c r="A715" s="4" t="n">
        <v>7</v>
      </c>
      <c r="B715" s="4" t="s">
        <v>24</v>
      </c>
      <c r="C715" s="8" t="s">
        <v>72</v>
      </c>
      <c r="D715" s="21" t="n">
        <v>45154</v>
      </c>
      <c r="E715" s="22" t="n">
        <v>331.28</v>
      </c>
      <c r="F715" s="21" t="n">
        <v>45155</v>
      </c>
      <c r="G715" s="22" t="n">
        <v>329.63</v>
      </c>
      <c r="H715" s="22" t="n">
        <v>309.23</v>
      </c>
      <c r="I715" s="21" t="n">
        <v>45155</v>
      </c>
      <c r="J715" s="22" t="n">
        <v>330.23</v>
      </c>
      <c r="K715" s="21" t="n">
        <v>45156</v>
      </c>
      <c r="L715" s="22" t="n">
        <v>326.9</v>
      </c>
      <c r="M715" s="8" t="s">
        <v>73</v>
      </c>
      <c r="N715" s="4" t="n">
        <v>1</v>
      </c>
      <c r="O715" s="6" t="n">
        <f aca="false">IF(C715="롱",(J715-E715)/E715,(E715-J715)/E715)</f>
        <v>-0.00316952426949998</v>
      </c>
    </row>
    <row r="716" customFormat="false" ht="17.15" hidden="false" customHeight="false" outlineLevel="0" collapsed="false">
      <c r="A716" s="4" t="n">
        <v>7</v>
      </c>
      <c r="B716" s="4" t="s">
        <v>24</v>
      </c>
      <c r="C716" s="8" t="s">
        <v>72</v>
      </c>
      <c r="D716" s="21" t="n">
        <v>45156</v>
      </c>
      <c r="E716" s="22" t="n">
        <v>328.42</v>
      </c>
      <c r="F716" s="21" t="n">
        <v>45159</v>
      </c>
      <c r="G716" s="22" t="n">
        <v>329.45</v>
      </c>
      <c r="H716" s="22" t="n">
        <v>305.53</v>
      </c>
      <c r="I716" s="21" t="n">
        <v>45168</v>
      </c>
      <c r="J716" s="22" t="n">
        <v>334.94</v>
      </c>
      <c r="K716" s="21" t="n">
        <v>45169</v>
      </c>
      <c r="L716" s="22" t="n">
        <v>335.38</v>
      </c>
      <c r="M716" s="8" t="s">
        <v>73</v>
      </c>
      <c r="N716" s="4" t="n">
        <v>8</v>
      </c>
      <c r="O716" s="6" t="n">
        <f aca="false">IF(C716="롱",(J716-E716)/E716,(E716-J716)/E716)</f>
        <v>0.0198526277327811</v>
      </c>
    </row>
    <row r="717" customFormat="false" ht="17.15" hidden="false" customHeight="false" outlineLevel="0" collapsed="false">
      <c r="A717" s="4" t="n">
        <v>1</v>
      </c>
      <c r="B717" s="4" t="s">
        <v>12</v>
      </c>
      <c r="C717" s="8" t="s">
        <v>72</v>
      </c>
      <c r="D717" s="21" t="n">
        <v>45168</v>
      </c>
      <c r="E717" s="22" t="n">
        <v>334.94</v>
      </c>
      <c r="F717" s="21" t="n">
        <v>45169</v>
      </c>
      <c r="G717" s="22" t="n">
        <v>335.38</v>
      </c>
      <c r="H717" s="22" t="n">
        <v>314.35</v>
      </c>
      <c r="I717" s="21" t="n">
        <v>45190</v>
      </c>
      <c r="J717" s="22" t="n">
        <v>333.04</v>
      </c>
      <c r="K717" s="21" t="n">
        <v>45191</v>
      </c>
      <c r="L717" s="22" t="n">
        <v>329.9</v>
      </c>
      <c r="M717" s="8" t="s">
        <v>73</v>
      </c>
      <c r="N717" s="4" t="n">
        <v>16</v>
      </c>
      <c r="O717" s="6" t="n">
        <f aca="false">IF(C717="롱",(J717-E717)/E717,(E717-J717)/E717)</f>
        <v>-0.00567265778945476</v>
      </c>
    </row>
    <row r="718" customFormat="false" ht="17.15" hidden="false" customHeight="false" outlineLevel="0" collapsed="false">
      <c r="A718" s="4" t="n">
        <v>6</v>
      </c>
      <c r="B718" s="4" t="s">
        <v>22</v>
      </c>
      <c r="C718" s="8" t="s">
        <v>72</v>
      </c>
      <c r="D718" s="21" t="n">
        <v>45168</v>
      </c>
      <c r="E718" s="22" t="n">
        <v>334.94</v>
      </c>
      <c r="F718" s="21" t="n">
        <v>45169</v>
      </c>
      <c r="G718" s="22" t="n">
        <v>335.38</v>
      </c>
      <c r="H718" s="22" t="n">
        <v>314.35</v>
      </c>
      <c r="I718" s="21" t="n">
        <v>45175</v>
      </c>
      <c r="J718" s="22" t="n">
        <v>337.85</v>
      </c>
      <c r="K718" s="21" t="n">
        <v>45176</v>
      </c>
      <c r="L718" s="22" t="n">
        <v>336.93</v>
      </c>
      <c r="M718" s="8" t="s">
        <v>73</v>
      </c>
      <c r="N718" s="4" t="n">
        <v>5</v>
      </c>
      <c r="O718" s="6" t="n">
        <f aca="false">IF(C718="롱",(J718-E718)/E718,(E718-J718)/E718)</f>
        <v>0.00868812324595457</v>
      </c>
    </row>
    <row r="719" customFormat="false" ht="17.15" hidden="false" customHeight="false" outlineLevel="0" collapsed="false">
      <c r="A719" s="4" t="n">
        <v>4</v>
      </c>
      <c r="B719" s="4" t="s">
        <v>18</v>
      </c>
      <c r="C719" s="8" t="s">
        <v>72</v>
      </c>
      <c r="D719" s="21" t="n">
        <v>45173</v>
      </c>
      <c r="E719" s="22" t="n">
        <v>341.02</v>
      </c>
      <c r="F719" s="21" t="n">
        <v>45174</v>
      </c>
      <c r="G719" s="22" t="n">
        <v>340.15</v>
      </c>
      <c r="H719" s="22" t="n">
        <v>321.39</v>
      </c>
      <c r="I719" s="21" t="n">
        <v>45191</v>
      </c>
      <c r="J719" s="22" t="n">
        <v>332.02</v>
      </c>
      <c r="K719" s="21" t="n">
        <v>45194</v>
      </c>
      <c r="L719" s="22" t="n">
        <v>331.4</v>
      </c>
      <c r="M719" s="8" t="s">
        <v>73</v>
      </c>
      <c r="N719" s="4" t="n">
        <v>14</v>
      </c>
      <c r="O719" s="6" t="n">
        <f aca="false">IF(C719="롱",(J719-E719)/E719,(E719-J719)/E719)</f>
        <v>-0.0263914139933142</v>
      </c>
    </row>
    <row r="720" customFormat="false" ht="17.15" hidden="false" customHeight="false" outlineLevel="0" collapsed="false">
      <c r="A720" s="4" t="n">
        <v>5</v>
      </c>
      <c r="B720" s="4" t="s">
        <v>20</v>
      </c>
      <c r="C720" s="8" t="s">
        <v>72</v>
      </c>
      <c r="D720" s="21" t="n">
        <v>45173</v>
      </c>
      <c r="E720" s="22" t="n">
        <v>341.02</v>
      </c>
      <c r="F720" s="21" t="n">
        <v>45174</v>
      </c>
      <c r="G720" s="22" t="n">
        <v>340.15</v>
      </c>
      <c r="H720" s="22" t="n">
        <v>321.39</v>
      </c>
      <c r="I720" s="21" t="n">
        <v>45175</v>
      </c>
      <c r="J720" s="22" t="n">
        <v>337.85</v>
      </c>
      <c r="K720" s="21" t="n">
        <v>45176</v>
      </c>
      <c r="L720" s="22" t="n">
        <v>336.93</v>
      </c>
      <c r="M720" s="8" t="s">
        <v>73</v>
      </c>
      <c r="N720" s="4" t="n">
        <v>2</v>
      </c>
      <c r="O720" s="6" t="n">
        <f aca="false">IF(C720="롱",(J720-E720)/E720,(E720-J720)/E720)</f>
        <v>-0.00929564248431165</v>
      </c>
    </row>
    <row r="721" customFormat="false" ht="17.15" hidden="false" customHeight="false" outlineLevel="0" collapsed="false">
      <c r="A721" s="4" t="n">
        <v>7</v>
      </c>
      <c r="B721" s="4" t="s">
        <v>24</v>
      </c>
      <c r="C721" s="8" t="s">
        <v>72</v>
      </c>
      <c r="D721" s="21" t="n">
        <v>45176</v>
      </c>
      <c r="E721" s="22" t="n">
        <v>336.74</v>
      </c>
      <c r="F721" s="21" t="n">
        <v>45177</v>
      </c>
      <c r="G721" s="22" t="n">
        <v>336.29</v>
      </c>
      <c r="H721" s="22" t="n">
        <v>318.42</v>
      </c>
      <c r="I721" s="21" t="n">
        <v>45184</v>
      </c>
      <c r="J721" s="22" t="n">
        <v>344.98</v>
      </c>
      <c r="K721" s="21" t="n">
        <v>45187</v>
      </c>
      <c r="L721" s="22" t="n">
        <v>342.98</v>
      </c>
      <c r="M721" s="8" t="s">
        <v>73</v>
      </c>
      <c r="N721" s="4" t="n">
        <v>6</v>
      </c>
      <c r="O721" s="6" t="n">
        <f aca="false">IF(C721="롱",(J721-E721)/E721,(E721-J721)/E721)</f>
        <v>0.0244699174437252</v>
      </c>
    </row>
    <row r="722" customFormat="false" ht="17.15" hidden="false" customHeight="false" outlineLevel="0" collapsed="false">
      <c r="A722" s="4" t="n">
        <v>7</v>
      </c>
      <c r="B722" s="4" t="s">
        <v>24</v>
      </c>
      <c r="C722" s="8" t="s">
        <v>72</v>
      </c>
      <c r="D722" s="21" t="n">
        <v>45189</v>
      </c>
      <c r="E722" s="22" t="n">
        <v>338.75</v>
      </c>
      <c r="F722" s="21" t="n">
        <v>45190</v>
      </c>
      <c r="G722" s="22" t="n">
        <v>336.73</v>
      </c>
      <c r="H722" s="22" t="n">
        <v>321.16</v>
      </c>
      <c r="I722" s="21" t="n">
        <v>45195</v>
      </c>
      <c r="J722" s="22" t="n">
        <v>326.9</v>
      </c>
      <c r="K722" s="21" t="n">
        <v>45196</v>
      </c>
      <c r="L722" s="22" t="n">
        <v>325.05</v>
      </c>
      <c r="M722" s="8" t="s">
        <v>73</v>
      </c>
      <c r="N722" s="4" t="n">
        <v>4</v>
      </c>
      <c r="O722" s="6" t="n">
        <f aca="false">IF(C722="롱",(J722-E722)/E722,(E722-J722)/E722)</f>
        <v>-0.0349815498154982</v>
      </c>
    </row>
    <row r="723" customFormat="false" ht="17.15" hidden="false" customHeight="false" outlineLevel="0" collapsed="false">
      <c r="A723" s="4" t="n">
        <v>7</v>
      </c>
      <c r="B723" s="4" t="s">
        <v>24</v>
      </c>
      <c r="C723" s="8" t="s">
        <v>72</v>
      </c>
      <c r="D723" s="21" t="n">
        <v>45196</v>
      </c>
      <c r="E723" s="22" t="n">
        <v>326.71</v>
      </c>
      <c r="F723" s="21" t="n">
        <v>45203</v>
      </c>
      <c r="G723" s="22" t="n">
        <v>322.61</v>
      </c>
      <c r="H723" s="22" t="n">
        <v>308.72</v>
      </c>
      <c r="I723" s="21" t="n">
        <v>45203</v>
      </c>
      <c r="J723" s="22" t="n">
        <v>319.45</v>
      </c>
      <c r="K723" s="21" t="n">
        <v>45204</v>
      </c>
      <c r="L723" s="22" t="n">
        <v>321.46</v>
      </c>
      <c r="M723" s="8" t="s">
        <v>73</v>
      </c>
      <c r="N723" s="4" t="n">
        <v>1</v>
      </c>
      <c r="O723" s="6" t="n">
        <f aca="false">IF(C723="롱",(J723-E723)/E723,(E723-J723)/E723)</f>
        <v>-0.0222215420403416</v>
      </c>
    </row>
    <row r="724" customFormat="false" ht="17.15" hidden="false" customHeight="false" outlineLevel="0" collapsed="false">
      <c r="A724" s="4" t="n">
        <v>9</v>
      </c>
      <c r="B724" s="4" t="s">
        <v>28</v>
      </c>
      <c r="C724" s="8" t="s">
        <v>72</v>
      </c>
      <c r="D724" s="21" t="n">
        <v>45203</v>
      </c>
      <c r="E724" s="22" t="n">
        <v>319.45</v>
      </c>
      <c r="F724" s="21" t="n">
        <v>45204</v>
      </c>
      <c r="G724" s="22" t="n">
        <v>321.46</v>
      </c>
      <c r="H724" s="22" t="n">
        <v>300.17</v>
      </c>
      <c r="I724" s="21" t="n">
        <v>45210</v>
      </c>
      <c r="J724" s="22" t="n">
        <v>324.74</v>
      </c>
      <c r="K724" s="21" t="n">
        <v>45211</v>
      </c>
      <c r="L724" s="22" t="n">
        <v>326.89</v>
      </c>
      <c r="M724" s="8" t="s">
        <v>73</v>
      </c>
      <c r="N724" s="4" t="n">
        <v>4</v>
      </c>
      <c r="O724" s="6" t="n">
        <f aca="false">IF(C724="롱",(J724-E724)/E724,(E724-J724)/E724)</f>
        <v>0.0165597120050087</v>
      </c>
    </row>
    <row r="725" customFormat="false" ht="17.15" hidden="false" customHeight="false" outlineLevel="0" collapsed="false">
      <c r="A725" s="4" t="n">
        <v>9</v>
      </c>
      <c r="B725" s="4" t="s">
        <v>28</v>
      </c>
      <c r="C725" s="8" t="s">
        <v>72</v>
      </c>
      <c r="D725" s="21" t="n">
        <v>45219</v>
      </c>
      <c r="E725" s="22" t="n">
        <v>317.96</v>
      </c>
      <c r="F725" s="21" t="n">
        <v>45222</v>
      </c>
      <c r="G725" s="22" t="n">
        <v>317.43</v>
      </c>
      <c r="H725" s="22" t="n">
        <v>295.19</v>
      </c>
      <c r="I725" s="21" t="n">
        <v>45236</v>
      </c>
      <c r="J725" s="22" t="n">
        <v>334.16</v>
      </c>
      <c r="K725" s="21" t="n">
        <v>45237</v>
      </c>
      <c r="L725" s="22" t="n">
        <v>330.7</v>
      </c>
      <c r="M725" s="8" t="s">
        <v>73</v>
      </c>
      <c r="N725" s="4" t="n">
        <v>11</v>
      </c>
      <c r="O725" s="6" t="n">
        <f aca="false">IF(C725="롱",(J725-E725)/E725,(E725-J725)/E725)</f>
        <v>0.0509498050069193</v>
      </c>
    </row>
    <row r="726" customFormat="false" ht="17.15" hidden="false" customHeight="false" outlineLevel="0" collapsed="false">
      <c r="A726" s="4" t="n">
        <v>1</v>
      </c>
      <c r="B726" s="4" t="s">
        <v>12</v>
      </c>
      <c r="C726" s="8" t="s">
        <v>72</v>
      </c>
      <c r="D726" s="21" t="n">
        <v>45274</v>
      </c>
      <c r="E726" s="22" t="n">
        <v>341.33</v>
      </c>
      <c r="F726" s="21" t="n">
        <v>45275</v>
      </c>
      <c r="G726" s="22" t="n">
        <v>343.43</v>
      </c>
      <c r="H726" s="22" t="n">
        <v>323.77</v>
      </c>
      <c r="I726" s="21" t="n">
        <v>45296</v>
      </c>
      <c r="J726" s="22" t="n">
        <v>347.22</v>
      </c>
      <c r="K726" s="21" t="n">
        <v>45299</v>
      </c>
      <c r="L726" s="22" t="n">
        <v>348.17</v>
      </c>
      <c r="M726" s="8" t="s">
        <v>73</v>
      </c>
      <c r="N726" s="4" t="n">
        <v>13</v>
      </c>
      <c r="O726" s="6" t="n">
        <f aca="false">IF(C726="롱",(J726-E726)/E726,(E726-J726)/E726)</f>
        <v>0.0172560278908975</v>
      </c>
    </row>
    <row r="727" customFormat="false" ht="17.15" hidden="false" customHeight="false" outlineLevel="0" collapsed="false">
      <c r="A727" s="4" t="n">
        <v>6</v>
      </c>
      <c r="B727" s="4" t="s">
        <v>22</v>
      </c>
      <c r="C727" s="8" t="s">
        <v>72</v>
      </c>
      <c r="D727" s="21" t="n">
        <v>45287</v>
      </c>
      <c r="E727" s="22" t="n">
        <v>352.46</v>
      </c>
      <c r="F727" s="21" t="n">
        <v>45288</v>
      </c>
      <c r="G727" s="22" t="n">
        <v>352.75</v>
      </c>
      <c r="H727" s="22" t="n">
        <v>335.18</v>
      </c>
      <c r="I727" s="21" t="n">
        <v>45294</v>
      </c>
      <c r="J727" s="22" t="n">
        <v>351.2</v>
      </c>
      <c r="K727" s="21" t="n">
        <v>45295</v>
      </c>
      <c r="L727" s="22" t="n">
        <v>349.1</v>
      </c>
      <c r="M727" s="8" t="s">
        <v>73</v>
      </c>
      <c r="N727" s="4" t="n">
        <v>3</v>
      </c>
      <c r="O727" s="6" t="n">
        <f aca="false">IF(C727="롱",(J727-E727)/E727,(E727-J727)/E727)</f>
        <v>-0.00357487374453836</v>
      </c>
    </row>
    <row r="728" customFormat="false" ht="17.15" hidden="false" customHeight="false" outlineLevel="0" collapsed="false">
      <c r="A728" s="4" t="n">
        <v>2</v>
      </c>
      <c r="B728" s="4" t="s">
        <v>14</v>
      </c>
      <c r="C728" s="8" t="s">
        <v>72</v>
      </c>
      <c r="D728" s="21" t="n">
        <v>45307</v>
      </c>
      <c r="E728" s="22" t="n">
        <v>334.73</v>
      </c>
      <c r="F728" s="21" t="n">
        <v>45308</v>
      </c>
      <c r="G728" s="22" t="n">
        <v>335.51</v>
      </c>
      <c r="H728" s="22" t="n">
        <v>313.3</v>
      </c>
      <c r="I728" s="21" t="n">
        <v>45323</v>
      </c>
      <c r="J728" s="22" t="n">
        <v>342.41</v>
      </c>
      <c r="K728" s="21" t="n">
        <v>45324</v>
      </c>
      <c r="L728" s="22" t="n">
        <v>345.1</v>
      </c>
      <c r="M728" s="8" t="s">
        <v>73</v>
      </c>
      <c r="N728" s="4" t="n">
        <v>12</v>
      </c>
      <c r="O728" s="6" t="n">
        <f aca="false">IF(C728="롱",(J728-E728)/E728,(E728-J728)/E728)</f>
        <v>0.0229438652047919</v>
      </c>
    </row>
    <row r="729" customFormat="false" ht="17.15" hidden="false" customHeight="false" outlineLevel="0" collapsed="false">
      <c r="A729" s="4" t="n">
        <v>5</v>
      </c>
      <c r="B729" s="4" t="s">
        <v>20</v>
      </c>
      <c r="C729" s="8" t="s">
        <v>72</v>
      </c>
      <c r="D729" s="21" t="n">
        <v>45314</v>
      </c>
      <c r="E729" s="22" t="n">
        <v>334.97</v>
      </c>
      <c r="F729" s="21" t="n">
        <v>45315</v>
      </c>
      <c r="G729" s="22" t="n">
        <v>334.45</v>
      </c>
      <c r="H729" s="22" t="n">
        <v>311.6</v>
      </c>
      <c r="I729" s="21" t="n">
        <v>45315</v>
      </c>
      <c r="J729" s="22" t="n">
        <v>333.27</v>
      </c>
      <c r="K729" s="21" t="n">
        <v>45316</v>
      </c>
      <c r="L729" s="22" t="n">
        <v>333.2</v>
      </c>
      <c r="M729" s="8" t="s">
        <v>73</v>
      </c>
      <c r="N729" s="4" t="n">
        <v>1</v>
      </c>
      <c r="O729" s="6" t="n">
        <f aca="false">IF(C729="롱",(J729-E729)/E729,(E729-J729)/E729)</f>
        <v>-0.00507508135056884</v>
      </c>
    </row>
    <row r="730" customFormat="false" ht="17.15" hidden="false" customHeight="false" outlineLevel="0" collapsed="false">
      <c r="A730" s="4" t="n">
        <v>5</v>
      </c>
      <c r="B730" s="4" t="s">
        <v>20</v>
      </c>
      <c r="C730" s="8" t="s">
        <v>72</v>
      </c>
      <c r="D730" s="21" t="n">
        <v>45320</v>
      </c>
      <c r="E730" s="22" t="n">
        <v>337.84</v>
      </c>
      <c r="F730" s="21" t="n">
        <v>45321</v>
      </c>
      <c r="G730" s="22" t="n">
        <v>340.96</v>
      </c>
      <c r="H730" s="22" t="n">
        <v>313.4</v>
      </c>
      <c r="I730" s="21" t="n">
        <v>45322</v>
      </c>
      <c r="J730" s="22" t="n">
        <v>336.24</v>
      </c>
      <c r="K730" s="21" t="n">
        <v>45323</v>
      </c>
      <c r="L730" s="22" t="n">
        <v>335.89</v>
      </c>
      <c r="M730" s="8" t="s">
        <v>73</v>
      </c>
      <c r="N730" s="4" t="n">
        <v>2</v>
      </c>
      <c r="O730" s="6" t="n">
        <f aca="false">IF(C730="롱",(J730-E730)/E730,(E730-J730)/E730)</f>
        <v>-0.00473596968979389</v>
      </c>
    </row>
    <row r="731" customFormat="false" ht="17.15" hidden="false" customHeight="false" outlineLevel="0" collapsed="false">
      <c r="A731" s="4" t="n">
        <v>1</v>
      </c>
      <c r="B731" s="4" t="s">
        <v>12</v>
      </c>
      <c r="C731" s="8" t="s">
        <v>72</v>
      </c>
      <c r="D731" s="21" t="n">
        <v>45322</v>
      </c>
      <c r="E731" s="22" t="n">
        <v>336.24</v>
      </c>
      <c r="F731" s="21" t="n">
        <v>45323</v>
      </c>
      <c r="G731" s="22" t="n">
        <v>335.89</v>
      </c>
      <c r="H731" s="22" t="n">
        <v>313.82</v>
      </c>
      <c r="I731" s="21" t="n">
        <v>45349</v>
      </c>
      <c r="J731" s="22" t="n">
        <v>352.76</v>
      </c>
      <c r="K731" s="21" t="n">
        <v>45350</v>
      </c>
      <c r="L731" s="22" t="n">
        <v>353.06</v>
      </c>
      <c r="M731" s="8" t="s">
        <v>73</v>
      </c>
      <c r="N731" s="4" t="n">
        <v>17</v>
      </c>
      <c r="O731" s="6" t="n">
        <f aca="false">IF(C731="롱",(J731-E731)/E731,(E731-J731)/E731)</f>
        <v>0.0491315726861765</v>
      </c>
    </row>
    <row r="732" customFormat="false" ht="17.15" hidden="false" customHeight="false" outlineLevel="0" collapsed="false">
      <c r="A732" s="4" t="n">
        <v>4</v>
      </c>
      <c r="B732" s="4" t="s">
        <v>18</v>
      </c>
      <c r="C732" s="8" t="s">
        <v>72</v>
      </c>
      <c r="D732" s="21" t="n">
        <v>45323</v>
      </c>
      <c r="E732" s="22" t="n">
        <v>342.41</v>
      </c>
      <c r="F732" s="21" t="n">
        <v>45324</v>
      </c>
      <c r="G732" s="22" t="n">
        <v>345.1</v>
      </c>
      <c r="H732" s="22" t="n">
        <v>319.36</v>
      </c>
      <c r="I732" s="21" t="n">
        <v>45397</v>
      </c>
      <c r="J732" s="22" t="n">
        <v>365.31</v>
      </c>
      <c r="K732" s="21" t="n">
        <v>45398</v>
      </c>
      <c r="L732" s="22" t="n">
        <v>361.51</v>
      </c>
      <c r="M732" s="8" t="s">
        <v>73</v>
      </c>
      <c r="N732" s="4" t="n">
        <v>48</v>
      </c>
      <c r="O732" s="6" t="n">
        <f aca="false">IF(C732="롱",(J732-E732)/E732,(E732-J732)/E732)</f>
        <v>0.0668788878829473</v>
      </c>
    </row>
    <row r="733" customFormat="false" ht="17.15" hidden="false" customHeight="false" outlineLevel="0" collapsed="false">
      <c r="A733" s="4" t="n">
        <v>5</v>
      </c>
      <c r="B733" s="4" t="s">
        <v>20</v>
      </c>
      <c r="C733" s="8" t="s">
        <v>72</v>
      </c>
      <c r="D733" s="21" t="n">
        <v>45323</v>
      </c>
      <c r="E733" s="22" t="n">
        <v>342.41</v>
      </c>
      <c r="F733" s="21" t="n">
        <v>45324</v>
      </c>
      <c r="G733" s="22" t="n">
        <v>345.1</v>
      </c>
      <c r="H733" s="22" t="n">
        <v>319.36</v>
      </c>
      <c r="I733" s="21" t="n">
        <v>45399</v>
      </c>
      <c r="J733" s="22" t="n">
        <v>352.79</v>
      </c>
      <c r="K733" s="21" t="n">
        <v>45400</v>
      </c>
      <c r="L733" s="22" t="n">
        <v>354.25</v>
      </c>
      <c r="M733" s="8" t="s">
        <v>73</v>
      </c>
      <c r="N733" s="4" t="n">
        <v>50</v>
      </c>
      <c r="O733" s="6" t="n">
        <f aca="false">IF(C733="롱",(J733-E733)/E733,(E733-J733)/E733)</f>
        <v>0.0303145352063316</v>
      </c>
    </row>
    <row r="734" customFormat="false" ht="17.15" hidden="false" customHeight="false" outlineLevel="0" collapsed="false">
      <c r="A734" s="4" t="n">
        <v>6</v>
      </c>
      <c r="B734" s="4" t="s">
        <v>22</v>
      </c>
      <c r="C734" s="8" t="s">
        <v>72</v>
      </c>
      <c r="D734" s="21" t="n">
        <v>45335</v>
      </c>
      <c r="E734" s="22" t="n">
        <v>357.38</v>
      </c>
      <c r="F734" s="21" t="n">
        <v>45336</v>
      </c>
      <c r="G734" s="22" t="n">
        <v>351.52</v>
      </c>
      <c r="H734" s="22" t="n">
        <v>330.7</v>
      </c>
      <c r="I734" s="21" t="n">
        <v>45337</v>
      </c>
      <c r="J734" s="22" t="n">
        <v>351.21</v>
      </c>
      <c r="K734" s="21" t="n">
        <v>45338</v>
      </c>
      <c r="L734" s="22" t="n">
        <v>354.19</v>
      </c>
      <c r="M734" s="8" t="s">
        <v>73</v>
      </c>
      <c r="N734" s="4" t="n">
        <v>2</v>
      </c>
      <c r="O734" s="6" t="n">
        <f aca="false">IF(C734="롱",(J734-E734)/E734,(E734-J734)/E734)</f>
        <v>-0.0172645363478651</v>
      </c>
    </row>
    <row r="735" customFormat="false" ht="17.15" hidden="false" customHeight="false" outlineLevel="0" collapsed="false">
      <c r="A735" s="4" t="n">
        <v>1</v>
      </c>
      <c r="B735" s="4" t="s">
        <v>12</v>
      </c>
      <c r="C735" s="8" t="s">
        <v>72</v>
      </c>
      <c r="D735" s="21" t="n">
        <v>45365</v>
      </c>
      <c r="E735" s="22" t="n">
        <v>366.68</v>
      </c>
      <c r="F735" s="21" t="n">
        <v>45366</v>
      </c>
      <c r="G735" s="22" t="n">
        <v>364.12</v>
      </c>
      <c r="H735" s="22" t="n">
        <v>344.08</v>
      </c>
      <c r="I735" s="21" t="n">
        <v>45366</v>
      </c>
      <c r="J735" s="22" t="n">
        <v>359.39</v>
      </c>
      <c r="K735" s="21" t="n">
        <v>45369</v>
      </c>
      <c r="L735" s="22" t="n">
        <v>360.74</v>
      </c>
      <c r="M735" s="8" t="s">
        <v>73</v>
      </c>
      <c r="N735" s="4" t="n">
        <v>1</v>
      </c>
      <c r="O735" s="6" t="n">
        <f aca="false">IF(C735="롱",(J735-E735)/E735,(E735-J735)/E735)</f>
        <v>-0.0198810952329007</v>
      </c>
    </row>
    <row r="736" customFormat="false" ht="17.15" hidden="false" customHeight="false" outlineLevel="0" collapsed="false">
      <c r="A736" s="4" t="n">
        <v>6</v>
      </c>
      <c r="B736" s="4" t="s">
        <v>22</v>
      </c>
      <c r="C736" s="8" t="s">
        <v>72</v>
      </c>
      <c r="D736" s="21" t="n">
        <v>45365</v>
      </c>
      <c r="E736" s="22" t="n">
        <v>366.68</v>
      </c>
      <c r="F736" s="21" t="n">
        <v>45366</v>
      </c>
      <c r="G736" s="22" t="n">
        <v>364.12</v>
      </c>
      <c r="H736" s="22" t="n">
        <v>344.08</v>
      </c>
      <c r="I736" s="21" t="n">
        <v>45366</v>
      </c>
      <c r="J736" s="22" t="n">
        <v>359.39</v>
      </c>
      <c r="K736" s="21" t="n">
        <v>45369</v>
      </c>
      <c r="L736" s="22" t="n">
        <v>360.74</v>
      </c>
      <c r="M736" s="8" t="s">
        <v>73</v>
      </c>
      <c r="N736" s="4" t="n">
        <v>1</v>
      </c>
      <c r="O736" s="6" t="n">
        <f aca="false">IF(C736="롱",(J736-E736)/E736,(E736-J736)/E736)</f>
        <v>-0.0198810952329007</v>
      </c>
    </row>
    <row r="737" customFormat="false" ht="17.15" hidden="false" customHeight="false" outlineLevel="0" collapsed="false">
      <c r="A737" s="4" t="n">
        <v>1</v>
      </c>
      <c r="B737" s="4" t="s">
        <v>12</v>
      </c>
      <c r="C737" s="8" t="s">
        <v>72</v>
      </c>
      <c r="D737" s="21" t="n">
        <v>45372</v>
      </c>
      <c r="E737" s="22" t="n">
        <v>373.66</v>
      </c>
      <c r="F737" s="21" t="n">
        <v>45373</v>
      </c>
      <c r="G737" s="22" t="n">
        <v>373.27</v>
      </c>
      <c r="H737" s="22" t="n">
        <v>349.02</v>
      </c>
      <c r="I737" s="21" t="n">
        <v>45385</v>
      </c>
      <c r="J737" s="22" t="n">
        <v>369.72</v>
      </c>
      <c r="K737" s="21" t="n">
        <v>45386</v>
      </c>
      <c r="L737" s="22" t="n">
        <v>374.45</v>
      </c>
      <c r="M737" s="8" t="s">
        <v>73</v>
      </c>
      <c r="N737" s="4" t="n">
        <v>9</v>
      </c>
      <c r="O737" s="6" t="n">
        <f aca="false">IF(C737="롱",(J737-E737)/E737,(E737-J737)/E737)</f>
        <v>-0.0105443451265857</v>
      </c>
    </row>
    <row r="738" customFormat="false" ht="17.15" hidden="false" customHeight="false" outlineLevel="0" collapsed="false">
      <c r="A738" s="4" t="n">
        <v>2</v>
      </c>
      <c r="B738" s="4" t="s">
        <v>14</v>
      </c>
      <c r="C738" s="8" t="s">
        <v>72</v>
      </c>
      <c r="D738" s="21" t="n">
        <v>45399</v>
      </c>
      <c r="E738" s="22" t="n">
        <v>352.79</v>
      </c>
      <c r="F738" s="21" t="n">
        <v>45400</v>
      </c>
      <c r="G738" s="22" t="n">
        <v>354.25</v>
      </c>
      <c r="H738" s="22" t="n">
        <v>324.74</v>
      </c>
      <c r="I738" s="21" t="n">
        <v>45412</v>
      </c>
      <c r="J738" s="22" t="n">
        <v>365.13</v>
      </c>
      <c r="K738" s="21" t="n">
        <v>45413</v>
      </c>
      <c r="L738" s="22" t="n">
        <v>365.17</v>
      </c>
      <c r="M738" s="8" t="s">
        <v>73</v>
      </c>
      <c r="N738" s="4" t="n">
        <v>9</v>
      </c>
      <c r="O738" s="6" t="n">
        <f aca="false">IF(C738="롱",(J738-E738)/E738,(E738-J738)/E738)</f>
        <v>0.0349783157118965</v>
      </c>
    </row>
    <row r="739" customFormat="false" ht="17.15" hidden="false" customHeight="false" outlineLevel="0" collapsed="false">
      <c r="A739" s="4" t="n">
        <v>5</v>
      </c>
      <c r="B739" s="4" t="s">
        <v>20</v>
      </c>
      <c r="C739" s="8" t="s">
        <v>72</v>
      </c>
      <c r="D739" s="21" t="n">
        <v>45400</v>
      </c>
      <c r="E739" s="22" t="n">
        <v>359.06</v>
      </c>
      <c r="F739" s="21" t="n">
        <v>45401</v>
      </c>
      <c r="G739" s="22" t="n">
        <v>353.9</v>
      </c>
      <c r="H739" s="22" t="n">
        <v>330.69</v>
      </c>
      <c r="I739" s="21" t="n">
        <v>45401</v>
      </c>
      <c r="J739" s="22" t="n">
        <v>352.58</v>
      </c>
      <c r="K739" s="21" t="n">
        <v>45404</v>
      </c>
      <c r="L739" s="22" t="n">
        <v>355.68</v>
      </c>
      <c r="M739" s="8" t="s">
        <v>73</v>
      </c>
      <c r="N739" s="4" t="n">
        <v>1</v>
      </c>
      <c r="O739" s="6" t="n">
        <f aca="false">IF(C739="롱",(J739-E739)/E739,(E739-J739)/E739)</f>
        <v>-0.0180471230435025</v>
      </c>
    </row>
    <row r="740" customFormat="false" ht="17.15" hidden="false" customHeight="false" outlineLevel="0" collapsed="false">
      <c r="A740" s="4" t="n">
        <v>3</v>
      </c>
      <c r="B740" s="4" t="s">
        <v>16</v>
      </c>
      <c r="C740" s="8" t="s">
        <v>72</v>
      </c>
      <c r="D740" s="21" t="n">
        <v>45406</v>
      </c>
      <c r="E740" s="22" t="n">
        <v>363.6</v>
      </c>
      <c r="F740" s="21" t="n">
        <v>45407</v>
      </c>
      <c r="G740" s="22" t="n">
        <v>359.05</v>
      </c>
      <c r="H740" s="22" t="n">
        <v>335.12</v>
      </c>
      <c r="I740" s="21" t="n">
        <v>45407</v>
      </c>
      <c r="J740" s="22" t="n">
        <v>356.51</v>
      </c>
      <c r="K740" s="21" t="n">
        <v>45408</v>
      </c>
      <c r="L740" s="22" t="n">
        <v>360.18</v>
      </c>
      <c r="M740" s="8" t="s">
        <v>73</v>
      </c>
      <c r="N740" s="4" t="n">
        <v>1</v>
      </c>
      <c r="O740" s="6" t="n">
        <f aca="false">IF(C740="롱",(J740-E740)/E740,(E740-J740)/E740)</f>
        <v>-0.0194994499449946</v>
      </c>
    </row>
    <row r="741" customFormat="false" ht="17.15" hidden="false" customHeight="false" outlineLevel="0" collapsed="false">
      <c r="A741" s="4" t="n">
        <v>5</v>
      </c>
      <c r="B741" s="4" t="s">
        <v>20</v>
      </c>
      <c r="C741" s="8" t="s">
        <v>72</v>
      </c>
      <c r="D741" s="21" t="n">
        <v>45406</v>
      </c>
      <c r="E741" s="22" t="n">
        <v>363.6</v>
      </c>
      <c r="F741" s="21" t="n">
        <v>45407</v>
      </c>
      <c r="G741" s="22" t="n">
        <v>359.05</v>
      </c>
      <c r="H741" s="22" t="n">
        <v>335.12</v>
      </c>
      <c r="I741" s="21" t="n">
        <v>45407</v>
      </c>
      <c r="J741" s="22" t="n">
        <v>356.51</v>
      </c>
      <c r="K741" s="21" t="n">
        <v>45408</v>
      </c>
      <c r="L741" s="22" t="n">
        <v>360.18</v>
      </c>
      <c r="M741" s="8" t="s">
        <v>73</v>
      </c>
      <c r="N741" s="4" t="n">
        <v>1</v>
      </c>
      <c r="O741" s="6" t="n">
        <f aca="false">IF(C741="롱",(J741-E741)/E741,(E741-J741)/E741)</f>
        <v>-0.0194994499449946</v>
      </c>
    </row>
    <row r="742" customFormat="false" ht="17.15" hidden="false" customHeight="false" outlineLevel="0" collapsed="false">
      <c r="A742" s="4" t="n">
        <v>5</v>
      </c>
      <c r="B742" s="4" t="s">
        <v>20</v>
      </c>
      <c r="C742" s="8" t="s">
        <v>72</v>
      </c>
      <c r="D742" s="21" t="n">
        <v>45408</v>
      </c>
      <c r="E742" s="22" t="n">
        <v>361.02</v>
      </c>
      <c r="F742" s="21" t="n">
        <v>45411</v>
      </c>
      <c r="G742" s="22" t="n">
        <v>363.71</v>
      </c>
      <c r="H742" s="22" t="n">
        <v>330.72</v>
      </c>
      <c r="I742" s="21" t="n">
        <v>45441</v>
      </c>
      <c r="J742" s="22" t="n">
        <v>364.96</v>
      </c>
      <c r="K742" s="21" t="n">
        <v>45442</v>
      </c>
      <c r="L742" s="22" t="n">
        <v>363.33</v>
      </c>
      <c r="M742" s="8" t="s">
        <v>73</v>
      </c>
      <c r="N742" s="4" t="n">
        <v>21</v>
      </c>
      <c r="O742" s="6" t="n">
        <f aca="false">IF(C742="롱",(J742-E742)/E742,(E742-J742)/E742)</f>
        <v>0.010913522796521</v>
      </c>
    </row>
    <row r="743" customFormat="false" ht="17.15" hidden="false" customHeight="false" outlineLevel="0" collapsed="false">
      <c r="A743" s="4" t="n">
        <v>3</v>
      </c>
      <c r="B743" s="4" t="s">
        <v>16</v>
      </c>
      <c r="C743" s="8" t="s">
        <v>72</v>
      </c>
      <c r="D743" s="21" t="n">
        <v>45411</v>
      </c>
      <c r="E743" s="22" t="n">
        <v>364.48</v>
      </c>
      <c r="F743" s="21" t="n">
        <v>45412</v>
      </c>
      <c r="G743" s="22" t="n">
        <v>365.17</v>
      </c>
      <c r="H743" s="22" t="n">
        <v>333.96</v>
      </c>
      <c r="I743" s="21" t="n">
        <v>45442</v>
      </c>
      <c r="J743" s="22" t="n">
        <v>358.7</v>
      </c>
      <c r="K743" s="21" t="n">
        <v>45443</v>
      </c>
      <c r="L743" s="22" t="n">
        <v>362.02</v>
      </c>
      <c r="M743" s="8" t="s">
        <v>73</v>
      </c>
      <c r="N743" s="4" t="n">
        <v>21</v>
      </c>
      <c r="O743" s="6" t="n">
        <f aca="false">IF(C743="롱",(J743-E743)/E743,(E743-J743)/E743)</f>
        <v>-0.015858208955224</v>
      </c>
    </row>
    <row r="744" customFormat="false" ht="17.15" hidden="false" customHeight="false" outlineLevel="0" collapsed="false">
      <c r="A744" s="4" t="n">
        <v>1</v>
      </c>
      <c r="B744" s="4" t="s">
        <v>12</v>
      </c>
      <c r="C744" s="8" t="s">
        <v>72</v>
      </c>
      <c r="D744" s="21" t="n">
        <v>45413</v>
      </c>
      <c r="E744" s="22" t="n">
        <v>365.13</v>
      </c>
      <c r="F744" s="21" t="n">
        <v>45414</v>
      </c>
      <c r="G744" s="22" t="n">
        <v>363.37</v>
      </c>
      <c r="H744" s="22" t="n">
        <v>334.72</v>
      </c>
      <c r="I744" s="21" t="n">
        <v>45436</v>
      </c>
      <c r="J744" s="22" t="n">
        <v>366.08</v>
      </c>
      <c r="K744" s="21" t="n">
        <v>45439</v>
      </c>
      <c r="L744" s="22" t="n">
        <v>366.98</v>
      </c>
      <c r="M744" s="8" t="s">
        <v>73</v>
      </c>
      <c r="N744" s="4" t="n">
        <v>15</v>
      </c>
      <c r="O744" s="6" t="n">
        <f aca="false">IF(C744="롱",(J744-E744)/E744,(E744-J744)/E744)</f>
        <v>0.00260181305288524</v>
      </c>
    </row>
    <row r="745" customFormat="false" ht="17.15" hidden="false" customHeight="false" outlineLevel="0" collapsed="false">
      <c r="A745" s="4" t="n">
        <v>4</v>
      </c>
      <c r="B745" s="4" t="s">
        <v>18</v>
      </c>
      <c r="C745" s="8" t="s">
        <v>72</v>
      </c>
      <c r="D745" s="21" t="n">
        <v>45414</v>
      </c>
      <c r="E745" s="22" t="n">
        <v>364.31</v>
      </c>
      <c r="F745" s="21" t="n">
        <v>45415</v>
      </c>
      <c r="G745" s="22" t="n">
        <v>367.57</v>
      </c>
      <c r="H745" s="22" t="n">
        <v>334.98</v>
      </c>
      <c r="I745" s="21" t="n">
        <v>45441</v>
      </c>
      <c r="J745" s="22" t="n">
        <v>364.96</v>
      </c>
      <c r="K745" s="21" t="n">
        <v>45442</v>
      </c>
      <c r="L745" s="22" t="n">
        <v>363.33</v>
      </c>
      <c r="M745" s="8" t="s">
        <v>73</v>
      </c>
      <c r="N745" s="4" t="n">
        <v>17</v>
      </c>
      <c r="O745" s="6" t="n">
        <f aca="false">IF(C745="롱",(J745-E745)/E745,(E745-J745)/E745)</f>
        <v>0.00178419477917152</v>
      </c>
    </row>
    <row r="746" customFormat="false" ht="17.15" hidden="false" customHeight="false" outlineLevel="0" collapsed="false">
      <c r="A746" s="4" t="n">
        <v>10</v>
      </c>
      <c r="B746" s="4" t="s">
        <v>30</v>
      </c>
      <c r="C746" s="8" t="s">
        <v>72</v>
      </c>
      <c r="D746" s="21" t="n">
        <v>45439</v>
      </c>
      <c r="E746" s="22" t="n">
        <v>371.16</v>
      </c>
      <c r="F746" s="21" t="n">
        <v>45440</v>
      </c>
      <c r="G746" s="22" t="n">
        <v>369.71</v>
      </c>
      <c r="H746" s="22" t="n">
        <v>348.07</v>
      </c>
      <c r="I746" s="21" t="n">
        <v>45441</v>
      </c>
      <c r="J746" s="22" t="n">
        <v>364.96</v>
      </c>
      <c r="K746" s="21" t="n">
        <v>45442</v>
      </c>
      <c r="L746" s="22" t="n">
        <v>363.33</v>
      </c>
      <c r="M746" s="8" t="s">
        <v>73</v>
      </c>
      <c r="N746" s="4" t="n">
        <v>2</v>
      </c>
      <c r="O746" s="6" t="n">
        <f aca="false">IF(C746="롱",(J746-E746)/E746,(E746-J746)/E746)</f>
        <v>-0.0167043862485183</v>
      </c>
    </row>
    <row r="747" customFormat="false" ht="17.15" hidden="false" customHeight="false" outlineLevel="0" collapsed="false">
      <c r="A747" s="4" t="n">
        <v>2</v>
      </c>
      <c r="B747" s="4" t="s">
        <v>14</v>
      </c>
      <c r="C747" s="8" t="s">
        <v>72</v>
      </c>
      <c r="D747" s="21" t="n">
        <v>45442</v>
      </c>
      <c r="E747" s="22" t="n">
        <v>358.7</v>
      </c>
      <c r="F747" s="21" t="n">
        <v>45443</v>
      </c>
      <c r="G747" s="22" t="n">
        <v>362.02</v>
      </c>
      <c r="H747" s="22" t="n">
        <v>334.96</v>
      </c>
      <c r="I747" s="21" t="n">
        <v>45456</v>
      </c>
      <c r="J747" s="22" t="n">
        <v>374.75</v>
      </c>
      <c r="K747" s="21" t="n">
        <v>45457</v>
      </c>
      <c r="L747" s="22" t="n">
        <v>375.76</v>
      </c>
      <c r="M747" s="8" t="s">
        <v>73</v>
      </c>
      <c r="N747" s="4" t="n">
        <v>9</v>
      </c>
      <c r="O747" s="6" t="n">
        <f aca="false">IF(C747="롱",(J747-E747)/E747,(E747-J747)/E747)</f>
        <v>0.0447449121828827</v>
      </c>
    </row>
    <row r="748" customFormat="false" ht="17.15" hidden="false" customHeight="false" outlineLevel="0" collapsed="false">
      <c r="A748" s="4" t="n">
        <v>3</v>
      </c>
      <c r="B748" s="4" t="s">
        <v>16</v>
      </c>
      <c r="C748" s="8" t="s">
        <v>72</v>
      </c>
      <c r="D748" s="21" t="n">
        <v>45450</v>
      </c>
      <c r="E748" s="22" t="n">
        <v>371.39</v>
      </c>
      <c r="F748" s="21" t="n">
        <v>45453</v>
      </c>
      <c r="G748" s="22" t="n">
        <v>367.76</v>
      </c>
      <c r="H748" s="22" t="n">
        <v>346.1</v>
      </c>
      <c r="I748" s="21" t="n">
        <v>45495</v>
      </c>
      <c r="J748" s="22" t="n">
        <v>379.84</v>
      </c>
      <c r="K748" s="21" t="n">
        <v>45496</v>
      </c>
      <c r="L748" s="22" t="n">
        <v>383.8</v>
      </c>
      <c r="M748" s="8" t="s">
        <v>73</v>
      </c>
      <c r="N748" s="4" t="n">
        <v>31</v>
      </c>
      <c r="O748" s="6" t="n">
        <f aca="false">IF(C748="롱",(J748-E748)/E748,(E748-J748)/E748)</f>
        <v>0.022752362745362</v>
      </c>
    </row>
    <row r="749" customFormat="false" ht="17.15" hidden="false" customHeight="false" outlineLevel="0" collapsed="false">
      <c r="A749" s="4" t="n">
        <v>5</v>
      </c>
      <c r="B749" s="4" t="s">
        <v>20</v>
      </c>
      <c r="C749" s="8" t="s">
        <v>72</v>
      </c>
      <c r="D749" s="21" t="n">
        <v>45450</v>
      </c>
      <c r="E749" s="22" t="n">
        <v>371.39</v>
      </c>
      <c r="F749" s="21" t="n">
        <v>45453</v>
      </c>
      <c r="G749" s="22" t="n">
        <v>367.76</v>
      </c>
      <c r="H749" s="22" t="n">
        <v>346.1</v>
      </c>
      <c r="I749" s="21" t="n">
        <v>45498</v>
      </c>
      <c r="J749" s="22" t="n">
        <v>371.26</v>
      </c>
      <c r="K749" s="21" t="n">
        <v>45499</v>
      </c>
      <c r="L749" s="22" t="n">
        <v>373.44</v>
      </c>
      <c r="M749" s="8" t="s">
        <v>73</v>
      </c>
      <c r="N749" s="4" t="n">
        <v>34</v>
      </c>
      <c r="O749" s="6" t="n">
        <f aca="false">IF(C749="롱",(J749-E749)/E749,(E749-J749)/E749)</f>
        <v>-0.000350036349928634</v>
      </c>
    </row>
    <row r="750" customFormat="false" ht="17.15" hidden="false" customHeight="false" outlineLevel="0" collapsed="false">
      <c r="A750" s="4" t="n">
        <v>1</v>
      </c>
      <c r="B750" s="4" t="s">
        <v>12</v>
      </c>
      <c r="C750" s="8" t="s">
        <v>72</v>
      </c>
      <c r="D750" s="21" t="n">
        <v>45455</v>
      </c>
      <c r="E750" s="22" t="n">
        <v>371.12</v>
      </c>
      <c r="F750" s="21" t="n">
        <v>45456</v>
      </c>
      <c r="G750" s="22" t="n">
        <v>376.93</v>
      </c>
      <c r="H750" s="22" t="n">
        <v>346.62</v>
      </c>
      <c r="I750" s="21" t="n">
        <v>45490</v>
      </c>
      <c r="J750" s="22" t="n">
        <v>391.55</v>
      </c>
      <c r="K750" s="21" t="n">
        <v>45491</v>
      </c>
      <c r="L750" s="22" t="n">
        <v>385.24</v>
      </c>
      <c r="M750" s="8" t="s">
        <v>73</v>
      </c>
      <c r="N750" s="4" t="n">
        <v>25</v>
      </c>
      <c r="O750" s="6" t="n">
        <f aca="false">IF(C750="롱",(J750-E750)/E750,(E750-J750)/E750)</f>
        <v>0.0550495796507868</v>
      </c>
    </row>
    <row r="751" customFormat="false" ht="17.15" hidden="false" customHeight="false" outlineLevel="0" collapsed="false">
      <c r="A751" s="4" t="n">
        <v>4</v>
      </c>
      <c r="B751" s="4" t="s">
        <v>18</v>
      </c>
      <c r="C751" s="8" t="s">
        <v>72</v>
      </c>
      <c r="D751" s="21" t="n">
        <v>45455</v>
      </c>
      <c r="E751" s="22" t="n">
        <v>371.12</v>
      </c>
      <c r="F751" s="21" t="n">
        <v>45456</v>
      </c>
      <c r="G751" s="22" t="n">
        <v>376.93</v>
      </c>
      <c r="H751" s="22" t="n">
        <v>346.62</v>
      </c>
      <c r="I751" s="21" t="n">
        <v>45495</v>
      </c>
      <c r="J751" s="22" t="n">
        <v>379.84</v>
      </c>
      <c r="K751" s="21" t="n">
        <v>45496</v>
      </c>
      <c r="L751" s="22" t="n">
        <v>383.8</v>
      </c>
      <c r="M751" s="8" t="s">
        <v>73</v>
      </c>
      <c r="N751" s="4" t="n">
        <v>28</v>
      </c>
      <c r="O751" s="6" t="n">
        <f aca="false">IF(C751="롱",(J751-E751)/E751,(E751-J751)/E751)</f>
        <v>0.0234964431989652</v>
      </c>
    </row>
    <row r="752" customFormat="false" ht="17.15" hidden="false" customHeight="false" outlineLevel="0" collapsed="false">
      <c r="A752" s="4" t="n">
        <v>6</v>
      </c>
      <c r="B752" s="4" t="s">
        <v>22</v>
      </c>
      <c r="C752" s="8" t="s">
        <v>72</v>
      </c>
      <c r="D752" s="21" t="n">
        <v>45456</v>
      </c>
      <c r="E752" s="22" t="n">
        <v>374.75</v>
      </c>
      <c r="F752" s="21" t="n">
        <v>45457</v>
      </c>
      <c r="G752" s="22" t="n">
        <v>375.76</v>
      </c>
      <c r="H752" s="22" t="n">
        <v>348.88</v>
      </c>
      <c r="I752" s="21" t="n">
        <v>45467</v>
      </c>
      <c r="J752" s="22" t="n">
        <v>378.39</v>
      </c>
      <c r="K752" s="21" t="n">
        <v>45468</v>
      </c>
      <c r="L752" s="22" t="n">
        <v>378.12</v>
      </c>
      <c r="M752" s="8" t="s">
        <v>73</v>
      </c>
      <c r="N752" s="4" t="n">
        <v>7</v>
      </c>
      <c r="O752" s="6" t="n">
        <f aca="false">IF(C752="롱",(J752-E752)/E752,(E752-J752)/E752)</f>
        <v>0.00971314209472978</v>
      </c>
    </row>
    <row r="753" customFormat="false" ht="17.15" hidden="false" customHeight="false" outlineLevel="0" collapsed="false">
      <c r="A753" s="4" t="n">
        <v>6</v>
      </c>
      <c r="B753" s="4" t="s">
        <v>22</v>
      </c>
      <c r="C753" s="8" t="s">
        <v>72</v>
      </c>
      <c r="D753" s="21" t="n">
        <v>45478</v>
      </c>
      <c r="E753" s="22" t="n">
        <v>395.47</v>
      </c>
      <c r="F753" s="21" t="n">
        <v>45481</v>
      </c>
      <c r="G753" s="22" t="n">
        <v>395.62</v>
      </c>
      <c r="H753" s="22" t="n">
        <v>373.57</v>
      </c>
      <c r="I753" s="21" t="n">
        <v>45485</v>
      </c>
      <c r="J753" s="22" t="n">
        <v>392.29</v>
      </c>
      <c r="K753" s="21" t="n">
        <v>45488</v>
      </c>
      <c r="L753" s="22" t="n">
        <v>394.09</v>
      </c>
      <c r="M753" s="8" t="s">
        <v>73</v>
      </c>
      <c r="N753" s="4" t="n">
        <v>5</v>
      </c>
      <c r="O753" s="6" t="n">
        <f aca="false">IF(C753="롱",(J753-E753)/E753,(E753-J753)/E753)</f>
        <v>-0.00804106506182519</v>
      </c>
    </row>
    <row r="754" customFormat="false" ht="17.15" hidden="false" customHeight="false" outlineLevel="0" collapsed="false">
      <c r="A754" s="4" t="n">
        <v>2</v>
      </c>
      <c r="B754" s="4" t="s">
        <v>14</v>
      </c>
      <c r="C754" s="8" t="s">
        <v>72</v>
      </c>
      <c r="D754" s="21" t="n">
        <v>45498</v>
      </c>
      <c r="E754" s="22" t="n">
        <v>371.26</v>
      </c>
      <c r="F754" s="21" t="n">
        <v>45499</v>
      </c>
      <c r="G754" s="22" t="n">
        <v>373.44</v>
      </c>
      <c r="H754" s="22" t="n">
        <v>346.94</v>
      </c>
      <c r="I754" s="21" t="n">
        <v>45509</v>
      </c>
      <c r="J754" s="22" t="n">
        <v>346.94</v>
      </c>
      <c r="K754" s="21" t="n">
        <v>45510</v>
      </c>
      <c r="L754" s="22" t="n">
        <v>345.63</v>
      </c>
      <c r="M754" s="8" t="s">
        <v>75</v>
      </c>
      <c r="N754" s="4" t="n">
        <v>7</v>
      </c>
      <c r="O754" s="6" t="n">
        <f aca="false">IF(C754="롱",(J754-E754)/E754,(E754-J754)/E754)</f>
        <v>-0.0655066530194473</v>
      </c>
    </row>
    <row r="755" customFormat="false" ht="17.15" hidden="false" customHeight="false" outlineLevel="0" collapsed="false">
      <c r="A755" s="4" t="n">
        <v>5</v>
      </c>
      <c r="B755" s="4" t="s">
        <v>20</v>
      </c>
      <c r="C755" s="8" t="s">
        <v>72</v>
      </c>
      <c r="D755" s="21" t="n">
        <v>45502</v>
      </c>
      <c r="E755" s="22" t="n">
        <v>378.73</v>
      </c>
      <c r="F755" s="21" t="n">
        <v>45503</v>
      </c>
      <c r="G755" s="22" t="n">
        <v>375.39</v>
      </c>
      <c r="H755" s="22" t="n">
        <v>353.17</v>
      </c>
      <c r="I755" s="21" t="n">
        <v>45503</v>
      </c>
      <c r="J755" s="22" t="n">
        <v>374.87</v>
      </c>
      <c r="K755" s="21" t="n">
        <v>45504</v>
      </c>
      <c r="L755" s="22" t="n">
        <v>376.01</v>
      </c>
      <c r="M755" s="8" t="s">
        <v>73</v>
      </c>
      <c r="N755" s="4" t="n">
        <v>1</v>
      </c>
      <c r="O755" s="6" t="n">
        <f aca="false">IF(C755="롱",(J755-E755)/E755,(E755-J755)/E755)</f>
        <v>-0.0101919573310802</v>
      </c>
    </row>
    <row r="756" customFormat="false" ht="17.15" hidden="false" customHeight="false" outlineLevel="0" collapsed="false">
      <c r="A756" s="4" t="n">
        <v>5</v>
      </c>
      <c r="B756" s="4" t="s">
        <v>20</v>
      </c>
      <c r="C756" s="8" t="s">
        <v>72</v>
      </c>
      <c r="D756" s="21" t="n">
        <v>45504</v>
      </c>
      <c r="E756" s="22" t="n">
        <v>380.49</v>
      </c>
      <c r="F756" s="21" t="n">
        <v>45505</v>
      </c>
      <c r="G756" s="22" t="n">
        <v>383.68</v>
      </c>
      <c r="H756" s="22" t="n">
        <v>353.89</v>
      </c>
      <c r="I756" s="21" t="n">
        <v>45506</v>
      </c>
      <c r="J756" s="22" t="n">
        <v>365.17</v>
      </c>
      <c r="K756" s="21" t="n">
        <v>45509</v>
      </c>
      <c r="L756" s="22" t="n">
        <v>355.28</v>
      </c>
      <c r="M756" s="8" t="s">
        <v>73</v>
      </c>
      <c r="N756" s="4" t="n">
        <v>2</v>
      </c>
      <c r="O756" s="6" t="n">
        <f aca="false">IF(C756="롱",(J756-E756)/E756,(E756-J756)/E756)</f>
        <v>-0.0402638702725433</v>
      </c>
    </row>
    <row r="757" customFormat="false" ht="17.15" hidden="false" customHeight="false" outlineLevel="0" collapsed="false">
      <c r="A757" s="4" t="n">
        <v>3</v>
      </c>
      <c r="B757" s="4" t="s">
        <v>16</v>
      </c>
      <c r="C757" s="8" t="s">
        <v>72</v>
      </c>
      <c r="D757" s="21" t="n">
        <v>45722</v>
      </c>
      <c r="E757" s="22" t="n">
        <v>340.31</v>
      </c>
      <c r="F757" s="21" t="n">
        <v>45723</v>
      </c>
      <c r="G757" s="22" t="n">
        <v>336.91</v>
      </c>
      <c r="H757" s="22" t="n">
        <v>317.78</v>
      </c>
      <c r="I757" s="21" t="n">
        <v>45727</v>
      </c>
      <c r="J757" s="22" t="n">
        <v>334.96</v>
      </c>
      <c r="K757" s="21" t="n">
        <v>45728</v>
      </c>
      <c r="L757" s="22" t="n">
        <v>337.02</v>
      </c>
      <c r="M757" s="8" t="s">
        <v>73</v>
      </c>
      <c r="N757" s="4" t="n">
        <v>3</v>
      </c>
      <c r="O757" s="6" t="n">
        <f aca="false">IF(C757="롱",(J757-E757)/E757,(E757-J757)/E757)</f>
        <v>-0.0157209603009022</v>
      </c>
    </row>
    <row r="758" customFormat="false" ht="17.15" hidden="false" customHeight="false" outlineLevel="0" collapsed="false">
      <c r="A758" s="4" t="n">
        <v>3</v>
      </c>
      <c r="B758" s="4" t="s">
        <v>16</v>
      </c>
      <c r="C758" s="8" t="s">
        <v>72</v>
      </c>
      <c r="D758" s="21" t="n">
        <v>45728</v>
      </c>
      <c r="E758" s="22" t="n">
        <v>340.89</v>
      </c>
      <c r="F758" s="21" t="n">
        <v>45729</v>
      </c>
      <c r="G758" s="22" t="n">
        <v>344.28</v>
      </c>
      <c r="H758" s="22" t="n">
        <v>316.29</v>
      </c>
      <c r="I758" s="21" t="n">
        <v>45747</v>
      </c>
      <c r="J758" s="22" t="n">
        <v>332.4</v>
      </c>
      <c r="K758" s="21" t="n">
        <v>45748</v>
      </c>
      <c r="L758" s="22" t="n">
        <v>336.72</v>
      </c>
      <c r="M758" s="8" t="s">
        <v>73</v>
      </c>
      <c r="N758" s="4" t="n">
        <v>13</v>
      </c>
      <c r="O758" s="6" t="n">
        <f aca="false">IF(C758="롱",(J758-E758)/E758,(E758-J758)/E758)</f>
        <v>-0.0249053947021033</v>
      </c>
    </row>
    <row r="759" customFormat="false" ht="17.15" hidden="false" customHeight="false" outlineLevel="0" collapsed="false">
      <c r="A759" s="4" t="n">
        <v>1</v>
      </c>
      <c r="B759" s="4" t="s">
        <v>12</v>
      </c>
      <c r="C759" s="8" t="s">
        <v>72</v>
      </c>
      <c r="D759" s="21" t="n">
        <v>45734</v>
      </c>
      <c r="E759" s="22" t="n">
        <v>347.84</v>
      </c>
      <c r="F759" s="21" t="n">
        <v>45735</v>
      </c>
      <c r="G759" s="22" t="n">
        <v>347.9</v>
      </c>
      <c r="H759" s="22" t="n">
        <v>321.26</v>
      </c>
      <c r="I759" s="21" t="n">
        <v>45744</v>
      </c>
      <c r="J759" s="22" t="n">
        <v>342.96</v>
      </c>
      <c r="K759" s="21" t="n">
        <v>45747</v>
      </c>
      <c r="L759" s="22" t="n">
        <v>336.95</v>
      </c>
      <c r="M759" s="8" t="s">
        <v>73</v>
      </c>
      <c r="N759" s="4" t="n">
        <v>8</v>
      </c>
      <c r="O759" s="6" t="n">
        <f aca="false">IF(C759="롱",(J759-E759)/E759,(E759-J759)/E759)</f>
        <v>-0.0140294388224471</v>
      </c>
    </row>
    <row r="760" customFormat="false" ht="17.15" hidden="false" customHeight="false" outlineLevel="0" collapsed="false">
      <c r="A760" s="4" t="n">
        <v>4</v>
      </c>
      <c r="B760" s="4" t="s">
        <v>18</v>
      </c>
      <c r="C760" s="8" t="s">
        <v>72</v>
      </c>
      <c r="D760" s="21" t="n">
        <v>45735</v>
      </c>
      <c r="E760" s="22" t="n">
        <v>350.85</v>
      </c>
      <c r="F760" s="21" t="n">
        <v>45736</v>
      </c>
      <c r="G760" s="22" t="n">
        <v>353.71</v>
      </c>
      <c r="H760" s="22" t="n">
        <v>323.96</v>
      </c>
      <c r="I760" s="21" t="n">
        <v>45748</v>
      </c>
      <c r="J760" s="22" t="n">
        <v>338.22</v>
      </c>
      <c r="K760" s="21" t="n">
        <v>45749</v>
      </c>
      <c r="L760" s="22" t="n">
        <v>338.76</v>
      </c>
      <c r="M760" s="8" t="s">
        <v>73</v>
      </c>
      <c r="N760" s="4" t="n">
        <v>9</v>
      </c>
      <c r="O760" s="6" t="n">
        <f aca="false">IF(C760="롱",(J760-E760)/E760,(E760-J760)/E760)</f>
        <v>-0.0359982898674647</v>
      </c>
    </row>
    <row r="761" customFormat="false" ht="17.15" hidden="false" customHeight="false" outlineLevel="0" collapsed="false">
      <c r="A761" s="4" t="n">
        <v>6</v>
      </c>
      <c r="B761" s="4" t="s">
        <v>22</v>
      </c>
      <c r="C761" s="8" t="s">
        <v>72</v>
      </c>
      <c r="D761" s="21" t="n">
        <v>45737</v>
      </c>
      <c r="E761" s="22" t="n">
        <v>355.18</v>
      </c>
      <c r="F761" s="21" t="n">
        <v>45740</v>
      </c>
      <c r="G761" s="22" t="n">
        <v>353.72</v>
      </c>
      <c r="H761" s="22" t="n">
        <v>329.36</v>
      </c>
      <c r="I761" s="21" t="n">
        <v>45741</v>
      </c>
      <c r="J761" s="22" t="n">
        <v>351.09</v>
      </c>
      <c r="K761" s="21" t="n">
        <v>45742</v>
      </c>
      <c r="L761" s="22" t="n">
        <v>352.78</v>
      </c>
      <c r="M761" s="8" t="s">
        <v>73</v>
      </c>
      <c r="N761" s="4" t="n">
        <v>2</v>
      </c>
      <c r="O761" s="6" t="n">
        <f aca="false">IF(C761="롱",(J761-E761)/E761,(E761-J761)/E761)</f>
        <v>-0.0115152880229744</v>
      </c>
    </row>
    <row r="762" customFormat="false" ht="17.15" hidden="false" customHeight="false" outlineLevel="0" collapsed="false">
      <c r="A762" s="4" t="n">
        <v>1</v>
      </c>
      <c r="B762" s="4" t="s">
        <v>12</v>
      </c>
      <c r="C762" s="8" t="s">
        <v>72</v>
      </c>
      <c r="D762" s="21" t="n">
        <v>45765</v>
      </c>
      <c r="E762" s="22" t="n">
        <v>328.35</v>
      </c>
      <c r="F762" s="21" t="n">
        <v>45768</v>
      </c>
      <c r="G762" s="22" t="n">
        <v>328.76</v>
      </c>
      <c r="H762" s="22" t="n">
        <v>295.52</v>
      </c>
      <c r="I762" s="21" t="n">
        <v>45840</v>
      </c>
      <c r="J762" s="22" t="n">
        <v>414.43</v>
      </c>
      <c r="K762" s="21" t="n">
        <v>45841</v>
      </c>
      <c r="L762" s="22" t="n">
        <v>418.31</v>
      </c>
      <c r="M762" s="8" t="s">
        <v>73</v>
      </c>
      <c r="N762" s="4" t="n">
        <v>48</v>
      </c>
      <c r="O762" s="6" t="n">
        <f aca="false">IF(C762="롱",(J762-E762)/E762,(E762-J762)/E762)</f>
        <v>0.262159281254759</v>
      </c>
    </row>
    <row r="763" customFormat="false" ht="17.15" hidden="false" customHeight="false" outlineLevel="0" collapsed="false">
      <c r="A763" s="4" t="n">
        <v>6</v>
      </c>
      <c r="B763" s="4" t="s">
        <v>22</v>
      </c>
      <c r="C763" s="8" t="s">
        <v>72</v>
      </c>
      <c r="D763" s="21" t="n">
        <v>45768</v>
      </c>
      <c r="E763" s="22" t="n">
        <v>329.31</v>
      </c>
      <c r="F763" s="21" t="n">
        <v>45769</v>
      </c>
      <c r="G763" s="22" t="n">
        <v>328.14</v>
      </c>
      <c r="H763" s="22" t="n">
        <v>296.38</v>
      </c>
      <c r="I763" s="21" t="n">
        <v>45796</v>
      </c>
      <c r="J763" s="22" t="n">
        <v>346.57</v>
      </c>
      <c r="K763" s="21" t="n">
        <v>45797</v>
      </c>
      <c r="L763" s="22" t="n">
        <v>349.43</v>
      </c>
      <c r="M763" s="8" t="s">
        <v>73</v>
      </c>
      <c r="N763" s="4" t="n">
        <v>17</v>
      </c>
      <c r="O763" s="6" t="n">
        <f aca="false">IF(C763="롱",(J763-E763)/E763,(E763-J763)/E763)</f>
        <v>0.0524126203273511</v>
      </c>
    </row>
    <row r="764" customFormat="false" ht="17.15" hidden="false" customHeight="false" outlineLevel="0" collapsed="false">
      <c r="A764" s="4" t="n">
        <v>4</v>
      </c>
      <c r="B764" s="4" t="s">
        <v>18</v>
      </c>
      <c r="C764" s="8" t="s">
        <v>72</v>
      </c>
      <c r="D764" s="21" t="n">
        <v>45770</v>
      </c>
      <c r="E764" s="22" t="n">
        <v>333.94</v>
      </c>
      <c r="F764" s="21" t="n">
        <v>45771</v>
      </c>
      <c r="G764" s="22" t="n">
        <v>333.87</v>
      </c>
      <c r="H764" s="22" t="n">
        <v>300.55</v>
      </c>
      <c r="I764" s="21" t="n">
        <v>45875</v>
      </c>
      <c r="J764" s="22" t="n">
        <v>430.68</v>
      </c>
      <c r="K764" s="21" t="n">
        <v>45876</v>
      </c>
      <c r="L764" s="22" t="n">
        <v>433.4</v>
      </c>
      <c r="M764" s="8" t="s">
        <v>73</v>
      </c>
      <c r="N764" s="4" t="n">
        <v>70</v>
      </c>
      <c r="O764" s="6" t="n">
        <f aca="false">IF(C764="롱",(J764-E764)/E764,(E764-J764)/E764)</f>
        <v>0.289692759178296</v>
      </c>
    </row>
    <row r="765" customFormat="false" ht="17.15" hidden="false" customHeight="false" outlineLevel="0" collapsed="false">
      <c r="A765" s="4" t="n">
        <v>6</v>
      </c>
      <c r="B765" s="4" t="s">
        <v>22</v>
      </c>
      <c r="C765" s="8" t="s">
        <v>72</v>
      </c>
      <c r="D765" s="21" t="n">
        <v>45813</v>
      </c>
      <c r="E765" s="22" t="n">
        <v>376.54</v>
      </c>
      <c r="F765" s="21" t="n">
        <v>45817</v>
      </c>
      <c r="G765" s="22" t="n">
        <v>381.25</v>
      </c>
      <c r="H765" s="22" t="n">
        <v>351.56</v>
      </c>
      <c r="I765" s="21" t="n">
        <v>45835</v>
      </c>
      <c r="J765" s="22" t="n">
        <v>412.72</v>
      </c>
      <c r="K765" s="21" t="n">
        <v>45838</v>
      </c>
      <c r="L765" s="22" t="n">
        <v>415.28</v>
      </c>
      <c r="M765" s="8" t="s">
        <v>73</v>
      </c>
      <c r="N765" s="4" t="n">
        <v>15</v>
      </c>
      <c r="O765" s="6" t="n">
        <f aca="false">IF(C765="롱",(J765-E765)/E765,(E765-J765)/E765)</f>
        <v>0.0960854092526691</v>
      </c>
    </row>
    <row r="766" customFormat="false" ht="17.15" hidden="false" customHeight="false" outlineLevel="0" collapsed="false">
      <c r="A766" s="4" t="n">
        <v>3</v>
      </c>
      <c r="B766" s="4" t="s">
        <v>16</v>
      </c>
      <c r="C766" s="8" t="s">
        <v>72</v>
      </c>
      <c r="D766" s="21" t="n">
        <v>45873</v>
      </c>
      <c r="E766" s="22" t="n">
        <v>424.79</v>
      </c>
      <c r="F766" s="21" t="n">
        <v>45874</v>
      </c>
      <c r="G766" s="22" t="n">
        <v>430.62</v>
      </c>
      <c r="H766" s="22" t="n">
        <v>389.29</v>
      </c>
      <c r="I766" s="21" t="n">
        <v>45901</v>
      </c>
      <c r="J766" s="22" t="n">
        <v>423.33</v>
      </c>
      <c r="K766" s="21" t="n">
        <v>45902</v>
      </c>
      <c r="L766" s="22" t="n">
        <v>424.98</v>
      </c>
      <c r="M766" s="8" t="s">
        <v>73</v>
      </c>
      <c r="N766" s="4" t="n">
        <v>19</v>
      </c>
      <c r="O766" s="6" t="n">
        <f aca="false">IF(C766="롱",(J766-E766)/E766,(E766-J766)/E766)</f>
        <v>-0.00343699239624294</v>
      </c>
    </row>
    <row r="767" customFormat="false" ht="17.15" hidden="false" customHeight="false" outlineLevel="0" collapsed="false">
      <c r="A767" s="4" t="n">
        <v>10</v>
      </c>
      <c r="B767" s="4" t="s">
        <v>30</v>
      </c>
      <c r="C767" s="8" t="s">
        <v>72</v>
      </c>
      <c r="D767" s="21" t="n">
        <v>45874</v>
      </c>
      <c r="E767" s="22" t="n">
        <v>431.25</v>
      </c>
      <c r="F767" s="21" t="n">
        <v>45875</v>
      </c>
      <c r="G767" s="22" t="n">
        <v>428.9</v>
      </c>
      <c r="H767" s="22" t="n">
        <v>395.64</v>
      </c>
      <c r="I767" s="21" t="n">
        <v>45875</v>
      </c>
      <c r="J767" s="22" t="n">
        <v>430.68</v>
      </c>
      <c r="K767" s="21" t="n">
        <v>45876</v>
      </c>
      <c r="L767" s="22" t="n">
        <v>433.4</v>
      </c>
      <c r="M767" s="8" t="s">
        <v>73</v>
      </c>
      <c r="N767" s="4" t="n">
        <v>1</v>
      </c>
      <c r="O767" s="6" t="n">
        <f aca="false">IF(C767="롱",(J767-E767)/E767,(E767-J767)/E767)</f>
        <v>-0.00132173913043477</v>
      </c>
    </row>
    <row r="768" customFormat="false" ht="17.15" hidden="false" customHeight="false" outlineLevel="0" collapsed="false">
      <c r="A768" s="4" t="n">
        <v>10</v>
      </c>
      <c r="B768" s="4" t="s">
        <v>30</v>
      </c>
      <c r="C768" s="8" t="s">
        <v>72</v>
      </c>
      <c r="D768" s="21" t="n">
        <v>45876</v>
      </c>
      <c r="E768" s="22" t="n">
        <v>435.35</v>
      </c>
      <c r="F768" s="21" t="n">
        <v>45877</v>
      </c>
      <c r="G768" s="22" t="n">
        <v>434.44</v>
      </c>
      <c r="H768" s="22" t="n">
        <v>400.28</v>
      </c>
      <c r="I768" s="21" t="n">
        <v>45881</v>
      </c>
      <c r="J768" s="22" t="n">
        <v>431.63</v>
      </c>
      <c r="K768" s="21" t="n">
        <v>45882</v>
      </c>
      <c r="L768" s="22" t="n">
        <v>436.93</v>
      </c>
      <c r="M768" s="8" t="s">
        <v>73</v>
      </c>
      <c r="N768" s="4" t="n">
        <v>3</v>
      </c>
      <c r="O768" s="6" t="n">
        <f aca="false">IF(C768="롱",(J768-E768)/E768,(E768-J768)/E768)</f>
        <v>-0.00854484897209148</v>
      </c>
    </row>
    <row r="769" customFormat="false" ht="17.15" hidden="false" customHeight="false" outlineLevel="0" collapsed="false">
      <c r="A769" s="4" t="n">
        <v>4</v>
      </c>
      <c r="B769" s="4" t="s">
        <v>18</v>
      </c>
      <c r="C769" s="8" t="s">
        <v>72</v>
      </c>
      <c r="D769" s="21" t="n">
        <v>45880</v>
      </c>
      <c r="E769" s="22" t="n">
        <v>433.29</v>
      </c>
      <c r="F769" s="21" t="n">
        <v>45881</v>
      </c>
      <c r="G769" s="22" t="n">
        <v>434.11</v>
      </c>
      <c r="H769" s="22" t="n">
        <v>399.38</v>
      </c>
      <c r="I769" s="21" t="n">
        <v>45889</v>
      </c>
      <c r="J769" s="22" t="n">
        <v>423.66</v>
      </c>
      <c r="K769" s="21" t="n">
        <v>45890</v>
      </c>
      <c r="L769" s="22" t="n">
        <v>425.12</v>
      </c>
      <c r="M769" s="8" t="s">
        <v>73</v>
      </c>
      <c r="N769" s="4" t="n">
        <v>6</v>
      </c>
      <c r="O769" s="6" t="n">
        <f aca="false">IF(C769="롱",(J769-E769)/E769,(E769-J769)/E769)</f>
        <v>-0.0222252994530222</v>
      </c>
    </row>
    <row r="770" customFormat="false" ht="17.15" hidden="false" customHeight="false" outlineLevel="0" collapsed="false">
      <c r="A770" s="4" t="n">
        <v>4</v>
      </c>
      <c r="B770" s="4" t="s">
        <v>18</v>
      </c>
      <c r="C770" s="8" t="s">
        <v>72</v>
      </c>
      <c r="D770" s="21" t="n">
        <v>45898</v>
      </c>
      <c r="E770" s="22" t="n">
        <v>430.12</v>
      </c>
      <c r="F770" s="21" t="n">
        <v>45901</v>
      </c>
      <c r="G770" s="22" t="n">
        <v>426.31</v>
      </c>
      <c r="H770" s="22" t="n">
        <v>398.59</v>
      </c>
      <c r="I770" s="21" t="n">
        <v>45901</v>
      </c>
      <c r="J770" s="22" t="n">
        <v>423.33</v>
      </c>
      <c r="K770" s="21" t="n">
        <v>45902</v>
      </c>
      <c r="L770" s="22" t="n">
        <v>424.98</v>
      </c>
      <c r="M770" s="8" t="s">
        <v>73</v>
      </c>
      <c r="N770" s="4" t="n">
        <v>1</v>
      </c>
      <c r="O770" s="6" t="n">
        <f aca="false">IF(C770="롱",(J770-E770)/E770,(E770-J770)/E770)</f>
        <v>-0.0157862921975263</v>
      </c>
    </row>
    <row r="771" customFormat="false" ht="17.15" hidden="false" customHeight="false" outlineLevel="0" collapsed="false">
      <c r="A771" s="4" t="n">
        <v>3</v>
      </c>
      <c r="B771" s="4" t="s">
        <v>16</v>
      </c>
      <c r="C771" s="8" t="s">
        <v>72</v>
      </c>
      <c r="D771" s="21" t="n">
        <v>45903</v>
      </c>
      <c r="E771" s="22" t="n">
        <v>430.37</v>
      </c>
      <c r="F771" s="21" t="n">
        <v>45904</v>
      </c>
      <c r="G771" s="22" t="n">
        <v>430.42</v>
      </c>
      <c r="H771" s="22" t="n">
        <v>403.38</v>
      </c>
      <c r="I771" s="21" t="n">
        <v>45912</v>
      </c>
      <c r="J771" s="22" t="n">
        <v>462.74</v>
      </c>
      <c r="K771" s="21" t="n">
        <v>45915</v>
      </c>
      <c r="L771" s="22" t="n">
        <v>465.3</v>
      </c>
      <c r="M771" s="8" t="s">
        <v>73</v>
      </c>
      <c r="N771" s="4" t="n">
        <v>7</v>
      </c>
      <c r="O771" s="6" t="n">
        <f aca="false">IF(C771="롱",(J771-E771)/E771,(E771-J771)/E771)</f>
        <v>0.0752143504426424</v>
      </c>
    </row>
    <row r="772" customFormat="false" ht="17.15" hidden="false" customHeight="false" outlineLevel="0" collapsed="false">
      <c r="A772" s="4" t="n">
        <v>1</v>
      </c>
      <c r="B772" s="4" t="s">
        <v>12</v>
      </c>
      <c r="C772" s="8" t="s">
        <v>72</v>
      </c>
      <c r="D772" s="21" t="n">
        <v>45908</v>
      </c>
      <c r="E772" s="22" t="n">
        <v>434.85</v>
      </c>
      <c r="F772" s="21" t="n">
        <v>45909</v>
      </c>
      <c r="G772" s="22" t="n">
        <v>436.17</v>
      </c>
      <c r="H772" s="22" t="n">
        <v>408.98</v>
      </c>
      <c r="I772" s="21" t="n">
        <v>45930</v>
      </c>
      <c r="J772" s="22" t="n">
        <v>474.03</v>
      </c>
      <c r="K772" s="21" t="n">
        <v>45931</v>
      </c>
      <c r="L772" s="22" t="n">
        <v>477.16</v>
      </c>
      <c r="M772" s="8" t="s">
        <v>73</v>
      </c>
      <c r="N772" s="4" t="n">
        <v>16</v>
      </c>
      <c r="O772" s="6" t="n">
        <f aca="false">IF(C772="롱",(J772-E772)/E772,(E772-J772)/E772)</f>
        <v>0.0901000344946532</v>
      </c>
    </row>
    <row r="773" customFormat="false" ht="17.15" hidden="false" customHeight="false" outlineLevel="0" collapsed="false">
      <c r="A773" s="4" t="n">
        <v>4</v>
      </c>
      <c r="B773" s="4" t="s">
        <v>18</v>
      </c>
      <c r="C773" s="8" t="s">
        <v>72</v>
      </c>
      <c r="D773" s="21" t="n">
        <v>45908</v>
      </c>
      <c r="E773" s="22" t="n">
        <v>434.85</v>
      </c>
      <c r="F773" s="21" t="n">
        <v>45909</v>
      </c>
      <c r="G773" s="22" t="n">
        <v>436.17</v>
      </c>
      <c r="H773" s="22" t="n">
        <v>408.98</v>
      </c>
      <c r="I773" s="21" t="n">
        <v>45980</v>
      </c>
      <c r="J773" s="22" t="n">
        <v>552.66</v>
      </c>
      <c r="K773" s="21" t="n">
        <v>45981</v>
      </c>
      <c r="L773" s="22" t="n">
        <v>569.22</v>
      </c>
      <c r="M773" s="8" t="s">
        <v>73</v>
      </c>
      <c r="N773" s="4" t="n">
        <v>48</v>
      </c>
      <c r="O773" s="6" t="n">
        <f aca="false">IF(C773="롱",(J773-E773)/E773,(E773-J773)/E773)</f>
        <v>0.270921007243877</v>
      </c>
    </row>
    <row r="774" customFormat="false" ht="17.15" hidden="false" customHeight="false" outlineLevel="0" collapsed="false">
      <c r="A774" s="4" t="n">
        <v>6</v>
      </c>
      <c r="B774" s="4" t="s">
        <v>22</v>
      </c>
      <c r="C774" s="8" t="s">
        <v>72</v>
      </c>
      <c r="D774" s="21" t="n">
        <v>45908</v>
      </c>
      <c r="E774" s="22" t="n">
        <v>434.85</v>
      </c>
      <c r="F774" s="21" t="n">
        <v>45909</v>
      </c>
      <c r="G774" s="22" t="n">
        <v>436.17</v>
      </c>
      <c r="H774" s="22" t="n">
        <v>408.98</v>
      </c>
      <c r="I774" s="21" t="n">
        <v>45926</v>
      </c>
      <c r="J774" s="22" t="n">
        <v>468.03</v>
      </c>
      <c r="K774" s="21" t="n">
        <v>45929</v>
      </c>
      <c r="L774" s="22" t="n">
        <v>472.11</v>
      </c>
      <c r="M774" s="8" t="s">
        <v>73</v>
      </c>
      <c r="N774" s="4" t="n">
        <v>14</v>
      </c>
      <c r="O774" s="6" t="n">
        <f aca="false">IF(C774="롱",(J774-E774)/E774,(E774-J774)/E774)</f>
        <v>0.0763021731631596</v>
      </c>
    </row>
    <row r="775" customFormat="false" ht="17.15" hidden="false" customHeight="false" outlineLevel="0" collapsed="false">
      <c r="A775" s="4" t="n">
        <v>1</v>
      </c>
      <c r="B775" s="4" t="s">
        <v>12</v>
      </c>
      <c r="C775" s="8" t="s">
        <v>72</v>
      </c>
      <c r="D775" s="21" t="n">
        <v>45932</v>
      </c>
      <c r="E775" s="22" t="n">
        <v>493.41</v>
      </c>
      <c r="F775" s="21" t="n">
        <v>45936</v>
      </c>
      <c r="G775" s="22" t="n">
        <v>491.25</v>
      </c>
      <c r="H775" s="22" t="n">
        <v>456.71</v>
      </c>
      <c r="I775" s="21" t="n">
        <v>45967</v>
      </c>
      <c r="J775" s="22" t="n">
        <v>568.38</v>
      </c>
      <c r="K775" s="21" t="n">
        <v>45968</v>
      </c>
      <c r="L775" s="22" t="n">
        <v>558.74</v>
      </c>
      <c r="M775" s="8" t="s">
        <v>73</v>
      </c>
      <c r="N775" s="4" t="n">
        <v>21</v>
      </c>
      <c r="O775" s="6" t="n">
        <f aca="false">IF(C775="롱",(J775-E775)/E775,(E775-J775)/E775)</f>
        <v>0.151942603514319</v>
      </c>
    </row>
    <row r="776" customFormat="false" ht="17.15" hidden="false" customHeight="false" outlineLevel="0" collapsed="false">
      <c r="A776" s="4" t="n">
        <v>6</v>
      </c>
      <c r="B776" s="4" t="s">
        <v>22</v>
      </c>
      <c r="C776" s="8" t="s">
        <v>72</v>
      </c>
      <c r="D776" s="21" t="n">
        <v>45947</v>
      </c>
      <c r="E776" s="22" t="n">
        <v>525.48</v>
      </c>
      <c r="F776" s="21" t="n">
        <v>45950</v>
      </c>
      <c r="G776" s="22" t="n">
        <v>529.82</v>
      </c>
      <c r="H776" s="22" t="n">
        <v>476.83</v>
      </c>
      <c r="I776" s="21" t="n">
        <v>45966</v>
      </c>
      <c r="J776" s="22" t="n">
        <v>565.4</v>
      </c>
      <c r="K776" s="21" t="n">
        <v>45967</v>
      </c>
      <c r="L776" s="22" t="n">
        <v>578.79</v>
      </c>
      <c r="M776" s="8" t="s">
        <v>73</v>
      </c>
      <c r="N776" s="4" t="n">
        <v>13</v>
      </c>
      <c r="O776" s="6" t="n">
        <f aca="false">IF(C776="롱",(J776-E776)/E776,(E776-J776)/E776)</f>
        <v>0.0759686381974575</v>
      </c>
    </row>
    <row r="777" customFormat="false" ht="17.15" hidden="false" customHeight="false" outlineLevel="0" collapsed="false">
      <c r="A777" s="4" t="n">
        <v>11</v>
      </c>
      <c r="B777" s="4" t="s">
        <v>32</v>
      </c>
      <c r="C777" s="8" t="s">
        <v>74</v>
      </c>
      <c r="D777" s="21" t="n">
        <v>45975</v>
      </c>
      <c r="E777" s="22" t="n">
        <v>563.43</v>
      </c>
      <c r="F777" s="21" t="n">
        <v>45978</v>
      </c>
      <c r="G777" s="22" t="n">
        <v>574.43</v>
      </c>
      <c r="H777" s="22" t="n">
        <v>619.77</v>
      </c>
      <c r="I777" s="21" t="n">
        <v>45978</v>
      </c>
      <c r="J777" s="22" t="n">
        <v>576.65</v>
      </c>
      <c r="K777" s="21" t="n">
        <v>45979</v>
      </c>
      <c r="L777" s="22" t="n">
        <v>569.37</v>
      </c>
      <c r="M777" s="8" t="s">
        <v>73</v>
      </c>
      <c r="N777" s="4" t="n">
        <v>1</v>
      </c>
      <c r="O777" s="6" t="n">
        <f aca="false">IF(C777="롱",(J777-E777)/E777,(E777-J777)/E777)</f>
        <v>-0.0234634293523597</v>
      </c>
    </row>
    <row r="778" customFormat="false" ht="17.15" hidden="false" customHeight="false" outlineLevel="0" collapsed="false">
      <c r="A778" s="4" t="n">
        <v>2</v>
      </c>
      <c r="B778" s="4" t="s">
        <v>14</v>
      </c>
      <c r="C778" s="8" t="s">
        <v>72</v>
      </c>
      <c r="D778" s="21" t="n">
        <v>45982</v>
      </c>
      <c r="E778" s="22" t="n">
        <v>540.36</v>
      </c>
      <c r="F778" s="21" t="n">
        <v>45985</v>
      </c>
      <c r="G778" s="22" t="n">
        <v>550.52</v>
      </c>
      <c r="H778" s="22" t="n">
        <v>486.32</v>
      </c>
      <c r="I778" s="21" t="n">
        <v>45996</v>
      </c>
      <c r="J778" s="22" t="n">
        <v>580.81</v>
      </c>
      <c r="K778" s="21" t="n">
        <v>45999</v>
      </c>
      <c r="L778" s="22" t="n">
        <v>581.89</v>
      </c>
      <c r="M778" s="8" t="s">
        <v>73</v>
      </c>
      <c r="N778" s="4" t="n">
        <v>10</v>
      </c>
      <c r="O778" s="6" t="n">
        <f aca="false">IF(C778="롱",(J778-E778)/E778,(E778-J778)/E778)</f>
        <v>0.0748575024058034</v>
      </c>
    </row>
    <row r="779" customFormat="false" ht="17.15" hidden="false" customHeight="false" outlineLevel="0" collapsed="false">
      <c r="A779" s="4" t="n">
        <v>3</v>
      </c>
      <c r="B779" s="4" t="s">
        <v>16</v>
      </c>
      <c r="C779" s="8" t="s">
        <v>72</v>
      </c>
      <c r="D779" s="21" t="n">
        <v>45987</v>
      </c>
      <c r="E779" s="22" t="n">
        <v>559.37</v>
      </c>
      <c r="F779" s="21" t="n">
        <v>45988</v>
      </c>
      <c r="G779" s="22" t="n">
        <v>564.24</v>
      </c>
      <c r="H779" s="22" t="n">
        <v>503.43</v>
      </c>
      <c r="I779" s="21" t="n">
        <v>46027</v>
      </c>
      <c r="J779" s="22" t="n">
        <v>648.74</v>
      </c>
      <c r="K779" s="21" t="n">
        <v>46028</v>
      </c>
      <c r="L779" s="22" t="n">
        <v>645.59</v>
      </c>
      <c r="M779" s="8" t="s">
        <v>73</v>
      </c>
      <c r="N779" s="4" t="n">
        <v>25</v>
      </c>
      <c r="O779" s="6" t="n">
        <f aca="false">IF(C779="롱",(J779-E779)/E779,(E779-J779)/E779)</f>
        <v>0.159769025868388</v>
      </c>
    </row>
    <row r="780" customFormat="false" ht="17.15" hidden="false" customHeight="false" outlineLevel="0" collapsed="false">
      <c r="A780" s="4" t="n">
        <v>1</v>
      </c>
      <c r="B780" s="4" t="s">
        <v>12</v>
      </c>
      <c r="C780" s="8" t="s">
        <v>72</v>
      </c>
      <c r="D780" s="21" t="n">
        <v>45996</v>
      </c>
      <c r="E780" s="22" t="n">
        <v>580.81</v>
      </c>
      <c r="F780" s="21" t="n">
        <v>45999</v>
      </c>
      <c r="G780" s="22" t="n">
        <v>581.89</v>
      </c>
      <c r="H780" s="22" t="n">
        <v>522.73</v>
      </c>
      <c r="I780" s="21" t="n">
        <v>46007</v>
      </c>
      <c r="J780" s="22" t="n">
        <v>561.52</v>
      </c>
      <c r="K780" s="21" t="n">
        <v>46008</v>
      </c>
      <c r="L780" s="22" t="n">
        <v>564.59</v>
      </c>
      <c r="M780" s="8" t="s">
        <v>73</v>
      </c>
      <c r="N780" s="4" t="n">
        <v>7</v>
      </c>
      <c r="O780" s="6" t="n">
        <f aca="false">IF(C780="롱",(J780-E780)/E780,(E780-J780)/E780)</f>
        <v>-0.0332122380813002</v>
      </c>
    </row>
    <row r="781" customFormat="false" ht="17.15" hidden="false" customHeight="false" outlineLevel="0" collapsed="false">
      <c r="A781" s="4" t="n">
        <v>4</v>
      </c>
      <c r="B781" s="4" t="s">
        <v>18</v>
      </c>
      <c r="C781" s="8" t="s">
        <v>72</v>
      </c>
      <c r="D781" s="21" t="n">
        <v>45996</v>
      </c>
      <c r="E781" s="22" t="n">
        <v>580.81</v>
      </c>
      <c r="F781" s="21" t="n">
        <v>45999</v>
      </c>
      <c r="G781" s="22" t="n">
        <v>581.89</v>
      </c>
      <c r="H781" s="22" t="n">
        <v>522.73</v>
      </c>
      <c r="I781" s="21" t="n">
        <v>46090</v>
      </c>
      <c r="J781" s="22" t="n">
        <v>775.31</v>
      </c>
      <c r="K781" s="21" t="n">
        <v>46091</v>
      </c>
      <c r="L781" s="22" t="n">
        <v>820.11</v>
      </c>
      <c r="M781" s="8" t="s">
        <v>73</v>
      </c>
      <c r="N781" s="4" t="n">
        <v>59</v>
      </c>
      <c r="O781" s="6" t="n">
        <f aca="false">IF(C781="롱",(J781-E781)/E781,(E781-J781)/E781)</f>
        <v>0.334877154318968</v>
      </c>
    </row>
    <row r="782" customFormat="false" ht="17.15" hidden="false" customHeight="false" outlineLevel="0" collapsed="false">
      <c r="A782" s="4" t="n">
        <v>1</v>
      </c>
      <c r="B782" s="4" t="s">
        <v>12</v>
      </c>
      <c r="C782" s="8" t="s">
        <v>72</v>
      </c>
      <c r="D782" s="21" t="n">
        <v>46017</v>
      </c>
      <c r="E782" s="22" t="n">
        <v>590.08</v>
      </c>
      <c r="F782" s="21" t="n">
        <v>46020</v>
      </c>
      <c r="G782" s="22" t="n">
        <v>594.65</v>
      </c>
      <c r="H782" s="22" t="n">
        <v>536.8</v>
      </c>
      <c r="I782" s="21" t="n">
        <v>46059</v>
      </c>
      <c r="J782" s="22" t="n">
        <v>748.1</v>
      </c>
      <c r="K782" s="21" t="n">
        <v>46062</v>
      </c>
      <c r="L782" s="22" t="n">
        <v>782.04</v>
      </c>
      <c r="M782" s="8" t="s">
        <v>73</v>
      </c>
      <c r="N782" s="4" t="n">
        <v>28</v>
      </c>
      <c r="O782" s="6" t="n">
        <f aca="false">IF(C782="롱",(J782-E782)/E782,(E782-J782)/E782)</f>
        <v>0.267794197396963</v>
      </c>
    </row>
    <row r="783" customFormat="false" ht="17.15" hidden="false" customHeight="false" outlineLevel="0" collapsed="false">
      <c r="A783" s="4" t="n">
        <v>6</v>
      </c>
      <c r="B783" s="4" t="s">
        <v>22</v>
      </c>
      <c r="C783" s="8" t="s">
        <v>72</v>
      </c>
      <c r="D783" s="21" t="n">
        <v>46021</v>
      </c>
      <c r="E783" s="22" t="n">
        <v>605.98</v>
      </c>
      <c r="F783" s="21" t="n">
        <v>46024</v>
      </c>
      <c r="G783" s="22" t="n">
        <v>607.66</v>
      </c>
      <c r="H783" s="22" t="n">
        <v>552.85</v>
      </c>
      <c r="I783" s="21" t="n">
        <v>46055</v>
      </c>
      <c r="J783" s="22" t="n">
        <v>725.46</v>
      </c>
      <c r="K783" s="21" t="n">
        <v>46056</v>
      </c>
      <c r="L783" s="22" t="n">
        <v>751.94</v>
      </c>
      <c r="M783" s="8" t="s">
        <v>73</v>
      </c>
      <c r="N783" s="4" t="n">
        <v>22</v>
      </c>
      <c r="O783" s="6" t="n">
        <f aca="false">IF(C783="롱",(J783-E783)/E783,(E783-J783)/E783)</f>
        <v>0.197168223373709</v>
      </c>
    </row>
    <row r="784" customFormat="false" ht="17.15" hidden="false" customHeight="false" outlineLevel="0" collapsed="false">
      <c r="A784" s="4" t="n">
        <v>1</v>
      </c>
      <c r="B784" s="4" t="s">
        <v>12</v>
      </c>
      <c r="C784" s="8" t="s">
        <v>72</v>
      </c>
      <c r="D784" s="21" t="n">
        <v>46065</v>
      </c>
      <c r="E784" s="22" t="n">
        <v>816.28</v>
      </c>
      <c r="F784" s="21" t="n">
        <v>46066</v>
      </c>
      <c r="G784" s="22" t="n">
        <v>815.97</v>
      </c>
      <c r="H784" s="22" t="n">
        <v>734.65</v>
      </c>
      <c r="I784" s="21" t="n">
        <v>46085</v>
      </c>
      <c r="J784" s="22" t="n">
        <v>756.79</v>
      </c>
      <c r="K784" s="21" t="n">
        <v>46086</v>
      </c>
      <c r="L784" s="22" t="n">
        <v>775.83</v>
      </c>
      <c r="M784" s="8" t="s">
        <v>73</v>
      </c>
      <c r="N784" s="4" t="n">
        <v>10</v>
      </c>
      <c r="O784" s="6" t="n">
        <f aca="false">IF(C784="롱",(J784-E784)/E784,(E784-J784)/E784)</f>
        <v>-0.0728794041260352</v>
      </c>
    </row>
    <row r="785" customFormat="false" ht="17.15" hidden="false" customHeight="false" outlineLevel="0" collapsed="false">
      <c r="A785" s="4" t="n">
        <v>6</v>
      </c>
      <c r="B785" s="4" t="s">
        <v>22</v>
      </c>
      <c r="C785" s="8" t="s">
        <v>72</v>
      </c>
      <c r="D785" s="21" t="n">
        <v>46076</v>
      </c>
      <c r="E785" s="22" t="n">
        <v>865.49</v>
      </c>
      <c r="F785" s="21" t="n">
        <v>46077</v>
      </c>
      <c r="G785" s="22" t="n">
        <v>866.44</v>
      </c>
      <c r="H785" s="22" t="n">
        <v>778.94</v>
      </c>
      <c r="I785" s="21" t="n">
        <v>46084</v>
      </c>
      <c r="J785" s="22" t="n">
        <v>859.4</v>
      </c>
      <c r="K785" s="21" t="n">
        <v>46085</v>
      </c>
      <c r="L785" s="22" t="n">
        <v>827.46</v>
      </c>
      <c r="M785" s="8" t="s">
        <v>73</v>
      </c>
      <c r="N785" s="4" t="n">
        <v>5</v>
      </c>
      <c r="O785" s="6" t="n">
        <f aca="false">IF(C785="롱",(J785-E785)/E785,(E785-J785)/E785)</f>
        <v>-0.00703647644686828</v>
      </c>
    </row>
    <row r="786" customFormat="false" ht="17.15" hidden="false" customHeight="false" outlineLevel="0" collapsed="false">
      <c r="A786" s="4" t="n">
        <v>3</v>
      </c>
      <c r="B786" s="4" t="s">
        <v>16</v>
      </c>
      <c r="C786" s="8" t="s">
        <v>72</v>
      </c>
      <c r="D786" s="21" t="n">
        <v>46086</v>
      </c>
      <c r="E786" s="22" t="n">
        <v>831.22</v>
      </c>
      <c r="F786" s="21" t="n">
        <v>46087</v>
      </c>
      <c r="G786" s="22" t="n">
        <v>815.04</v>
      </c>
      <c r="H786" s="22" t="n">
        <v>748.1</v>
      </c>
      <c r="I786" s="21" t="n">
        <v>46111</v>
      </c>
      <c r="J786" s="22" t="n">
        <v>780.32</v>
      </c>
      <c r="K786" s="21" t="n">
        <v>46112</v>
      </c>
      <c r="L786" s="22" t="n">
        <v>757.62</v>
      </c>
      <c r="M786" s="8" t="s">
        <v>73</v>
      </c>
      <c r="N786" s="4" t="n">
        <v>17</v>
      </c>
      <c r="O786" s="6" t="n">
        <f aca="false">IF(C786="롱",(J786-E786)/E786,(E786-J786)/E786)</f>
        <v>-0.061235292702293</v>
      </c>
    </row>
    <row r="787" customFormat="false" ht="17.15" hidden="false" customHeight="false" outlineLevel="0" collapsed="false">
      <c r="A787" s="4" t="n">
        <v>4</v>
      </c>
      <c r="B787" s="4" t="s">
        <v>18</v>
      </c>
      <c r="C787" s="8" t="s">
        <v>72</v>
      </c>
      <c r="D787" s="21" t="n">
        <v>46101</v>
      </c>
      <c r="E787" s="22" t="n">
        <v>862.5</v>
      </c>
      <c r="F787" s="21" t="n">
        <v>46104</v>
      </c>
      <c r="G787" s="22" t="n">
        <v>829.96</v>
      </c>
      <c r="H787" s="22" t="n">
        <v>776.25</v>
      </c>
      <c r="I787" s="21" t="n">
        <v>46106</v>
      </c>
      <c r="J787" s="22" t="n">
        <v>838.7</v>
      </c>
      <c r="K787" s="21" t="n">
        <v>46107</v>
      </c>
      <c r="L787" s="22" t="n">
        <v>829.6</v>
      </c>
      <c r="M787" s="8" t="s">
        <v>73</v>
      </c>
      <c r="N787" s="4" t="n">
        <v>3</v>
      </c>
      <c r="O787" s="6" t="n">
        <f aca="false">IF(C787="롱",(J787-E787)/E787,(E787-J787)/E787)</f>
        <v>-0.0275942028985507</v>
      </c>
    </row>
    <row r="788" customFormat="false" ht="17.15" hidden="false" customHeight="false" outlineLevel="0" collapsed="false">
      <c r="A788" s="4" t="n">
        <v>2</v>
      </c>
      <c r="B788" s="4" t="s">
        <v>14</v>
      </c>
      <c r="C788" s="8" t="s">
        <v>72</v>
      </c>
      <c r="D788" s="21" t="n">
        <v>46112</v>
      </c>
      <c r="E788" s="22" t="n">
        <v>744.57</v>
      </c>
      <c r="F788" s="21" t="n">
        <v>46113</v>
      </c>
      <c r="G788" s="22" t="n">
        <v>789.35</v>
      </c>
      <c r="H788" s="22" t="n">
        <v>670.11</v>
      </c>
      <c r="I788" s="21" t="n">
        <v>46120</v>
      </c>
      <c r="J788" s="22" t="n">
        <v>882.81</v>
      </c>
      <c r="K788" s="21" t="n">
        <v>46121</v>
      </c>
      <c r="L788" s="22" t="n">
        <v>874.49</v>
      </c>
      <c r="M788" s="8" t="s">
        <v>73</v>
      </c>
      <c r="N788" s="4" t="n">
        <v>6</v>
      </c>
      <c r="O788" s="6" t="n">
        <f aca="false">IF(C788="롱",(J788-E788)/E788,(E788-J788)/E788)</f>
        <v>0.185664208872235</v>
      </c>
    </row>
    <row r="789" customFormat="false" ht="17.15" hidden="false" customHeight="false" outlineLevel="0" collapsed="false">
      <c r="A789" s="4" t="n">
        <v>3</v>
      </c>
      <c r="B789" s="4" t="s">
        <v>16</v>
      </c>
      <c r="C789" s="8" t="s">
        <v>72</v>
      </c>
      <c r="D789" s="21" t="n">
        <v>46113</v>
      </c>
      <c r="E789" s="22" t="n">
        <v>813.84</v>
      </c>
      <c r="F789" s="21" t="n">
        <v>46114</v>
      </c>
      <c r="G789" s="22" t="n">
        <v>825.52</v>
      </c>
      <c r="H789" s="22" t="n">
        <v>732.46</v>
      </c>
      <c r="I789" s="21" t="n">
        <v>46148</v>
      </c>
      <c r="J789" s="22" t="n">
        <v>1129.63</v>
      </c>
      <c r="K789" s="21" t="n">
        <v>46149</v>
      </c>
      <c r="L789" s="22" t="n">
        <v>1150.18</v>
      </c>
      <c r="M789" s="8" t="s">
        <v>73</v>
      </c>
      <c r="N789" s="4" t="n">
        <v>23</v>
      </c>
      <c r="O789" s="6" t="n">
        <f aca="false">IF(C789="롱",(J789-E789)/E789,(E789-J789)/E789)</f>
        <v>0.388024673154428</v>
      </c>
    </row>
    <row r="790" customFormat="false" ht="17.15" hidden="false" customHeight="false" outlineLevel="0" collapsed="false">
      <c r="A790" s="4" t="n">
        <v>5</v>
      </c>
      <c r="B790" s="4" t="s">
        <v>20</v>
      </c>
      <c r="C790" s="8" t="s">
        <v>72</v>
      </c>
      <c r="D790" s="21" t="n">
        <v>46113</v>
      </c>
      <c r="E790" s="22" t="n">
        <v>813.84</v>
      </c>
      <c r="F790" s="21" t="n">
        <v>46114</v>
      </c>
      <c r="G790" s="22" t="n">
        <v>825.52</v>
      </c>
      <c r="H790" s="22" t="n">
        <v>732.46</v>
      </c>
      <c r="I790" s="21" t="n">
        <v>46114</v>
      </c>
      <c r="J790" s="22" t="n">
        <v>774.63</v>
      </c>
      <c r="K790" s="21" t="n">
        <v>46115</v>
      </c>
      <c r="L790" s="22" t="n">
        <v>797.34</v>
      </c>
      <c r="M790" s="8" t="s">
        <v>73</v>
      </c>
      <c r="N790" s="4" t="n">
        <v>1</v>
      </c>
      <c r="O790" s="6" t="n">
        <f aca="false">IF(C790="롱",(J790-E790)/E790,(E790-J790)/E790)</f>
        <v>-0.0481790032438809</v>
      </c>
    </row>
    <row r="791" customFormat="false" ht="17.15" hidden="false" customHeight="false" outlineLevel="0" collapsed="false">
      <c r="A791" s="4" t="n">
        <v>5</v>
      </c>
      <c r="B791" s="4" t="s">
        <v>20</v>
      </c>
      <c r="C791" s="8" t="s">
        <v>72</v>
      </c>
      <c r="D791" s="21" t="n">
        <v>46115</v>
      </c>
      <c r="E791" s="22" t="n">
        <v>798.32</v>
      </c>
      <c r="F791" s="21" t="n">
        <v>46118</v>
      </c>
      <c r="G791" s="22" t="n">
        <v>806.59</v>
      </c>
      <c r="H791" s="22" t="n">
        <v>718.49</v>
      </c>
      <c r="I791" s="21" t="n">
        <v>46211</v>
      </c>
      <c r="J791" s="22" t="n">
        <v>1158.37</v>
      </c>
      <c r="K791" s="21" t="n">
        <v>46212</v>
      </c>
      <c r="L791" s="22" t="n">
        <v>1202.01</v>
      </c>
      <c r="M791" s="8" t="s">
        <v>73</v>
      </c>
      <c r="N791" s="4" t="n">
        <v>64</v>
      </c>
      <c r="O791" s="6" t="n">
        <f aca="false">IF(C791="롱",(J791-E791)/E791,(E791-J791)/E791)</f>
        <v>0.451009620202425</v>
      </c>
    </row>
    <row r="792" customFormat="false" ht="17.15" hidden="false" customHeight="false" outlineLevel="0" collapsed="false">
      <c r="A792" s="4" t="n">
        <v>1</v>
      </c>
      <c r="B792" s="4" t="s">
        <v>12</v>
      </c>
      <c r="C792" s="8" t="s">
        <v>72</v>
      </c>
      <c r="D792" s="21" t="n">
        <v>46120</v>
      </c>
      <c r="E792" s="22" t="n">
        <v>882.81</v>
      </c>
      <c r="F792" s="21" t="n">
        <v>46121</v>
      </c>
      <c r="G792" s="22" t="n">
        <v>874.49</v>
      </c>
      <c r="H792" s="22" t="n">
        <v>794.53</v>
      </c>
      <c r="I792" s="21" t="n">
        <v>46162</v>
      </c>
      <c r="J792" s="22" t="n">
        <v>1125.51</v>
      </c>
      <c r="K792" s="21" t="n">
        <v>46163</v>
      </c>
      <c r="L792" s="22" t="n">
        <v>1171.1</v>
      </c>
      <c r="M792" s="8" t="s">
        <v>73</v>
      </c>
      <c r="N792" s="4" t="n">
        <v>28</v>
      </c>
      <c r="O792" s="6" t="n">
        <f aca="false">IF(C792="롱",(J792-E792)/E792,(E792-J792)/E792)</f>
        <v>0.274917592686988</v>
      </c>
    </row>
    <row r="793" customFormat="false" ht="17.15" hidden="false" customHeight="false" outlineLevel="0" collapsed="false">
      <c r="A793" s="4" t="n">
        <v>6</v>
      </c>
      <c r="B793" s="4" t="s">
        <v>22</v>
      </c>
      <c r="C793" s="8" t="s">
        <v>72</v>
      </c>
      <c r="D793" s="21" t="n">
        <v>46120</v>
      </c>
      <c r="E793" s="22" t="n">
        <v>882.81</v>
      </c>
      <c r="F793" s="21" t="n">
        <v>46121</v>
      </c>
      <c r="G793" s="22" t="n">
        <v>874.49</v>
      </c>
      <c r="H793" s="22" t="n">
        <v>794.53</v>
      </c>
      <c r="I793" s="21" t="n">
        <v>46142</v>
      </c>
      <c r="J793" s="22" t="n">
        <v>992.15</v>
      </c>
      <c r="K793" s="21" t="n">
        <v>46146</v>
      </c>
      <c r="L793" s="22" t="n">
        <v>1022.41</v>
      </c>
      <c r="M793" s="8" t="s">
        <v>73</v>
      </c>
      <c r="N793" s="4" t="n">
        <v>16</v>
      </c>
      <c r="O793" s="6" t="n">
        <f aca="false">IF(C793="롱",(J793-E793)/E793,(E793-J793)/E793)</f>
        <v>0.123854510030471</v>
      </c>
    </row>
    <row r="794" customFormat="false" ht="17.15" hidden="false" customHeight="false" outlineLevel="0" collapsed="false">
      <c r="A794" s="4" t="n">
        <v>4</v>
      </c>
      <c r="B794" s="4" t="s">
        <v>18</v>
      </c>
      <c r="C794" s="8" t="s">
        <v>72</v>
      </c>
      <c r="D794" s="21" t="n">
        <v>46121</v>
      </c>
      <c r="E794" s="22" t="n">
        <v>865.75</v>
      </c>
      <c r="F794" s="21" t="n">
        <v>46122</v>
      </c>
      <c r="G794" s="22" t="n">
        <v>882.3</v>
      </c>
      <c r="H794" s="22" t="n">
        <v>779.18</v>
      </c>
      <c r="I794" s="21" t="n">
        <v>46184</v>
      </c>
      <c r="J794" s="22" t="n">
        <v>1231.54</v>
      </c>
      <c r="K794" s="21" t="n">
        <v>46185</v>
      </c>
      <c r="L794" s="22" t="n">
        <v>1317.78</v>
      </c>
      <c r="M794" s="8" t="s">
        <v>73</v>
      </c>
      <c r="N794" s="4" t="n">
        <v>41</v>
      </c>
      <c r="O794" s="6" t="n">
        <f aca="false">IF(C794="롱",(J794-E794)/E794,(E794-J794)/E794)</f>
        <v>0.422512272596015</v>
      </c>
    </row>
    <row r="795" customFormat="false" ht="17.15" hidden="false" customHeight="false" outlineLevel="0" collapsed="false">
      <c r="A795" s="4" t="n">
        <v>6</v>
      </c>
      <c r="B795" s="4" t="s">
        <v>22</v>
      </c>
      <c r="C795" s="8" t="s">
        <v>72</v>
      </c>
      <c r="D795" s="21" t="n">
        <v>46149</v>
      </c>
      <c r="E795" s="22" t="n">
        <v>1149.86</v>
      </c>
      <c r="F795" s="21" t="n">
        <v>46150</v>
      </c>
      <c r="G795" s="22" t="n">
        <v>1124.95</v>
      </c>
      <c r="H795" s="22" t="n">
        <v>1034.87</v>
      </c>
      <c r="I795" s="21" t="n">
        <v>46157</v>
      </c>
      <c r="J795" s="22" t="n">
        <v>1162.39</v>
      </c>
      <c r="K795" s="21" t="n">
        <v>46160</v>
      </c>
      <c r="L795" s="22" t="n">
        <v>1154.84</v>
      </c>
      <c r="M795" s="8" t="s">
        <v>73</v>
      </c>
      <c r="N795" s="4" t="n">
        <v>6</v>
      </c>
      <c r="O795" s="6" t="n">
        <f aca="false">IF(C795="롱",(J795-E795)/E795,(E795-J795)/E795)</f>
        <v>0.0108969787626321</v>
      </c>
    </row>
    <row r="796" customFormat="false" ht="17.15" hidden="false" customHeight="false" outlineLevel="0" collapsed="false">
      <c r="A796" s="4" t="n">
        <v>1</v>
      </c>
      <c r="B796" s="4" t="s">
        <v>12</v>
      </c>
      <c r="C796" s="8" t="s">
        <v>72</v>
      </c>
      <c r="D796" s="21" t="n">
        <v>46168</v>
      </c>
      <c r="E796" s="22" t="n">
        <v>1260.53</v>
      </c>
      <c r="F796" s="21" t="n">
        <v>46169</v>
      </c>
      <c r="G796" s="22" t="n">
        <v>1296.31</v>
      </c>
      <c r="H796" s="22" t="n">
        <v>1134.48</v>
      </c>
      <c r="I796" s="21" t="n">
        <v>46181</v>
      </c>
      <c r="J796" s="22" t="n">
        <v>1186.54</v>
      </c>
      <c r="K796" s="21" t="n">
        <v>46182</v>
      </c>
      <c r="L796" s="22" t="n">
        <v>1221.75</v>
      </c>
      <c r="M796" s="8" t="s">
        <v>73</v>
      </c>
      <c r="N796" s="4" t="n">
        <v>8</v>
      </c>
      <c r="O796" s="6" t="n">
        <f aca="false">IF(C796="롱",(J796-E796)/E796,(E796-J796)/E796)</f>
        <v>-0.0586975319905119</v>
      </c>
    </row>
    <row r="797" customFormat="false" ht="17.15" hidden="false" customHeight="false" outlineLevel="0" collapsed="false">
      <c r="A797" s="4" t="n">
        <v>6</v>
      </c>
      <c r="B797" s="4" t="s">
        <v>22</v>
      </c>
      <c r="C797" s="8" t="s">
        <v>72</v>
      </c>
      <c r="D797" s="21" t="n">
        <v>46168</v>
      </c>
      <c r="E797" s="22" t="n">
        <v>1260.53</v>
      </c>
      <c r="F797" s="21" t="n">
        <v>46169</v>
      </c>
      <c r="G797" s="22" t="n">
        <v>1296.31</v>
      </c>
      <c r="H797" s="22" t="n">
        <v>1134.48</v>
      </c>
      <c r="I797" s="21" t="n">
        <v>46178</v>
      </c>
      <c r="J797" s="22" t="n">
        <v>1297.02</v>
      </c>
      <c r="K797" s="21" t="n">
        <v>46181</v>
      </c>
      <c r="L797" s="22" t="n">
        <v>1282.81</v>
      </c>
      <c r="M797" s="8" t="s">
        <v>73</v>
      </c>
      <c r="N797" s="4" t="n">
        <v>7</v>
      </c>
      <c r="O797" s="6" t="n">
        <f aca="false">IF(C797="롱",(J797-E797)/E797,(E797-J797)/E797)</f>
        <v>0.0289481408613837</v>
      </c>
    </row>
    <row r="798" customFormat="false" ht="17.15" hidden="false" customHeight="false" outlineLevel="0" collapsed="false">
      <c r="A798" s="4" t="n">
        <v>3</v>
      </c>
      <c r="B798" s="4" t="s">
        <v>16</v>
      </c>
      <c r="C798" s="8" t="s">
        <v>72</v>
      </c>
      <c r="D798" s="21" t="n">
        <v>46182</v>
      </c>
      <c r="E798" s="22" t="n">
        <v>1293.4</v>
      </c>
      <c r="F798" s="21" t="n">
        <v>46183</v>
      </c>
      <c r="G798" s="22" t="n">
        <v>1258.44</v>
      </c>
      <c r="H798" s="22" t="n">
        <v>1164.06</v>
      </c>
      <c r="I798" s="21" t="n">
        <v>46205</v>
      </c>
      <c r="J798" s="22" t="n">
        <v>1219.62</v>
      </c>
      <c r="K798" s="21" t="n">
        <v>46206</v>
      </c>
      <c r="L798" s="22" t="n">
        <v>1235.2</v>
      </c>
      <c r="M798" s="8" t="s">
        <v>73</v>
      </c>
      <c r="N798" s="4" t="n">
        <v>17</v>
      </c>
      <c r="O798" s="6" t="n">
        <f aca="false">IF(C798="롱",(J798-E798)/E798,(E798-J798)/E798)</f>
        <v>-0.0570434513684863</v>
      </c>
    </row>
    <row r="799" customFormat="false" ht="17.15" hidden="false" customHeight="false" outlineLevel="0" collapsed="false">
      <c r="A799" s="4" t="n">
        <v>4</v>
      </c>
      <c r="B799" s="4" t="s">
        <v>18</v>
      </c>
      <c r="C799" s="8" t="s">
        <v>72</v>
      </c>
      <c r="D799" s="21" t="n">
        <v>46188</v>
      </c>
      <c r="E799" s="22" t="n">
        <v>1360.26</v>
      </c>
      <c r="F799" s="21" t="n">
        <v>46189</v>
      </c>
      <c r="G799" s="22" t="n">
        <v>1386.42</v>
      </c>
      <c r="H799" s="22" t="n">
        <v>1224.23</v>
      </c>
      <c r="I799" s="21" t="n">
        <v>46205</v>
      </c>
      <c r="J799" s="22" t="n">
        <v>1224.23</v>
      </c>
      <c r="K799" s="21" t="n">
        <v>46206</v>
      </c>
      <c r="L799" s="22" t="n">
        <v>1235.2</v>
      </c>
      <c r="M799" s="8" t="s">
        <v>75</v>
      </c>
      <c r="N799" s="4" t="n">
        <v>13</v>
      </c>
      <c r="O799" s="6" t="n">
        <f aca="false">IF(C799="롱",(J799-E799)/E799,(E799-J799)/E799)</f>
        <v>-0.100002940614294</v>
      </c>
    </row>
    <row r="800" customFormat="false" ht="17.15" hidden="false" customHeight="false" outlineLevel="0" collapsed="false">
      <c r="A800" s="4" t="n">
        <v>1</v>
      </c>
      <c r="B800" s="4" t="s">
        <v>12</v>
      </c>
      <c r="C800" s="8" t="s">
        <v>72</v>
      </c>
      <c r="D800" s="21" t="n">
        <v>46191</v>
      </c>
      <c r="E800" s="22" t="n">
        <v>1459.23</v>
      </c>
      <c r="F800" s="21" t="n">
        <v>46192</v>
      </c>
      <c r="G800" s="22" t="n">
        <v>1499.31</v>
      </c>
      <c r="H800" s="22" t="n">
        <v>1313.31</v>
      </c>
      <c r="I800" s="21" t="n">
        <v>46196</v>
      </c>
      <c r="J800" s="22" t="n">
        <v>1321.7</v>
      </c>
      <c r="K800" s="21" t="n">
        <v>46197</v>
      </c>
      <c r="L800" s="22" t="n">
        <v>1348.99</v>
      </c>
      <c r="M800" s="8" t="s">
        <v>73</v>
      </c>
      <c r="N800" s="4" t="n">
        <v>3</v>
      </c>
      <c r="O800" s="6" t="n">
        <f aca="false">IF(C800="롱",(J800-E800)/E800,(E800-J800)/E800)</f>
        <v>-0.0942483364514161</v>
      </c>
    </row>
    <row r="801" customFormat="false" ht="17.15" hidden="false" customHeight="false" outlineLevel="0" collapsed="false">
      <c r="A801" s="4" t="n">
        <v>6</v>
      </c>
      <c r="B801" s="4" t="s">
        <v>22</v>
      </c>
      <c r="C801" s="8" t="s">
        <v>72</v>
      </c>
      <c r="D801" s="21" t="n">
        <v>46191</v>
      </c>
      <c r="E801" s="22" t="n">
        <v>1459.23</v>
      </c>
      <c r="F801" s="21" t="n">
        <v>46192</v>
      </c>
      <c r="G801" s="22" t="n">
        <v>1499.31</v>
      </c>
      <c r="H801" s="22" t="n">
        <v>1313.31</v>
      </c>
      <c r="I801" s="21" t="n">
        <v>46196</v>
      </c>
      <c r="J801" s="22" t="n">
        <v>1321.7</v>
      </c>
      <c r="K801" s="21" t="n">
        <v>46197</v>
      </c>
      <c r="L801" s="22" t="n">
        <v>1348.99</v>
      </c>
      <c r="M801" s="8" t="s">
        <v>73</v>
      </c>
      <c r="N801" s="4" t="n">
        <v>3</v>
      </c>
      <c r="O801" s="6" t="n">
        <f aca="false">IF(C801="롱",(J801-E801)/E801,(E801-J801)/E801)</f>
        <v>-0.0942483364514161</v>
      </c>
    </row>
    <row r="802" customFormat="false" ht="17.15" hidden="false" customHeight="false" outlineLevel="0" collapsed="false">
      <c r="A802" s="4" t="n">
        <v>2</v>
      </c>
      <c r="B802" s="4" t="s">
        <v>14</v>
      </c>
      <c r="C802" s="8" t="s">
        <v>72</v>
      </c>
      <c r="D802" s="21" t="n">
        <v>46211</v>
      </c>
      <c r="E802" s="22" t="n">
        <v>1158.37</v>
      </c>
      <c r="F802" s="21" t="n">
        <v>46212</v>
      </c>
      <c r="G802" s="22" t="n">
        <v>1202.01</v>
      </c>
      <c r="H802" s="22" t="n">
        <v>1042.53</v>
      </c>
      <c r="I802" s="21" t="n">
        <v>46217</v>
      </c>
      <c r="J802" s="22" t="n">
        <v>1042.53</v>
      </c>
      <c r="K802" s="21" t="n">
        <v>46218</v>
      </c>
      <c r="L802" s="22" t="n">
        <v>1129.73</v>
      </c>
      <c r="M802" s="8" t="s">
        <v>75</v>
      </c>
      <c r="N802" s="4" t="n">
        <v>4</v>
      </c>
      <c r="O802" s="6" t="n">
        <f aca="false">IF(C802="롱",(J802-E802)/E802,(E802-J802)/E802)</f>
        <v>-0.100002589846077</v>
      </c>
    </row>
    <row r="803" customFormat="false" ht="17.15" hidden="false" customHeight="false" outlineLevel="0" collapsed="false">
      <c r="A803" s="4" t="n">
        <v>2</v>
      </c>
      <c r="B803" s="4" t="s">
        <v>14</v>
      </c>
      <c r="C803" s="8" t="s">
        <v>72</v>
      </c>
      <c r="D803" s="21" t="n">
        <v>46231</v>
      </c>
      <c r="E803" s="22" t="n">
        <v>945.69</v>
      </c>
      <c r="F803" s="21" t="n">
        <v>46232</v>
      </c>
      <c r="G803" s="22" t="n">
        <v>957.46</v>
      </c>
      <c r="H803" s="22" t="n">
        <v>851.12</v>
      </c>
      <c r="I803" s="21" t="n">
        <v>46232</v>
      </c>
      <c r="J803" s="22" t="n">
        <v>851.12</v>
      </c>
      <c r="K803" s="21" t="n">
        <v>46233</v>
      </c>
      <c r="L803" s="22" t="n">
        <v>891.08</v>
      </c>
      <c r="M803" s="8" t="s">
        <v>75</v>
      </c>
      <c r="N803" s="4" t="n">
        <v>1</v>
      </c>
      <c r="O803" s="6" t="n">
        <f aca="false">IF(C803="롱",(J803-E803)/E803,(E803-J803)/E803)</f>
        <v>-0.100001057428967</v>
      </c>
    </row>
    <row r="804" customFormat="false" ht="17.15" hidden="false" customHeight="false" outlineLevel="0" collapsed="false">
      <c r="A804" s="4" t="n">
        <v>7</v>
      </c>
      <c r="B804" s="4" t="s">
        <v>24</v>
      </c>
      <c r="C804" s="8" t="s">
        <v>72</v>
      </c>
      <c r="D804" s="21" t="n">
        <v>46233</v>
      </c>
      <c r="E804" s="22" t="n">
        <v>872.49</v>
      </c>
      <c r="F804" s="21" t="n">
        <v>46234</v>
      </c>
      <c r="G804" s="22" t="n">
        <v>880.79</v>
      </c>
      <c r="H804" s="22" t="n">
        <v>785.24</v>
      </c>
      <c r="I804" s="21" t="n">
        <v>46247</v>
      </c>
      <c r="J804" s="22" t="n">
        <v>1071.24</v>
      </c>
      <c r="K804" s="21" t="n">
        <v>46248</v>
      </c>
      <c r="L804" s="22" t="n">
        <v>1103.18</v>
      </c>
      <c r="M804" s="8" t="s">
        <v>73</v>
      </c>
      <c r="N804" s="4" t="n">
        <v>10</v>
      </c>
      <c r="O804" s="6" t="n">
        <f aca="false">IF(C804="롱",(J804-E804)/E804,(E804-J804)/E804)</f>
        <v>0.227796307120999</v>
      </c>
    </row>
    <row r="805" customFormat="false" ht="17.15" hidden="false" customHeight="false" outlineLevel="0" collapsed="false">
      <c r="A805" s="4" t="n">
        <v>1</v>
      </c>
      <c r="B805" s="4" t="s">
        <v>12</v>
      </c>
      <c r="C805" s="8" t="s">
        <v>72</v>
      </c>
      <c r="D805" s="21" t="n">
        <v>46239</v>
      </c>
      <c r="E805" s="22" t="n">
        <v>1038.59</v>
      </c>
      <c r="F805" s="21" t="n">
        <v>46240</v>
      </c>
      <c r="G805" s="22" t="n">
        <v>1016.93</v>
      </c>
      <c r="H805" s="22" t="n">
        <v>934.73</v>
      </c>
      <c r="I805" s="21" t="n">
        <v>46281</v>
      </c>
      <c r="J805" s="22" t="n">
        <v>1060.05</v>
      </c>
      <c r="K805" s="21" t="n">
        <v>46282</v>
      </c>
      <c r="L805" s="22" t="n">
        <v>1070.27</v>
      </c>
      <c r="M805" s="8" t="s">
        <v>73</v>
      </c>
      <c r="N805" s="4" t="n">
        <v>29</v>
      </c>
      <c r="O805" s="6" t="n">
        <f aca="false">IF(C805="롱",(J805-E805)/E805,(E805-J805)/E805)</f>
        <v>0.0206626291414322</v>
      </c>
    </row>
    <row r="806" customFormat="false" ht="17.15" hidden="false" customHeight="false" outlineLevel="0" collapsed="false">
      <c r="A806" s="4" t="n">
        <v>10</v>
      </c>
      <c r="B806" s="4" t="s">
        <v>30</v>
      </c>
      <c r="C806" s="8" t="s">
        <v>72</v>
      </c>
      <c r="D806" s="21" t="n">
        <v>46269</v>
      </c>
      <c r="E806" s="22" t="n">
        <v>1051.52</v>
      </c>
      <c r="F806" s="21" t="n">
        <v>46272</v>
      </c>
      <c r="G806" s="22" t="n">
        <v>1090.72</v>
      </c>
      <c r="H806" s="22" t="n">
        <v>946.37</v>
      </c>
      <c r="I806" s="21" t="n">
        <v>46279</v>
      </c>
      <c r="J806" s="22" t="n">
        <v>1050.83</v>
      </c>
      <c r="K806" s="21" t="n">
        <v>46280</v>
      </c>
      <c r="L806" s="22" t="n">
        <v>1047.75</v>
      </c>
      <c r="M806" s="8" t="s">
        <v>73</v>
      </c>
      <c r="N806" s="4" t="n">
        <v>6</v>
      </c>
      <c r="O806" s="6" t="n">
        <f aca="false">IF(C806="롱",(J806-E806)/E806,(E806-J806)/E806)</f>
        <v>-0.000656192939744422</v>
      </c>
    </row>
    <row r="807" customFormat="false" ht="17.15" hidden="false" customHeight="false" outlineLevel="0" collapsed="false">
      <c r="A807" s="4" t="n">
        <v>7</v>
      </c>
      <c r="B807" s="4" t="s">
        <v>24</v>
      </c>
      <c r="C807" s="8" t="s">
        <v>72</v>
      </c>
      <c r="D807" s="21" t="n">
        <v>46279</v>
      </c>
      <c r="E807" s="22" t="n">
        <v>1050.83</v>
      </c>
      <c r="F807" s="21" t="n">
        <v>46280</v>
      </c>
      <c r="G807" s="22" t="n">
        <v>1047.75</v>
      </c>
      <c r="H807" s="22" t="n">
        <v>945.75</v>
      </c>
      <c r="I807" s="21" t="n">
        <v>46288</v>
      </c>
      <c r="J807" s="22" t="n">
        <v>1126.12</v>
      </c>
      <c r="K807" s="4"/>
      <c r="L807" s="22"/>
      <c r="M807" s="8" t="s">
        <v>77</v>
      </c>
      <c r="N807" s="4" t="n">
        <v>7</v>
      </c>
      <c r="O807" s="6" t="n">
        <f aca="false">IF(C807="롱",(J807-E807)/E807,(E807-J807)/E807)</f>
        <v>0.0716481257672506</v>
      </c>
    </row>
  </sheetData>
  <autoFilter ref="A4:O80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10" min="9" style="0" width="14"/>
    <col collapsed="false" customWidth="true" hidden="false" outlineLevel="0" max="11" min="11" style="0" width="16"/>
    <col collapsed="false" customWidth="true" hidden="false" outlineLevel="0" max="12" min="12" style="0" width="12"/>
    <col collapsed="false" customWidth="true" hidden="false" outlineLevel="0" max="13" min="13" style="0" width="16"/>
    <col collapsed="false" customWidth="true" hidden="false" outlineLevel="0" max="14" min="14" style="0" width="7"/>
    <col collapsed="false" customWidth="true" hidden="false" outlineLevel="0" max="15" min="15" style="0" width="16"/>
  </cols>
  <sheetData>
    <row r="1" customFormat="false" ht="19.4" hidden="false" customHeight="false" outlineLevel="0" collapsed="false">
      <c r="A1" s="1" t="s">
        <v>78</v>
      </c>
    </row>
    <row r="2" customFormat="false" ht="15" hidden="false" customHeight="false" outlineLevel="0" collapsed="false">
      <c r="A2" s="2" t="s">
        <v>58</v>
      </c>
    </row>
    <row r="4" customFormat="false" ht="31.5" hidden="false" customHeight="true" outlineLevel="0" collapsed="false">
      <c r="A4" s="19" t="s">
        <v>2</v>
      </c>
      <c r="B4" s="19" t="s">
        <v>3</v>
      </c>
      <c r="C4" s="19" t="s">
        <v>59</v>
      </c>
      <c r="D4" s="19" t="s">
        <v>60</v>
      </c>
      <c r="E4" s="19" t="s">
        <v>61</v>
      </c>
      <c r="F4" s="20" t="s">
        <v>62</v>
      </c>
      <c r="G4" s="19" t="s">
        <v>63</v>
      </c>
      <c r="H4" s="19" t="s">
        <v>64</v>
      </c>
      <c r="I4" s="19" t="s">
        <v>65</v>
      </c>
      <c r="J4" s="19" t="s">
        <v>66</v>
      </c>
      <c r="K4" s="20" t="s">
        <v>67</v>
      </c>
      <c r="L4" s="19" t="s">
        <v>68</v>
      </c>
      <c r="M4" s="19" t="s">
        <v>69</v>
      </c>
      <c r="N4" s="19" t="s">
        <v>70</v>
      </c>
      <c r="O4" s="19" t="s">
        <v>71</v>
      </c>
    </row>
    <row r="5" customFormat="false" ht="17.15" hidden="false" customHeight="false" outlineLevel="0" collapsed="false">
      <c r="A5" s="4" t="n">
        <v>1</v>
      </c>
      <c r="B5" s="4" t="s">
        <v>12</v>
      </c>
      <c r="C5" s="8" t="s">
        <v>72</v>
      </c>
      <c r="D5" s="21" t="n">
        <v>37769</v>
      </c>
      <c r="E5" s="22" t="n">
        <v>79.82</v>
      </c>
      <c r="F5" s="21" t="n">
        <v>37770</v>
      </c>
      <c r="G5" s="22" t="n">
        <v>79.25</v>
      </c>
      <c r="H5" s="22" t="n">
        <v>71.84</v>
      </c>
      <c r="I5" s="21" t="n">
        <v>37798</v>
      </c>
      <c r="J5" s="22" t="n">
        <v>86.37</v>
      </c>
      <c r="K5" s="21" t="n">
        <v>37799</v>
      </c>
      <c r="L5" s="22" t="n">
        <v>87.22</v>
      </c>
      <c r="M5" s="8" t="s">
        <v>73</v>
      </c>
      <c r="N5" s="4" t="n">
        <v>20</v>
      </c>
      <c r="O5" s="6" t="n">
        <f aca="false">IF(C5="롱",(J5-E5)/E5,(E5-J5)/E5)</f>
        <v>0.0820596341768982</v>
      </c>
    </row>
    <row r="6" customFormat="false" ht="17.15" hidden="false" customHeight="false" outlineLevel="0" collapsed="false">
      <c r="A6" s="4" t="n">
        <v>1</v>
      </c>
      <c r="B6" s="4" t="s">
        <v>12</v>
      </c>
      <c r="C6" s="8" t="s">
        <v>72</v>
      </c>
      <c r="D6" s="21" t="n">
        <v>37809</v>
      </c>
      <c r="E6" s="22" t="n">
        <v>90.07</v>
      </c>
      <c r="F6" s="21" t="n">
        <v>37810</v>
      </c>
      <c r="G6" s="22" t="n">
        <v>91.58</v>
      </c>
      <c r="H6" s="22" t="n">
        <v>82.2</v>
      </c>
      <c r="I6" s="21" t="n">
        <v>37820</v>
      </c>
      <c r="J6" s="22" t="n">
        <v>89.63</v>
      </c>
      <c r="K6" s="21" t="n">
        <v>37823</v>
      </c>
      <c r="L6" s="22" t="n">
        <v>89.6</v>
      </c>
      <c r="M6" s="8" t="s">
        <v>73</v>
      </c>
      <c r="N6" s="4" t="n">
        <v>8</v>
      </c>
      <c r="O6" s="6" t="n">
        <f aca="false">IF(C6="롱",(J6-E6)/E6,(E6-J6)/E6)</f>
        <v>-0.00488508937493058</v>
      </c>
    </row>
    <row r="7" customFormat="false" ht="17.15" hidden="false" customHeight="false" outlineLevel="0" collapsed="false">
      <c r="A7" s="4" t="n">
        <v>1</v>
      </c>
      <c r="B7" s="4" t="s">
        <v>12</v>
      </c>
      <c r="C7" s="8" t="s">
        <v>72</v>
      </c>
      <c r="D7" s="21" t="n">
        <v>37852</v>
      </c>
      <c r="E7" s="22" t="n">
        <v>95.2</v>
      </c>
      <c r="F7" s="21" t="n">
        <v>37853</v>
      </c>
      <c r="G7" s="22" t="n">
        <v>95.23</v>
      </c>
      <c r="H7" s="22" t="n">
        <v>87.84</v>
      </c>
      <c r="I7" s="21" t="n">
        <v>37872</v>
      </c>
      <c r="J7" s="22" t="n">
        <v>97.89</v>
      </c>
      <c r="K7" s="21" t="n">
        <v>37873</v>
      </c>
      <c r="L7" s="22" t="n">
        <v>98.35</v>
      </c>
      <c r="M7" s="8" t="s">
        <v>73</v>
      </c>
      <c r="N7" s="4" t="n">
        <v>14</v>
      </c>
      <c r="O7" s="6" t="n">
        <f aca="false">IF(C7="롱",(J7-E7)/E7,(E7-J7)/E7)</f>
        <v>0.0282563025210084</v>
      </c>
    </row>
    <row r="8" customFormat="false" ht="17.15" hidden="false" customHeight="false" outlineLevel="0" collapsed="false">
      <c r="A8" s="4" t="n">
        <v>1</v>
      </c>
      <c r="B8" s="4" t="s">
        <v>12</v>
      </c>
      <c r="C8" s="8" t="s">
        <v>72</v>
      </c>
      <c r="D8" s="21" t="n">
        <v>37903</v>
      </c>
      <c r="E8" s="22" t="n">
        <v>94.99</v>
      </c>
      <c r="F8" s="21" t="n">
        <v>37904</v>
      </c>
      <c r="G8" s="22" t="n">
        <v>94.81</v>
      </c>
      <c r="H8" s="22" t="n">
        <v>85.49</v>
      </c>
      <c r="I8" s="21" t="n">
        <v>37937</v>
      </c>
      <c r="J8" s="22" t="n">
        <v>103.41</v>
      </c>
      <c r="K8" s="21" t="n">
        <v>37938</v>
      </c>
      <c r="L8" s="22" t="n">
        <v>104.72</v>
      </c>
      <c r="M8" s="8" t="s">
        <v>73</v>
      </c>
      <c r="N8" s="4" t="n">
        <v>24</v>
      </c>
      <c r="O8" s="6" t="n">
        <f aca="false">IF(C8="롱",(J8-E8)/E8,(E8-J8)/E8)</f>
        <v>0.0886409095694284</v>
      </c>
    </row>
    <row r="9" customFormat="false" ht="17.15" hidden="false" customHeight="false" outlineLevel="0" collapsed="false">
      <c r="A9" s="4" t="n">
        <v>1</v>
      </c>
      <c r="B9" s="4" t="s">
        <v>12</v>
      </c>
      <c r="C9" s="8" t="s">
        <v>72</v>
      </c>
      <c r="D9" s="21" t="n">
        <v>37938</v>
      </c>
      <c r="E9" s="22" t="n">
        <v>105.89</v>
      </c>
      <c r="F9" s="21" t="n">
        <v>37939</v>
      </c>
      <c r="G9" s="22" t="n">
        <v>105.45</v>
      </c>
      <c r="H9" s="22" t="n">
        <v>95.3</v>
      </c>
      <c r="I9" s="21" t="n">
        <v>37942</v>
      </c>
      <c r="J9" s="22" t="n">
        <v>103.21</v>
      </c>
      <c r="K9" s="21" t="n">
        <v>37943</v>
      </c>
      <c r="L9" s="22" t="n">
        <v>103.22</v>
      </c>
      <c r="M9" s="8" t="s">
        <v>73</v>
      </c>
      <c r="N9" s="4" t="n">
        <v>2</v>
      </c>
      <c r="O9" s="6" t="n">
        <f aca="false">IF(C9="롱",(J9-E9)/E9,(E9-J9)/E9)</f>
        <v>-0.0253092832184343</v>
      </c>
    </row>
    <row r="10" customFormat="false" ht="17.15" hidden="false" customHeight="false" outlineLevel="0" collapsed="false">
      <c r="A10" s="4" t="n">
        <v>1</v>
      </c>
      <c r="B10" s="4" t="s">
        <v>12</v>
      </c>
      <c r="C10" s="8" t="s">
        <v>72</v>
      </c>
      <c r="D10" s="21" t="n">
        <v>37957</v>
      </c>
      <c r="E10" s="22" t="n">
        <v>104.86</v>
      </c>
      <c r="F10" s="21" t="n">
        <v>37958</v>
      </c>
      <c r="G10" s="22" t="n">
        <v>104.7</v>
      </c>
      <c r="H10" s="22" t="n">
        <v>94.37</v>
      </c>
      <c r="I10" s="21" t="n">
        <v>37960</v>
      </c>
      <c r="J10" s="22" t="n">
        <v>101.87</v>
      </c>
      <c r="K10" s="21" t="n">
        <v>37963</v>
      </c>
      <c r="L10" s="22" t="n">
        <v>100.55</v>
      </c>
      <c r="M10" s="8" t="s">
        <v>73</v>
      </c>
      <c r="N10" s="4" t="n">
        <v>3</v>
      </c>
      <c r="O10" s="6" t="n">
        <f aca="false">IF(C10="롱",(J10-E10)/E10,(E10-J10)/E10)</f>
        <v>-0.0285142094220865</v>
      </c>
    </row>
    <row r="11" customFormat="false" ht="17.15" hidden="false" customHeight="false" outlineLevel="0" collapsed="false">
      <c r="A11" s="4" t="n">
        <v>1</v>
      </c>
      <c r="B11" s="4" t="s">
        <v>12</v>
      </c>
      <c r="C11" s="8" t="s">
        <v>72</v>
      </c>
      <c r="D11" s="21" t="n">
        <v>37970</v>
      </c>
      <c r="E11" s="22" t="n">
        <v>106.48</v>
      </c>
      <c r="F11" s="21" t="n">
        <v>37971</v>
      </c>
      <c r="G11" s="22" t="n">
        <v>104.41</v>
      </c>
      <c r="H11" s="22" t="n">
        <v>95.83</v>
      </c>
      <c r="I11" s="21" t="n">
        <v>37978</v>
      </c>
      <c r="J11" s="22" t="n">
        <v>103.89</v>
      </c>
      <c r="K11" s="21" t="n">
        <v>37979</v>
      </c>
      <c r="L11" s="22" t="n">
        <v>104.8</v>
      </c>
      <c r="M11" s="8" t="s">
        <v>73</v>
      </c>
      <c r="N11" s="4" t="n">
        <v>6</v>
      </c>
      <c r="O11" s="6" t="n">
        <f aca="false">IF(C11="롱",(J11-E11)/E11,(E11-J11)/E11)</f>
        <v>-0.0243238166791886</v>
      </c>
    </row>
    <row r="12" customFormat="false" ht="17.15" hidden="false" customHeight="false" outlineLevel="0" collapsed="false">
      <c r="A12" s="4" t="n">
        <v>1</v>
      </c>
      <c r="B12" s="4" t="s">
        <v>12</v>
      </c>
      <c r="C12" s="8" t="s">
        <v>72</v>
      </c>
      <c r="D12" s="21" t="n">
        <v>37988</v>
      </c>
      <c r="E12" s="22" t="n">
        <v>106.65</v>
      </c>
      <c r="F12" s="21" t="n">
        <v>37991</v>
      </c>
      <c r="G12" s="22" t="n">
        <v>106.01</v>
      </c>
      <c r="H12" s="22" t="n">
        <v>96.94</v>
      </c>
      <c r="I12" s="21" t="n">
        <v>38016</v>
      </c>
      <c r="J12" s="22" t="n">
        <v>110.89</v>
      </c>
      <c r="K12" s="21" t="n">
        <v>38019</v>
      </c>
      <c r="L12" s="22" t="n">
        <v>111.16</v>
      </c>
      <c r="M12" s="8" t="s">
        <v>73</v>
      </c>
      <c r="N12" s="4" t="n">
        <v>17</v>
      </c>
      <c r="O12" s="6" t="n">
        <f aca="false">IF(C12="롱",(J12-E12)/E12,(E12-J12)/E12)</f>
        <v>0.0397562119081106</v>
      </c>
    </row>
    <row r="13" customFormat="false" ht="17.15" hidden="false" customHeight="false" outlineLevel="0" collapsed="false">
      <c r="A13" s="4" t="n">
        <v>1</v>
      </c>
      <c r="B13" s="4" t="s">
        <v>12</v>
      </c>
      <c r="C13" s="8" t="s">
        <v>72</v>
      </c>
      <c r="D13" s="21" t="n">
        <v>38028</v>
      </c>
      <c r="E13" s="22" t="n">
        <v>114.92</v>
      </c>
      <c r="F13" s="21" t="n">
        <v>38029</v>
      </c>
      <c r="G13" s="22" t="n">
        <v>115.67</v>
      </c>
      <c r="H13" s="22" t="n">
        <v>107.01</v>
      </c>
      <c r="I13" s="21" t="n">
        <v>38040</v>
      </c>
      <c r="J13" s="22" t="n">
        <v>115.05</v>
      </c>
      <c r="K13" s="21" t="n">
        <v>38041</v>
      </c>
      <c r="L13" s="22" t="n">
        <v>114.33</v>
      </c>
      <c r="M13" s="8" t="s">
        <v>73</v>
      </c>
      <c r="N13" s="4" t="n">
        <v>8</v>
      </c>
      <c r="O13" s="6" t="n">
        <f aca="false">IF(C13="롱",(J13-E13)/E13,(E13-J13)/E13)</f>
        <v>0.00113122171945697</v>
      </c>
    </row>
    <row r="14" customFormat="false" ht="17.15" hidden="false" customHeight="false" outlineLevel="0" collapsed="false">
      <c r="A14" s="4" t="n">
        <v>1</v>
      </c>
      <c r="B14" s="4" t="s">
        <v>12</v>
      </c>
      <c r="C14" s="8" t="s">
        <v>72</v>
      </c>
      <c r="D14" s="21" t="n">
        <v>38049</v>
      </c>
      <c r="E14" s="22" t="n">
        <v>117.57</v>
      </c>
      <c r="F14" s="21" t="n">
        <v>38050</v>
      </c>
      <c r="G14" s="22" t="n">
        <v>117.89</v>
      </c>
      <c r="H14" s="22" t="n">
        <v>109.65</v>
      </c>
      <c r="I14" s="21" t="n">
        <v>38056</v>
      </c>
      <c r="J14" s="22" t="n">
        <v>114.74</v>
      </c>
      <c r="K14" s="21" t="n">
        <v>38057</v>
      </c>
      <c r="L14" s="22" t="n">
        <v>113.86</v>
      </c>
      <c r="M14" s="8" t="s">
        <v>73</v>
      </c>
      <c r="N14" s="4" t="n">
        <v>5</v>
      </c>
      <c r="O14" s="6" t="n">
        <f aca="false">IF(C14="롱",(J14-E14)/E14,(E14-J14)/E14)</f>
        <v>-0.0240707663519605</v>
      </c>
    </row>
    <row r="15" customFormat="false" ht="17.15" hidden="false" customHeight="false" outlineLevel="0" collapsed="false">
      <c r="A15" s="4" t="n">
        <v>1</v>
      </c>
      <c r="B15" s="4" t="s">
        <v>12</v>
      </c>
      <c r="C15" s="8" t="s">
        <v>72</v>
      </c>
      <c r="D15" s="21" t="n">
        <v>38077</v>
      </c>
      <c r="E15" s="22" t="n">
        <v>115.98</v>
      </c>
      <c r="F15" s="21" t="n">
        <v>38078</v>
      </c>
      <c r="G15" s="22" t="n">
        <v>115.75</v>
      </c>
      <c r="H15" s="22" t="n">
        <v>105.07</v>
      </c>
      <c r="I15" s="21" t="n">
        <v>38104</v>
      </c>
      <c r="J15" s="22" t="n">
        <v>119.7</v>
      </c>
      <c r="K15" s="21" t="n">
        <v>38105</v>
      </c>
      <c r="L15" s="22" t="n">
        <v>119.95</v>
      </c>
      <c r="M15" s="8" t="s">
        <v>73</v>
      </c>
      <c r="N15" s="4" t="n">
        <v>17</v>
      </c>
      <c r="O15" s="6" t="n">
        <f aca="false">IF(C15="롱",(J15-E15)/E15,(E15-J15)/E15)</f>
        <v>0.0320744956026901</v>
      </c>
    </row>
    <row r="16" customFormat="false" ht="17.15" hidden="false" customHeight="false" outlineLevel="0" collapsed="false">
      <c r="A16" s="4" t="n">
        <v>1</v>
      </c>
      <c r="B16" s="4" t="s">
        <v>12</v>
      </c>
      <c r="C16" s="8" t="s">
        <v>72</v>
      </c>
      <c r="D16" s="21" t="n">
        <v>38264</v>
      </c>
      <c r="E16" s="22" t="n">
        <v>114.02</v>
      </c>
      <c r="F16" s="21" t="n">
        <v>38265</v>
      </c>
      <c r="G16" s="22" t="n">
        <v>114.21</v>
      </c>
      <c r="H16" s="22" t="n">
        <v>104.32</v>
      </c>
      <c r="I16" s="21" t="n">
        <v>38272</v>
      </c>
      <c r="J16" s="22" t="n">
        <v>110.47</v>
      </c>
      <c r="K16" s="21" t="n">
        <v>38273</v>
      </c>
      <c r="L16" s="22" t="n">
        <v>111.23</v>
      </c>
      <c r="M16" s="8" t="s">
        <v>73</v>
      </c>
      <c r="N16" s="4" t="n">
        <v>6</v>
      </c>
      <c r="O16" s="6" t="n">
        <f aca="false">IF(C16="롱",(J16-E16)/E16,(E16-J16)/E16)</f>
        <v>-0.0311348886160323</v>
      </c>
    </row>
    <row r="17" customFormat="false" ht="17.15" hidden="false" customHeight="false" outlineLevel="0" collapsed="false">
      <c r="A17" s="4" t="n">
        <v>1</v>
      </c>
      <c r="B17" s="4" t="s">
        <v>12</v>
      </c>
      <c r="C17" s="8" t="s">
        <v>72</v>
      </c>
      <c r="D17" s="21" t="n">
        <v>38294</v>
      </c>
      <c r="E17" s="22" t="n">
        <v>111.58</v>
      </c>
      <c r="F17" s="21" t="n">
        <v>38295</v>
      </c>
      <c r="G17" s="22" t="n">
        <v>111.41</v>
      </c>
      <c r="H17" s="22" t="n">
        <v>100.67</v>
      </c>
      <c r="I17" s="21" t="n">
        <v>38314</v>
      </c>
      <c r="J17" s="22" t="n">
        <v>111.18</v>
      </c>
      <c r="K17" s="21" t="n">
        <v>38315</v>
      </c>
      <c r="L17" s="22" t="n">
        <v>110.97</v>
      </c>
      <c r="M17" s="8" t="s">
        <v>73</v>
      </c>
      <c r="N17" s="4" t="n">
        <v>14</v>
      </c>
      <c r="O17" s="6" t="n">
        <f aca="false">IF(C17="롱",(J17-E17)/E17,(E17-J17)/E17)</f>
        <v>-0.00358487184083161</v>
      </c>
    </row>
    <row r="18" customFormat="false" ht="17.15" hidden="false" customHeight="false" outlineLevel="0" collapsed="false">
      <c r="A18" s="4" t="n">
        <v>1</v>
      </c>
      <c r="B18" s="4" t="s">
        <v>12</v>
      </c>
      <c r="C18" s="8" t="s">
        <v>72</v>
      </c>
      <c r="D18" s="21" t="n">
        <v>38323</v>
      </c>
      <c r="E18" s="22" t="n">
        <v>114.06</v>
      </c>
      <c r="F18" s="21" t="n">
        <v>38324</v>
      </c>
      <c r="G18" s="22" t="n">
        <v>114.97</v>
      </c>
      <c r="H18" s="22" t="n">
        <v>103.4</v>
      </c>
      <c r="I18" s="21" t="n">
        <v>38327</v>
      </c>
      <c r="J18" s="22" t="n">
        <v>112.37</v>
      </c>
      <c r="K18" s="21" t="n">
        <v>38328</v>
      </c>
      <c r="L18" s="22" t="n">
        <v>112.04</v>
      </c>
      <c r="M18" s="8" t="s">
        <v>73</v>
      </c>
      <c r="N18" s="4" t="n">
        <v>2</v>
      </c>
      <c r="O18" s="6" t="n">
        <f aca="false">IF(C18="롱",(J18-E18)/E18,(E18-J18)/E18)</f>
        <v>-0.0148167631071366</v>
      </c>
    </row>
    <row r="19" customFormat="false" ht="17.15" hidden="false" customHeight="false" outlineLevel="0" collapsed="false">
      <c r="A19" s="4" t="n">
        <v>1</v>
      </c>
      <c r="B19" s="4" t="s">
        <v>12</v>
      </c>
      <c r="C19" s="8" t="s">
        <v>72</v>
      </c>
      <c r="D19" s="21" t="n">
        <v>38341</v>
      </c>
      <c r="E19" s="22" t="n">
        <v>113.45</v>
      </c>
      <c r="F19" s="21" t="n">
        <v>38342</v>
      </c>
      <c r="G19" s="22" t="n">
        <v>113.22</v>
      </c>
      <c r="H19" s="22" t="n">
        <v>103.55</v>
      </c>
      <c r="I19" s="21" t="n">
        <v>38359</v>
      </c>
      <c r="J19" s="22" t="n">
        <v>112.71</v>
      </c>
      <c r="K19" s="21" t="n">
        <v>38362</v>
      </c>
      <c r="L19" s="22" t="n">
        <v>113.01</v>
      </c>
      <c r="M19" s="8" t="s">
        <v>73</v>
      </c>
      <c r="N19" s="4" t="n">
        <v>13</v>
      </c>
      <c r="O19" s="6" t="n">
        <f aca="false">IF(C19="롱",(J19-E19)/E19,(E19-J19)/E19)</f>
        <v>-0.00652269722344653</v>
      </c>
    </row>
    <row r="20" customFormat="false" ht="17.15" hidden="false" customHeight="false" outlineLevel="0" collapsed="false">
      <c r="A20" s="4" t="n">
        <v>1</v>
      </c>
      <c r="B20" s="4" t="s">
        <v>12</v>
      </c>
      <c r="C20" s="8" t="s">
        <v>72</v>
      </c>
      <c r="D20" s="21" t="n">
        <v>38365</v>
      </c>
      <c r="E20" s="22" t="n">
        <v>115.01</v>
      </c>
      <c r="F20" s="21" t="n">
        <v>38366</v>
      </c>
      <c r="G20" s="22" t="n">
        <v>114.23</v>
      </c>
      <c r="H20" s="22" t="n">
        <v>107.57</v>
      </c>
      <c r="I20" s="21" t="n">
        <v>38386</v>
      </c>
      <c r="J20" s="22" t="n">
        <v>120.64</v>
      </c>
      <c r="K20" s="21" t="n">
        <v>38387</v>
      </c>
      <c r="L20" s="22" t="n">
        <v>120.5</v>
      </c>
      <c r="M20" s="8" t="s">
        <v>73</v>
      </c>
      <c r="N20" s="4" t="n">
        <v>15</v>
      </c>
      <c r="O20" s="6" t="n">
        <f aca="false">IF(C20="롱",(J20-E20)/E20,(E20-J20)/E20)</f>
        <v>0.048952265020433</v>
      </c>
    </row>
    <row r="21" customFormat="false" ht="17.15" hidden="false" customHeight="false" outlineLevel="0" collapsed="false">
      <c r="A21" s="4" t="n">
        <v>1</v>
      </c>
      <c r="B21" s="4" t="s">
        <v>12</v>
      </c>
      <c r="C21" s="8" t="s">
        <v>72</v>
      </c>
      <c r="D21" s="21" t="n">
        <v>38387</v>
      </c>
      <c r="E21" s="22" t="n">
        <v>121.3</v>
      </c>
      <c r="F21" s="21" t="n">
        <v>38390</v>
      </c>
      <c r="G21" s="22" t="n">
        <v>122.41</v>
      </c>
      <c r="H21" s="22" t="n">
        <v>113.12</v>
      </c>
      <c r="I21" s="21" t="n">
        <v>38419</v>
      </c>
      <c r="J21" s="22" t="n">
        <v>129.21</v>
      </c>
      <c r="K21" s="21" t="n">
        <v>38420</v>
      </c>
      <c r="L21" s="22" t="n">
        <v>128.83</v>
      </c>
      <c r="M21" s="8" t="s">
        <v>73</v>
      </c>
      <c r="N21" s="4" t="n">
        <v>18</v>
      </c>
      <c r="O21" s="6" t="n">
        <f aca="false">IF(C21="롱",(J21-E21)/E21,(E21-J21)/E21)</f>
        <v>0.0652102225886233</v>
      </c>
    </row>
    <row r="22" customFormat="false" ht="17.15" hidden="false" customHeight="false" outlineLevel="0" collapsed="false">
      <c r="A22" s="4" t="n">
        <v>1</v>
      </c>
      <c r="B22" s="4" t="s">
        <v>12</v>
      </c>
      <c r="C22" s="8" t="s">
        <v>72</v>
      </c>
      <c r="D22" s="21" t="n">
        <v>38449</v>
      </c>
      <c r="E22" s="22" t="n">
        <v>127.92</v>
      </c>
      <c r="F22" s="21" t="n">
        <v>38450</v>
      </c>
      <c r="G22" s="22" t="n">
        <v>128.86</v>
      </c>
      <c r="H22" s="22" t="n">
        <v>117.44</v>
      </c>
      <c r="I22" s="21" t="n">
        <v>38456</v>
      </c>
      <c r="J22" s="22" t="n">
        <v>123.29</v>
      </c>
      <c r="K22" s="21" t="n">
        <v>38457</v>
      </c>
      <c r="L22" s="22" t="n">
        <v>123.49</v>
      </c>
      <c r="M22" s="8" t="s">
        <v>73</v>
      </c>
      <c r="N22" s="4" t="n">
        <v>5</v>
      </c>
      <c r="O22" s="6" t="n">
        <f aca="false">IF(C22="롱",(J22-E22)/E22,(E22-J22)/E22)</f>
        <v>-0.0361944965603502</v>
      </c>
    </row>
    <row r="23" customFormat="false" ht="17.15" hidden="false" customHeight="false" outlineLevel="0" collapsed="false">
      <c r="A23" s="4" t="n">
        <v>1</v>
      </c>
      <c r="B23" s="4" t="s">
        <v>12</v>
      </c>
      <c r="C23" s="8" t="s">
        <v>72</v>
      </c>
      <c r="D23" s="21" t="n">
        <v>38481</v>
      </c>
      <c r="E23" s="22" t="n">
        <v>120.48</v>
      </c>
      <c r="F23" s="21" t="n">
        <v>38482</v>
      </c>
      <c r="G23" s="22" t="n">
        <v>121.01</v>
      </c>
      <c r="H23" s="22" t="n">
        <v>110.59</v>
      </c>
      <c r="I23" s="21" t="n">
        <v>38530</v>
      </c>
      <c r="J23" s="22" t="n">
        <v>127.45</v>
      </c>
      <c r="K23" s="21" t="n">
        <v>38531</v>
      </c>
      <c r="L23" s="22" t="n">
        <v>127.23</v>
      </c>
      <c r="M23" s="8" t="s">
        <v>73</v>
      </c>
      <c r="N23" s="4" t="n">
        <v>34</v>
      </c>
      <c r="O23" s="6" t="n">
        <f aca="false">IF(C23="롱",(J23-E23)/E23,(E23-J23)/E23)</f>
        <v>0.0578519256308101</v>
      </c>
    </row>
    <row r="24" customFormat="false" ht="17.15" hidden="false" customHeight="false" outlineLevel="0" collapsed="false">
      <c r="A24" s="4" t="n">
        <v>1</v>
      </c>
      <c r="B24" s="4" t="s">
        <v>12</v>
      </c>
      <c r="C24" s="8" t="s">
        <v>72</v>
      </c>
      <c r="D24" s="21" t="n">
        <v>38537</v>
      </c>
      <c r="E24" s="22" t="n">
        <v>130.95</v>
      </c>
      <c r="F24" s="21" t="n">
        <v>38538</v>
      </c>
      <c r="G24" s="22" t="n">
        <v>131.12</v>
      </c>
      <c r="H24" s="22" t="n">
        <v>122.91</v>
      </c>
      <c r="I24" s="21" t="n">
        <v>38569</v>
      </c>
      <c r="J24" s="22" t="n">
        <v>140.7</v>
      </c>
      <c r="K24" s="21" t="n">
        <v>38572</v>
      </c>
      <c r="L24" s="22" t="n">
        <v>139.78</v>
      </c>
      <c r="M24" s="8" t="s">
        <v>73</v>
      </c>
      <c r="N24" s="4" t="n">
        <v>24</v>
      </c>
      <c r="O24" s="6" t="n">
        <f aca="false">IF(C24="롱",(J24-E24)/E24,(E24-J24)/E24)</f>
        <v>0.0744558991981673</v>
      </c>
    </row>
    <row r="25" customFormat="false" ht="17.15" hidden="false" customHeight="false" outlineLevel="0" collapsed="false">
      <c r="A25" s="4" t="n">
        <v>1</v>
      </c>
      <c r="B25" s="4" t="s">
        <v>12</v>
      </c>
      <c r="C25" s="8" t="s">
        <v>72</v>
      </c>
      <c r="D25" s="21" t="n">
        <v>38601</v>
      </c>
      <c r="E25" s="22" t="n">
        <v>145.21</v>
      </c>
      <c r="F25" s="21" t="n">
        <v>38602</v>
      </c>
      <c r="G25" s="22" t="n">
        <v>147.04</v>
      </c>
      <c r="H25" s="22" t="n">
        <v>132.22</v>
      </c>
      <c r="I25" s="21" t="n">
        <v>38631</v>
      </c>
      <c r="J25" s="22" t="n">
        <v>154.65</v>
      </c>
      <c r="K25" s="21" t="n">
        <v>38632</v>
      </c>
      <c r="L25" s="22" t="n">
        <v>153.67</v>
      </c>
      <c r="M25" s="8" t="s">
        <v>73</v>
      </c>
      <c r="N25" s="4" t="n">
        <v>20</v>
      </c>
      <c r="O25" s="6" t="n">
        <f aca="false">IF(C25="롱",(J25-E25)/E25,(E25-J25)/E25)</f>
        <v>0.0650092968803801</v>
      </c>
    </row>
    <row r="26" customFormat="false" ht="17.15" hidden="false" customHeight="false" outlineLevel="0" collapsed="false">
      <c r="A26" s="4" t="n">
        <v>1</v>
      </c>
      <c r="B26" s="4" t="s">
        <v>12</v>
      </c>
      <c r="C26" s="8" t="s">
        <v>72</v>
      </c>
      <c r="D26" s="21" t="n">
        <v>38659</v>
      </c>
      <c r="E26" s="22" t="n">
        <v>156.89</v>
      </c>
      <c r="F26" s="21" t="n">
        <v>38660</v>
      </c>
      <c r="G26" s="22" t="n">
        <v>157.53</v>
      </c>
      <c r="H26" s="22" t="n">
        <v>141.2</v>
      </c>
      <c r="I26" s="21" t="n">
        <v>38702</v>
      </c>
      <c r="J26" s="22" t="n">
        <v>169.45</v>
      </c>
      <c r="K26" s="21" t="n">
        <v>38705</v>
      </c>
      <c r="L26" s="22" t="n">
        <v>170.07</v>
      </c>
      <c r="M26" s="8" t="s">
        <v>73</v>
      </c>
      <c r="N26" s="4" t="n">
        <v>31</v>
      </c>
      <c r="O26" s="6" t="n">
        <f aca="false">IF(C26="롱",(J26-E26)/E26,(E26-J26)/E26)</f>
        <v>0.0800560902543183</v>
      </c>
    </row>
    <row r="27" customFormat="false" ht="17.15" hidden="false" customHeight="false" outlineLevel="0" collapsed="false">
      <c r="A27" s="4" t="n">
        <v>1</v>
      </c>
      <c r="B27" s="4" t="s">
        <v>12</v>
      </c>
      <c r="C27" s="8" t="s">
        <v>72</v>
      </c>
      <c r="D27" s="21" t="n">
        <v>38709</v>
      </c>
      <c r="E27" s="22" t="n">
        <v>175.11</v>
      </c>
      <c r="F27" s="21" t="n">
        <v>38712</v>
      </c>
      <c r="G27" s="22" t="n">
        <v>175.74</v>
      </c>
      <c r="H27" s="22" t="n">
        <v>163.65</v>
      </c>
      <c r="I27" s="21" t="n">
        <v>38727</v>
      </c>
      <c r="J27" s="22" t="n">
        <v>178.98</v>
      </c>
      <c r="K27" s="21" t="n">
        <v>38728</v>
      </c>
      <c r="L27" s="22" t="n">
        <v>178.67</v>
      </c>
      <c r="M27" s="8" t="s">
        <v>73</v>
      </c>
      <c r="N27" s="4" t="n">
        <v>11</v>
      </c>
      <c r="O27" s="6" t="n">
        <f aca="false">IF(C27="롱",(J27-E27)/E27,(E27-J27)/E27)</f>
        <v>0.0221003940380331</v>
      </c>
    </row>
    <row r="28" customFormat="false" ht="17.15" hidden="false" customHeight="false" outlineLevel="0" collapsed="false">
      <c r="A28" s="4" t="n">
        <v>1</v>
      </c>
      <c r="B28" s="4" t="s">
        <v>12</v>
      </c>
      <c r="C28" s="8" t="s">
        <v>72</v>
      </c>
      <c r="D28" s="21" t="n">
        <v>38750</v>
      </c>
      <c r="E28" s="22" t="n">
        <v>177.92</v>
      </c>
      <c r="F28" s="21" t="n">
        <v>38751</v>
      </c>
      <c r="G28" s="22" t="n">
        <v>175.8</v>
      </c>
      <c r="H28" s="22" t="n">
        <v>160.13</v>
      </c>
      <c r="I28" s="21" t="n">
        <v>38751</v>
      </c>
      <c r="J28" s="22" t="n">
        <v>172.67</v>
      </c>
      <c r="K28" s="21" t="n">
        <v>38754</v>
      </c>
      <c r="L28" s="22" t="n">
        <v>171.77</v>
      </c>
      <c r="M28" s="8" t="s">
        <v>73</v>
      </c>
      <c r="N28" s="4" t="n">
        <v>1</v>
      </c>
      <c r="O28" s="6" t="n">
        <f aca="false">IF(C28="롱",(J28-E28)/E28,(E28-J28)/E28)</f>
        <v>-0.0295076438848921</v>
      </c>
    </row>
    <row r="29" customFormat="false" ht="17.15" hidden="false" customHeight="false" outlineLevel="0" collapsed="false">
      <c r="A29" s="4" t="n">
        <v>1</v>
      </c>
      <c r="B29" s="4" t="s">
        <v>12</v>
      </c>
      <c r="C29" s="8" t="s">
        <v>72</v>
      </c>
      <c r="D29" s="21" t="n">
        <v>38769</v>
      </c>
      <c r="E29" s="22" t="n">
        <v>174.04</v>
      </c>
      <c r="F29" s="21" t="n">
        <v>38770</v>
      </c>
      <c r="G29" s="22" t="n">
        <v>173.85</v>
      </c>
      <c r="H29" s="22" t="n">
        <v>156.64</v>
      </c>
      <c r="I29" s="21" t="n">
        <v>38783</v>
      </c>
      <c r="J29" s="22" t="n">
        <v>170.13</v>
      </c>
      <c r="K29" s="21" t="n">
        <v>38784</v>
      </c>
      <c r="L29" s="22" t="n">
        <v>168.35</v>
      </c>
      <c r="M29" s="8" t="s">
        <v>73</v>
      </c>
      <c r="N29" s="4" t="n">
        <v>9</v>
      </c>
      <c r="O29" s="6" t="n">
        <f aca="false">IF(C29="롱",(J29-E29)/E29,(E29-J29)/E29)</f>
        <v>-0.0224660997471845</v>
      </c>
    </row>
    <row r="30" customFormat="false" ht="17.15" hidden="false" customHeight="false" outlineLevel="0" collapsed="false">
      <c r="A30" s="4" t="n">
        <v>1</v>
      </c>
      <c r="B30" s="4" t="s">
        <v>12</v>
      </c>
      <c r="C30" s="8" t="s">
        <v>72</v>
      </c>
      <c r="D30" s="21" t="n">
        <v>38793</v>
      </c>
      <c r="E30" s="22" t="n">
        <v>173.48</v>
      </c>
      <c r="F30" s="21" t="n">
        <v>38796</v>
      </c>
      <c r="G30" s="22" t="n">
        <v>173.36</v>
      </c>
      <c r="H30" s="22" t="n">
        <v>158.97</v>
      </c>
      <c r="I30" s="21" t="n">
        <v>38798</v>
      </c>
      <c r="J30" s="22" t="n">
        <v>169.28</v>
      </c>
      <c r="K30" s="21" t="n">
        <v>38799</v>
      </c>
      <c r="L30" s="22" t="n">
        <v>170.81</v>
      </c>
      <c r="M30" s="8" t="s">
        <v>73</v>
      </c>
      <c r="N30" s="4" t="n">
        <v>3</v>
      </c>
      <c r="O30" s="6" t="n">
        <f aca="false">IF(C30="롱",(J30-E30)/E30,(E30-J30)/E30)</f>
        <v>-0.0242102836061793</v>
      </c>
    </row>
    <row r="31" customFormat="false" ht="17.15" hidden="false" customHeight="false" outlineLevel="0" collapsed="false">
      <c r="A31" s="4" t="n">
        <v>1</v>
      </c>
      <c r="B31" s="4" t="s">
        <v>12</v>
      </c>
      <c r="C31" s="8" t="s">
        <v>72</v>
      </c>
      <c r="D31" s="21" t="n">
        <v>38804</v>
      </c>
      <c r="E31" s="22" t="n">
        <v>172.77</v>
      </c>
      <c r="F31" s="21" t="n">
        <v>38805</v>
      </c>
      <c r="G31" s="22" t="n">
        <v>171.12</v>
      </c>
      <c r="H31" s="22" t="n">
        <v>158.57</v>
      </c>
      <c r="I31" s="21" t="n">
        <v>38835</v>
      </c>
      <c r="J31" s="22" t="n">
        <v>184.1</v>
      </c>
      <c r="K31" s="21" t="n">
        <v>38839</v>
      </c>
      <c r="L31" s="22" t="n">
        <v>184.13</v>
      </c>
      <c r="M31" s="8" t="s">
        <v>73</v>
      </c>
      <c r="N31" s="4" t="n">
        <v>23</v>
      </c>
      <c r="O31" s="6" t="n">
        <f aca="false">IF(C31="롱",(J31-E31)/E31,(E31-J31)/E31)</f>
        <v>0.065578514788447</v>
      </c>
    </row>
    <row r="32" customFormat="false" ht="17.15" hidden="false" customHeight="false" outlineLevel="0" collapsed="false">
      <c r="A32" s="4" t="n">
        <v>1</v>
      </c>
      <c r="B32" s="4" t="s">
        <v>12</v>
      </c>
      <c r="C32" s="8" t="s">
        <v>72</v>
      </c>
      <c r="D32" s="21" t="n">
        <v>38979</v>
      </c>
      <c r="E32" s="22" t="n">
        <v>178.32</v>
      </c>
      <c r="F32" s="21" t="n">
        <v>38980</v>
      </c>
      <c r="G32" s="22" t="n">
        <v>177.3</v>
      </c>
      <c r="H32" s="22" t="n">
        <v>168.56</v>
      </c>
      <c r="I32" s="21" t="n">
        <v>38982</v>
      </c>
      <c r="J32" s="22" t="n">
        <v>175</v>
      </c>
      <c r="K32" s="21" t="n">
        <v>38985</v>
      </c>
      <c r="L32" s="22" t="n">
        <v>175.04</v>
      </c>
      <c r="M32" s="8" t="s">
        <v>73</v>
      </c>
      <c r="N32" s="4" t="n">
        <v>3</v>
      </c>
      <c r="O32" s="6" t="n">
        <f aca="false">IF(C32="롱",(J32-E32)/E32,(E32-J32)/E32)</f>
        <v>-0.0186182144459398</v>
      </c>
    </row>
    <row r="33" customFormat="false" ht="17.15" hidden="false" customHeight="false" outlineLevel="0" collapsed="false">
      <c r="A33" s="4" t="n">
        <v>1</v>
      </c>
      <c r="B33" s="4" t="s">
        <v>12</v>
      </c>
      <c r="C33" s="8" t="s">
        <v>72</v>
      </c>
      <c r="D33" s="21" t="n">
        <v>39010</v>
      </c>
      <c r="E33" s="22" t="n">
        <v>177.35</v>
      </c>
      <c r="F33" s="21" t="n">
        <v>39013</v>
      </c>
      <c r="G33" s="22" t="n">
        <v>177.66</v>
      </c>
      <c r="H33" s="22" t="n">
        <v>164.96</v>
      </c>
      <c r="I33" s="21" t="n">
        <v>39050</v>
      </c>
      <c r="J33" s="22" t="n">
        <v>183.8</v>
      </c>
      <c r="K33" s="21" t="n">
        <v>39051</v>
      </c>
      <c r="L33" s="22" t="n">
        <v>184.47</v>
      </c>
      <c r="M33" s="8" t="s">
        <v>73</v>
      </c>
      <c r="N33" s="4" t="n">
        <v>28</v>
      </c>
      <c r="O33" s="6" t="n">
        <f aca="false">IF(C33="롱",(J33-E33)/E33,(E33-J33)/E33)</f>
        <v>0.0363687623343672</v>
      </c>
    </row>
    <row r="34" customFormat="false" ht="17.15" hidden="false" customHeight="false" outlineLevel="0" collapsed="false">
      <c r="A34" s="4" t="n">
        <v>1</v>
      </c>
      <c r="B34" s="4" t="s">
        <v>12</v>
      </c>
      <c r="C34" s="8" t="s">
        <v>72</v>
      </c>
      <c r="D34" s="21" t="n">
        <v>39051</v>
      </c>
      <c r="E34" s="22" t="n">
        <v>184.96</v>
      </c>
      <c r="F34" s="21" t="n">
        <v>39052</v>
      </c>
      <c r="G34" s="22" t="n">
        <v>185.12</v>
      </c>
      <c r="H34" s="22" t="n">
        <v>176.69</v>
      </c>
      <c r="I34" s="21" t="n">
        <v>39056</v>
      </c>
      <c r="J34" s="22" t="n">
        <v>183.53</v>
      </c>
      <c r="K34" s="21" t="n">
        <v>39057</v>
      </c>
      <c r="L34" s="22" t="n">
        <v>183.8</v>
      </c>
      <c r="M34" s="8" t="s">
        <v>73</v>
      </c>
      <c r="N34" s="4" t="n">
        <v>3</v>
      </c>
      <c r="O34" s="6" t="n">
        <f aca="false">IF(C34="롱",(J34-E34)/E34,(E34-J34)/E34)</f>
        <v>-0.00773140138408308</v>
      </c>
    </row>
    <row r="35" customFormat="false" ht="17.15" hidden="false" customHeight="false" outlineLevel="0" collapsed="false">
      <c r="A35" s="4" t="n">
        <v>1</v>
      </c>
      <c r="B35" s="4" t="s">
        <v>12</v>
      </c>
      <c r="C35" s="8" t="s">
        <v>72</v>
      </c>
      <c r="D35" s="21" t="n">
        <v>39070</v>
      </c>
      <c r="E35" s="22" t="n">
        <v>184.63</v>
      </c>
      <c r="F35" s="21" t="n">
        <v>39071</v>
      </c>
      <c r="G35" s="22" t="n">
        <v>184.92</v>
      </c>
      <c r="H35" s="22" t="n">
        <v>174.38</v>
      </c>
      <c r="I35" s="21" t="n">
        <v>39085</v>
      </c>
      <c r="J35" s="22" t="n">
        <v>182.13</v>
      </c>
      <c r="K35" s="21" t="n">
        <v>39086</v>
      </c>
      <c r="L35" s="22" t="n">
        <v>182.26</v>
      </c>
      <c r="M35" s="8" t="s">
        <v>73</v>
      </c>
      <c r="N35" s="4" t="n">
        <v>8</v>
      </c>
      <c r="O35" s="6" t="n">
        <f aca="false">IF(C35="롱",(J35-E35)/E35,(E35-J35)/E35)</f>
        <v>-0.0135405947029194</v>
      </c>
    </row>
    <row r="36" customFormat="false" ht="17.15" hidden="false" customHeight="false" outlineLevel="0" collapsed="false">
      <c r="A36" s="4" t="n">
        <v>1</v>
      </c>
      <c r="B36" s="4" t="s">
        <v>12</v>
      </c>
      <c r="C36" s="8" t="s">
        <v>72</v>
      </c>
      <c r="D36" s="21" t="n">
        <v>39107</v>
      </c>
      <c r="E36" s="22" t="n">
        <v>179.12</v>
      </c>
      <c r="F36" s="21" t="n">
        <v>39108</v>
      </c>
      <c r="G36" s="22" t="n">
        <v>177.83</v>
      </c>
      <c r="H36" s="22" t="n">
        <v>166.64</v>
      </c>
      <c r="I36" s="21" t="n">
        <v>39111</v>
      </c>
      <c r="J36" s="22" t="n">
        <v>176.41</v>
      </c>
      <c r="K36" s="21" t="n">
        <v>39112</v>
      </c>
      <c r="L36" s="22" t="n">
        <v>176.7</v>
      </c>
      <c r="M36" s="8" t="s">
        <v>73</v>
      </c>
      <c r="N36" s="4" t="n">
        <v>2</v>
      </c>
      <c r="O36" s="6" t="n">
        <f aca="false">IF(C36="롱",(J36-E36)/E36,(E36-J36)/E36)</f>
        <v>-0.015129522108084</v>
      </c>
    </row>
    <row r="37" customFormat="false" ht="17.15" hidden="false" customHeight="false" outlineLevel="0" collapsed="false">
      <c r="A37" s="4" t="n">
        <v>1</v>
      </c>
      <c r="B37" s="4" t="s">
        <v>12</v>
      </c>
      <c r="C37" s="8" t="s">
        <v>72</v>
      </c>
      <c r="D37" s="21" t="n">
        <v>39114</v>
      </c>
      <c r="E37" s="22" t="n">
        <v>179.1</v>
      </c>
      <c r="F37" s="21" t="n">
        <v>39115</v>
      </c>
      <c r="G37" s="22" t="n">
        <v>179.58</v>
      </c>
      <c r="H37" s="22" t="n">
        <v>166.68</v>
      </c>
      <c r="I37" s="21" t="n">
        <v>39141</v>
      </c>
      <c r="J37" s="22" t="n">
        <v>183.2</v>
      </c>
      <c r="K37" s="21" t="n">
        <v>39143</v>
      </c>
      <c r="L37" s="22" t="n">
        <v>181.87</v>
      </c>
      <c r="M37" s="8" t="s">
        <v>73</v>
      </c>
      <c r="N37" s="4" t="n">
        <v>18</v>
      </c>
      <c r="O37" s="6" t="n">
        <f aca="false">IF(C37="롱",(J37-E37)/E37,(E37-J37)/E37)</f>
        <v>0.022892238972641</v>
      </c>
    </row>
    <row r="38" customFormat="false" ht="17.15" hidden="false" customHeight="false" outlineLevel="0" collapsed="false">
      <c r="A38" s="4" t="n">
        <v>1</v>
      </c>
      <c r="B38" s="4" t="s">
        <v>12</v>
      </c>
      <c r="C38" s="8" t="s">
        <v>72</v>
      </c>
      <c r="D38" s="21" t="n">
        <v>39161</v>
      </c>
      <c r="E38" s="22" t="n">
        <v>186.34</v>
      </c>
      <c r="F38" s="21" t="n">
        <v>39162</v>
      </c>
      <c r="G38" s="22" t="n">
        <v>186.58</v>
      </c>
      <c r="H38" s="22" t="n">
        <v>172.44</v>
      </c>
      <c r="I38" s="21" t="n">
        <v>39202</v>
      </c>
      <c r="J38" s="22" t="n">
        <v>198.55</v>
      </c>
      <c r="K38" s="21" t="n">
        <v>39204</v>
      </c>
      <c r="L38" s="22" t="n">
        <v>199.76</v>
      </c>
      <c r="M38" s="8" t="s">
        <v>73</v>
      </c>
      <c r="N38" s="4" t="n">
        <v>29</v>
      </c>
      <c r="O38" s="6" t="n">
        <f aca="false">IF(C38="롱",(J38-E38)/E38,(E38-J38)/E38)</f>
        <v>0.0655253837072019</v>
      </c>
    </row>
    <row r="39" customFormat="false" ht="17.15" hidden="false" customHeight="false" outlineLevel="0" collapsed="false">
      <c r="A39" s="4" t="n">
        <v>1</v>
      </c>
      <c r="B39" s="4" t="s">
        <v>12</v>
      </c>
      <c r="C39" s="8" t="s">
        <v>72</v>
      </c>
      <c r="D39" s="21" t="n">
        <v>39206</v>
      </c>
      <c r="E39" s="22" t="n">
        <v>201.56</v>
      </c>
      <c r="F39" s="21" t="n">
        <v>39209</v>
      </c>
      <c r="G39" s="22" t="n">
        <v>202.45</v>
      </c>
      <c r="H39" s="22" t="n">
        <v>190.7</v>
      </c>
      <c r="I39" s="21" t="n">
        <v>39246</v>
      </c>
      <c r="J39" s="22" t="n">
        <v>218.59</v>
      </c>
      <c r="K39" s="21" t="n">
        <v>39247</v>
      </c>
      <c r="L39" s="22" t="n">
        <v>221.05</v>
      </c>
      <c r="M39" s="8" t="s">
        <v>73</v>
      </c>
      <c r="N39" s="4" t="n">
        <v>26</v>
      </c>
      <c r="O39" s="6" t="n">
        <f aca="false">IF(C39="롱",(J39-E39)/E39,(E39-J39)/E39)</f>
        <v>0.084490970430641</v>
      </c>
    </row>
    <row r="40" customFormat="false" ht="17.15" hidden="false" customHeight="false" outlineLevel="0" collapsed="false">
      <c r="A40" s="4" t="n">
        <v>1</v>
      </c>
      <c r="B40" s="4" t="s">
        <v>12</v>
      </c>
      <c r="C40" s="8" t="s">
        <v>72</v>
      </c>
      <c r="D40" s="21" t="n">
        <v>39247</v>
      </c>
      <c r="E40" s="22" t="n">
        <v>224.46</v>
      </c>
      <c r="F40" s="21" t="n">
        <v>39248</v>
      </c>
      <c r="G40" s="22" t="n">
        <v>224.85</v>
      </c>
      <c r="H40" s="22" t="n">
        <v>208.37</v>
      </c>
      <c r="I40" s="21" t="n">
        <v>39255</v>
      </c>
      <c r="J40" s="22" t="n">
        <v>224.95</v>
      </c>
      <c r="K40" s="21" t="n">
        <v>39258</v>
      </c>
      <c r="L40" s="22" t="n">
        <v>222.73</v>
      </c>
      <c r="M40" s="8" t="s">
        <v>73</v>
      </c>
      <c r="N40" s="4" t="n">
        <v>6</v>
      </c>
      <c r="O40" s="6" t="n">
        <f aca="false">IF(C40="롱",(J40-E40)/E40,(E40-J40)/E40)</f>
        <v>0.00218301701862239</v>
      </c>
    </row>
    <row r="41" customFormat="false" ht="17.15" hidden="false" customHeight="false" outlineLevel="0" collapsed="false">
      <c r="A41" s="4" t="n">
        <v>1</v>
      </c>
      <c r="B41" s="4" t="s">
        <v>12</v>
      </c>
      <c r="C41" s="8" t="s">
        <v>72</v>
      </c>
      <c r="D41" s="21" t="n">
        <v>39268</v>
      </c>
      <c r="E41" s="22" t="n">
        <v>234.75</v>
      </c>
      <c r="F41" s="21" t="n">
        <v>39269</v>
      </c>
      <c r="G41" s="22" t="n">
        <v>235.5</v>
      </c>
      <c r="H41" s="22" t="n">
        <v>215.65</v>
      </c>
      <c r="I41" s="21" t="n">
        <v>39290</v>
      </c>
      <c r="J41" s="22" t="n">
        <v>238.34</v>
      </c>
      <c r="K41" s="21" t="n">
        <v>39293</v>
      </c>
      <c r="L41" s="22" t="n">
        <v>237.31</v>
      </c>
      <c r="M41" s="8" t="s">
        <v>73</v>
      </c>
      <c r="N41" s="4" t="n">
        <v>15</v>
      </c>
      <c r="O41" s="6" t="n">
        <f aca="false">IF(C41="롱",(J41-E41)/E41,(E41-J41)/E41)</f>
        <v>0.0152928647497338</v>
      </c>
    </row>
    <row r="42" customFormat="false" ht="17.15" hidden="false" customHeight="false" outlineLevel="0" collapsed="false">
      <c r="A42" s="4" t="n">
        <v>1</v>
      </c>
      <c r="B42" s="4" t="s">
        <v>12</v>
      </c>
      <c r="C42" s="8" t="s">
        <v>72</v>
      </c>
      <c r="D42" s="21" t="n">
        <v>39322</v>
      </c>
      <c r="E42" s="22" t="n">
        <v>232.38</v>
      </c>
      <c r="F42" s="21" t="n">
        <v>39323</v>
      </c>
      <c r="G42" s="22" t="n">
        <v>225.41</v>
      </c>
      <c r="H42" s="22" t="n">
        <v>209.14</v>
      </c>
      <c r="I42" s="21" t="n">
        <v>39372</v>
      </c>
      <c r="J42" s="22" t="n">
        <v>250.48</v>
      </c>
      <c r="K42" s="21" t="n">
        <v>39373</v>
      </c>
      <c r="L42" s="22" t="n">
        <v>251.08</v>
      </c>
      <c r="M42" s="8" t="s">
        <v>73</v>
      </c>
      <c r="N42" s="4" t="n">
        <v>32</v>
      </c>
      <c r="O42" s="6" t="n">
        <f aca="false">IF(C42="롱",(J42-E42)/E42,(E42-J42)/E42)</f>
        <v>0.0778896634822274</v>
      </c>
    </row>
    <row r="43" customFormat="false" ht="17.15" hidden="false" customHeight="false" outlineLevel="0" collapsed="false">
      <c r="A43" s="4" t="n">
        <v>1</v>
      </c>
      <c r="B43" s="4" t="s">
        <v>12</v>
      </c>
      <c r="C43" s="8" t="s">
        <v>72</v>
      </c>
      <c r="D43" s="21" t="n">
        <v>39385</v>
      </c>
      <c r="E43" s="22" t="n">
        <v>258.87</v>
      </c>
      <c r="F43" s="21" t="n">
        <v>39386</v>
      </c>
      <c r="G43" s="22" t="n">
        <v>258.78</v>
      </c>
      <c r="H43" s="22" t="n">
        <v>232.98</v>
      </c>
      <c r="I43" s="21" t="n">
        <v>39391</v>
      </c>
      <c r="J43" s="22" t="n">
        <v>253.91</v>
      </c>
      <c r="K43" s="21" t="n">
        <v>39392</v>
      </c>
      <c r="L43" s="22" t="n">
        <v>254.72</v>
      </c>
      <c r="M43" s="8" t="s">
        <v>73</v>
      </c>
      <c r="N43" s="4" t="n">
        <v>4</v>
      </c>
      <c r="O43" s="6" t="n">
        <f aca="false">IF(C43="롱",(J43-E43)/E43,(E43-J43)/E43)</f>
        <v>-0.0191601962374938</v>
      </c>
    </row>
    <row r="44" customFormat="false" ht="17.15" hidden="false" customHeight="false" outlineLevel="0" collapsed="false">
      <c r="A44" s="4" t="n">
        <v>1</v>
      </c>
      <c r="B44" s="4" t="s">
        <v>12</v>
      </c>
      <c r="C44" s="8" t="s">
        <v>72</v>
      </c>
      <c r="D44" s="21" t="n">
        <v>39392</v>
      </c>
      <c r="E44" s="22" t="n">
        <v>259.24</v>
      </c>
      <c r="F44" s="21" t="n">
        <v>39393</v>
      </c>
      <c r="G44" s="22" t="n">
        <v>261.78</v>
      </c>
      <c r="H44" s="22" t="n">
        <v>233.32</v>
      </c>
      <c r="I44" s="21" t="n">
        <v>39394</v>
      </c>
      <c r="J44" s="22" t="n">
        <v>249.97</v>
      </c>
      <c r="K44" s="21" t="n">
        <v>39395</v>
      </c>
      <c r="L44" s="22" t="n">
        <v>252.83</v>
      </c>
      <c r="M44" s="8" t="s">
        <v>73</v>
      </c>
      <c r="N44" s="4" t="n">
        <v>2</v>
      </c>
      <c r="O44" s="6" t="n">
        <f aca="false">IF(C44="롱",(J44-E44)/E44,(E44-J44)/E44)</f>
        <v>-0.0357583706218177</v>
      </c>
    </row>
    <row r="45" customFormat="false" ht="17.15" hidden="false" customHeight="false" outlineLevel="0" collapsed="false">
      <c r="A45" s="4" t="n">
        <v>1</v>
      </c>
      <c r="B45" s="4" t="s">
        <v>12</v>
      </c>
      <c r="C45" s="8" t="s">
        <v>72</v>
      </c>
      <c r="D45" s="21" t="n">
        <v>39419</v>
      </c>
      <c r="E45" s="22" t="n">
        <v>241.61</v>
      </c>
      <c r="F45" s="21" t="n">
        <v>39420</v>
      </c>
      <c r="G45" s="22" t="n">
        <v>241.88</v>
      </c>
      <c r="H45" s="22" t="n">
        <v>217.45</v>
      </c>
      <c r="I45" s="21" t="n">
        <v>39433</v>
      </c>
      <c r="J45" s="22" t="n">
        <v>234.33</v>
      </c>
      <c r="K45" s="21" t="n">
        <v>39434</v>
      </c>
      <c r="L45" s="22" t="n">
        <v>231.79</v>
      </c>
      <c r="M45" s="8" t="s">
        <v>73</v>
      </c>
      <c r="N45" s="4" t="n">
        <v>10</v>
      </c>
      <c r="O45" s="6" t="n">
        <f aca="false">IF(C45="롱",(J45-E45)/E45,(E45-J45)/E45)</f>
        <v>-0.0301312031786764</v>
      </c>
    </row>
    <row r="46" customFormat="false" ht="17.15" hidden="false" customHeight="false" outlineLevel="0" collapsed="false">
      <c r="A46" s="4" t="n">
        <v>1</v>
      </c>
      <c r="B46" s="4" t="s">
        <v>12</v>
      </c>
      <c r="C46" s="8" t="s">
        <v>72</v>
      </c>
      <c r="D46" s="21" t="n">
        <v>39440</v>
      </c>
      <c r="E46" s="22" t="n">
        <v>245.14</v>
      </c>
      <c r="F46" s="21" t="n">
        <v>39442</v>
      </c>
      <c r="G46" s="22" t="n">
        <v>245.87</v>
      </c>
      <c r="H46" s="22" t="n">
        <v>220.63</v>
      </c>
      <c r="I46" s="21" t="n">
        <v>39449</v>
      </c>
      <c r="J46" s="22" t="n">
        <v>235.3</v>
      </c>
      <c r="K46" s="21" t="n">
        <v>39450</v>
      </c>
      <c r="L46" s="22" t="n">
        <v>232.94</v>
      </c>
      <c r="M46" s="8" t="s">
        <v>73</v>
      </c>
      <c r="N46" s="4" t="n">
        <v>4</v>
      </c>
      <c r="O46" s="6" t="n">
        <f aca="false">IF(C46="롱",(J46-E46)/E46,(E46-J46)/E46)</f>
        <v>-0.0401403279758504</v>
      </c>
    </row>
    <row r="47" customFormat="false" ht="17.15" hidden="false" customHeight="false" outlineLevel="0" collapsed="false">
      <c r="A47" s="4" t="n">
        <v>1</v>
      </c>
      <c r="B47" s="4" t="s">
        <v>12</v>
      </c>
      <c r="C47" s="8" t="s">
        <v>72</v>
      </c>
      <c r="D47" s="21" t="n">
        <v>39583</v>
      </c>
      <c r="E47" s="22" t="n">
        <v>243.11</v>
      </c>
      <c r="F47" s="21" t="n">
        <v>39584</v>
      </c>
      <c r="G47" s="22" t="n">
        <v>244.16</v>
      </c>
      <c r="H47" s="22" t="n">
        <v>225.95</v>
      </c>
      <c r="I47" s="21" t="n">
        <v>39589</v>
      </c>
      <c r="J47" s="22" t="n">
        <v>237.15</v>
      </c>
      <c r="K47" s="21" t="n">
        <v>39590</v>
      </c>
      <c r="L47" s="22" t="n">
        <v>234.3</v>
      </c>
      <c r="M47" s="8" t="s">
        <v>73</v>
      </c>
      <c r="N47" s="4" t="n">
        <v>4</v>
      </c>
      <c r="O47" s="6" t="n">
        <f aca="false">IF(C47="롱",(J47-E47)/E47,(E47-J47)/E47)</f>
        <v>-0.0245156513512402</v>
      </c>
    </row>
    <row r="48" customFormat="false" ht="17.15" hidden="false" customHeight="false" outlineLevel="0" collapsed="false">
      <c r="A48" s="4" t="n">
        <v>1</v>
      </c>
      <c r="B48" s="4" t="s">
        <v>12</v>
      </c>
      <c r="C48" s="8" t="s">
        <v>72</v>
      </c>
      <c r="D48" s="21" t="n">
        <v>39882</v>
      </c>
      <c r="E48" s="22" t="n">
        <v>142.73</v>
      </c>
      <c r="F48" s="21" t="n">
        <v>39883</v>
      </c>
      <c r="G48" s="22" t="n">
        <v>146.93</v>
      </c>
      <c r="H48" s="22" t="n">
        <v>128.46</v>
      </c>
      <c r="I48" s="21" t="n">
        <v>39924</v>
      </c>
      <c r="J48" s="22" t="n">
        <v>171.96</v>
      </c>
      <c r="K48" s="21" t="n">
        <v>39925</v>
      </c>
      <c r="L48" s="22" t="n">
        <v>173.28</v>
      </c>
      <c r="M48" s="8" t="s">
        <v>73</v>
      </c>
      <c r="N48" s="4" t="n">
        <v>30</v>
      </c>
      <c r="O48" s="6" t="n">
        <f aca="false">IF(C48="롱",(J48-E48)/E48,(E48-J48)/E48)</f>
        <v>0.204792265115953</v>
      </c>
    </row>
    <row r="49" customFormat="false" ht="17.15" hidden="false" customHeight="false" outlineLevel="0" collapsed="false">
      <c r="A49" s="4" t="n">
        <v>1</v>
      </c>
      <c r="B49" s="4" t="s">
        <v>12</v>
      </c>
      <c r="C49" s="8" t="s">
        <v>72</v>
      </c>
      <c r="D49" s="21" t="n">
        <v>39940</v>
      </c>
      <c r="E49" s="22" t="n">
        <v>179.74</v>
      </c>
      <c r="F49" s="21" t="n">
        <v>39941</v>
      </c>
      <c r="G49" s="22" t="n">
        <v>179.58</v>
      </c>
      <c r="H49" s="22" t="n">
        <v>161.77</v>
      </c>
      <c r="I49" s="21" t="n">
        <v>39947</v>
      </c>
      <c r="J49" s="22" t="n">
        <v>176.29</v>
      </c>
      <c r="K49" s="21" t="n">
        <v>39948</v>
      </c>
      <c r="L49" s="22" t="n">
        <v>178.09</v>
      </c>
      <c r="M49" s="8" t="s">
        <v>73</v>
      </c>
      <c r="N49" s="4" t="n">
        <v>5</v>
      </c>
      <c r="O49" s="6" t="n">
        <f aca="false">IF(C49="롱",(J49-E49)/E49,(E49-J49)/E49)</f>
        <v>-0.0191943918994104</v>
      </c>
    </row>
    <row r="50" customFormat="false" ht="17.15" hidden="false" customHeight="false" outlineLevel="0" collapsed="false">
      <c r="A50" s="4" t="n">
        <v>1</v>
      </c>
      <c r="B50" s="4" t="s">
        <v>12</v>
      </c>
      <c r="C50" s="8" t="s">
        <v>72</v>
      </c>
      <c r="D50" s="21" t="n">
        <v>39995</v>
      </c>
      <c r="E50" s="22" t="n">
        <v>181.95</v>
      </c>
      <c r="F50" s="21" t="n">
        <v>39996</v>
      </c>
      <c r="G50" s="22" t="n">
        <v>182.92</v>
      </c>
      <c r="H50" s="22" t="n">
        <v>163.85</v>
      </c>
      <c r="I50" s="21" t="n">
        <v>40008</v>
      </c>
      <c r="J50" s="22" t="n">
        <v>179.43</v>
      </c>
      <c r="K50" s="21" t="n">
        <v>40009</v>
      </c>
      <c r="L50" s="22" t="n">
        <v>181.94</v>
      </c>
      <c r="M50" s="8" t="s">
        <v>73</v>
      </c>
      <c r="N50" s="4" t="n">
        <v>9</v>
      </c>
      <c r="O50" s="6" t="n">
        <f aca="false">IF(C50="롱",(J50-E50)/E50,(E50-J50)/E50)</f>
        <v>-0.0138499587798845</v>
      </c>
    </row>
    <row r="51" customFormat="false" ht="17.15" hidden="false" customHeight="false" outlineLevel="0" collapsed="false">
      <c r="A51" s="4" t="n">
        <v>1</v>
      </c>
      <c r="B51" s="4" t="s">
        <v>12</v>
      </c>
      <c r="C51" s="8" t="s">
        <v>72</v>
      </c>
      <c r="D51" s="21" t="n">
        <v>40010</v>
      </c>
      <c r="E51" s="22" t="n">
        <v>186.22</v>
      </c>
      <c r="F51" s="21" t="n">
        <v>40011</v>
      </c>
      <c r="G51" s="22" t="n">
        <v>187.63</v>
      </c>
      <c r="H51" s="22" t="n">
        <v>169.22</v>
      </c>
      <c r="I51" s="21" t="n">
        <v>40037</v>
      </c>
      <c r="J51" s="22" t="n">
        <v>202.67</v>
      </c>
      <c r="K51" s="21" t="n">
        <v>40038</v>
      </c>
      <c r="L51" s="22" t="n">
        <v>204.52</v>
      </c>
      <c r="M51" s="8" t="s">
        <v>73</v>
      </c>
      <c r="N51" s="4" t="n">
        <v>19</v>
      </c>
      <c r="O51" s="6" t="n">
        <f aca="false">IF(C51="롱",(J51-E51)/E51,(E51-J51)/E51)</f>
        <v>0.0883363763290731</v>
      </c>
    </row>
    <row r="52" customFormat="false" ht="17.15" hidden="false" customHeight="false" outlineLevel="0" collapsed="false">
      <c r="A52" s="4" t="n">
        <v>1</v>
      </c>
      <c r="B52" s="4" t="s">
        <v>12</v>
      </c>
      <c r="C52" s="8" t="s">
        <v>72</v>
      </c>
      <c r="D52" s="21" t="n">
        <v>40051</v>
      </c>
      <c r="E52" s="22" t="n">
        <v>210.62</v>
      </c>
      <c r="F52" s="21" t="n">
        <v>40052</v>
      </c>
      <c r="G52" s="22" t="n">
        <v>209.74</v>
      </c>
      <c r="H52" s="22" t="n">
        <v>194.4</v>
      </c>
      <c r="I52" s="21" t="n">
        <v>40052</v>
      </c>
      <c r="J52" s="22" t="n">
        <v>208.62</v>
      </c>
      <c r="K52" s="21" t="n">
        <v>40053</v>
      </c>
      <c r="L52" s="22" t="n">
        <v>210.45</v>
      </c>
      <c r="M52" s="8" t="s">
        <v>73</v>
      </c>
      <c r="N52" s="4" t="n">
        <v>1</v>
      </c>
      <c r="O52" s="6" t="n">
        <f aca="false">IF(C52="롱",(J52-E52)/E52,(E52-J52)/E52)</f>
        <v>-0.00949577438040072</v>
      </c>
    </row>
    <row r="53" customFormat="false" ht="17.15" hidden="false" customHeight="false" outlineLevel="0" collapsed="false">
      <c r="A53" s="4" t="n">
        <v>1</v>
      </c>
      <c r="B53" s="4" t="s">
        <v>12</v>
      </c>
      <c r="C53" s="8" t="s">
        <v>72</v>
      </c>
      <c r="D53" s="21" t="n">
        <v>40067</v>
      </c>
      <c r="E53" s="22" t="n">
        <v>215.81</v>
      </c>
      <c r="F53" s="21" t="n">
        <v>40070</v>
      </c>
      <c r="G53" s="22" t="n">
        <v>215.87</v>
      </c>
      <c r="H53" s="22" t="n">
        <v>198.38</v>
      </c>
      <c r="I53" s="21" t="n">
        <v>40070</v>
      </c>
      <c r="J53" s="22" t="n">
        <v>213.42</v>
      </c>
      <c r="K53" s="21" t="n">
        <v>40071</v>
      </c>
      <c r="L53" s="22" t="n">
        <v>214.9</v>
      </c>
      <c r="M53" s="8" t="s">
        <v>73</v>
      </c>
      <c r="N53" s="4" t="n">
        <v>1</v>
      </c>
      <c r="O53" s="6" t="n">
        <f aca="false">IF(C53="롱",(J53-E53)/E53,(E53-J53)/E53)</f>
        <v>-0.0110745563226913</v>
      </c>
    </row>
    <row r="54" customFormat="false" ht="17.15" hidden="false" customHeight="false" outlineLevel="0" collapsed="false">
      <c r="A54" s="4" t="n">
        <v>1</v>
      </c>
      <c r="B54" s="4" t="s">
        <v>12</v>
      </c>
      <c r="C54" s="8" t="s">
        <v>72</v>
      </c>
      <c r="D54" s="21" t="n">
        <v>40071</v>
      </c>
      <c r="E54" s="22" t="n">
        <v>216.14</v>
      </c>
      <c r="F54" s="21" t="n">
        <v>40072</v>
      </c>
      <c r="G54" s="22" t="n">
        <v>217</v>
      </c>
      <c r="H54" s="22" t="n">
        <v>199.76</v>
      </c>
      <c r="I54" s="21" t="n">
        <v>40084</v>
      </c>
      <c r="J54" s="22" t="n">
        <v>219.66</v>
      </c>
      <c r="K54" s="21" t="n">
        <v>40085</v>
      </c>
      <c r="L54" s="22" t="n">
        <v>222.39</v>
      </c>
      <c r="M54" s="8" t="s">
        <v>73</v>
      </c>
      <c r="N54" s="4" t="n">
        <v>9</v>
      </c>
      <c r="O54" s="6" t="n">
        <f aca="false">IF(C54="롱",(J54-E54)/E54,(E54-J54)/E54)</f>
        <v>0.0162857407236051</v>
      </c>
    </row>
    <row r="55" customFormat="false" ht="17.15" hidden="false" customHeight="false" outlineLevel="0" collapsed="false">
      <c r="A55" s="4" t="n">
        <v>1</v>
      </c>
      <c r="B55" s="4" t="s">
        <v>12</v>
      </c>
      <c r="C55" s="8" t="s">
        <v>72</v>
      </c>
      <c r="D55" s="21" t="n">
        <v>40133</v>
      </c>
      <c r="E55" s="22" t="n">
        <v>209.9</v>
      </c>
      <c r="F55" s="21" t="n">
        <v>40134</v>
      </c>
      <c r="G55" s="22" t="n">
        <v>210.86</v>
      </c>
      <c r="H55" s="22" t="n">
        <v>191.17</v>
      </c>
      <c r="I55" s="21" t="n">
        <v>40144</v>
      </c>
      <c r="J55" s="22" t="n">
        <v>200.73</v>
      </c>
      <c r="K55" s="21" t="n">
        <v>40147</v>
      </c>
      <c r="L55" s="22" t="n">
        <v>203.81</v>
      </c>
      <c r="M55" s="8" t="s">
        <v>73</v>
      </c>
      <c r="N55" s="4" t="n">
        <v>9</v>
      </c>
      <c r="O55" s="6" t="n">
        <f aca="false">IF(C55="롱",(J55-E55)/E55,(E55-J55)/E55)</f>
        <v>-0.0436874702239162</v>
      </c>
    </row>
    <row r="56" customFormat="false" ht="17.15" hidden="false" customHeight="false" outlineLevel="0" collapsed="false">
      <c r="A56" s="4" t="n">
        <v>1</v>
      </c>
      <c r="B56" s="4" t="s">
        <v>12</v>
      </c>
      <c r="C56" s="8" t="s">
        <v>72</v>
      </c>
      <c r="D56" s="21" t="n">
        <v>40150</v>
      </c>
      <c r="E56" s="22" t="n">
        <v>213.31</v>
      </c>
      <c r="F56" s="21" t="n">
        <v>40151</v>
      </c>
      <c r="G56" s="22" t="n">
        <v>212.43</v>
      </c>
      <c r="H56" s="22" t="n">
        <v>194.54</v>
      </c>
      <c r="I56" s="21" t="n">
        <v>40189</v>
      </c>
      <c r="J56" s="22" t="n">
        <v>222.23</v>
      </c>
      <c r="K56" s="21" t="n">
        <v>40190</v>
      </c>
      <c r="L56" s="22" t="n">
        <v>222.5</v>
      </c>
      <c r="M56" s="8" t="s">
        <v>73</v>
      </c>
      <c r="N56" s="4" t="n">
        <v>24</v>
      </c>
      <c r="O56" s="6" t="n">
        <f aca="false">IF(C56="롱",(J56-E56)/E56,(E56-J56)/E56)</f>
        <v>0.0418170737424405</v>
      </c>
    </row>
    <row r="57" customFormat="false" ht="17.15" hidden="false" customHeight="false" outlineLevel="0" collapsed="false">
      <c r="A57" s="4" t="n">
        <v>1</v>
      </c>
      <c r="B57" s="4" t="s">
        <v>12</v>
      </c>
      <c r="C57" s="8" t="s">
        <v>72</v>
      </c>
      <c r="D57" s="21" t="n">
        <v>40199</v>
      </c>
      <c r="E57" s="22" t="n">
        <v>226.16</v>
      </c>
      <c r="F57" s="21" t="n">
        <v>40200</v>
      </c>
      <c r="G57" s="22" t="n">
        <v>222.59</v>
      </c>
      <c r="H57" s="22" t="n">
        <v>212.54</v>
      </c>
      <c r="I57" s="21" t="n">
        <v>40200</v>
      </c>
      <c r="J57" s="22" t="n">
        <v>220.68</v>
      </c>
      <c r="K57" s="21" t="n">
        <v>40203</v>
      </c>
      <c r="L57" s="22" t="n">
        <v>217.72</v>
      </c>
      <c r="M57" s="8" t="s">
        <v>73</v>
      </c>
      <c r="N57" s="4" t="n">
        <v>1</v>
      </c>
      <c r="O57" s="6" t="n">
        <f aca="false">IF(C57="롱",(J57-E57)/E57,(E57-J57)/E57)</f>
        <v>-0.0242306331800495</v>
      </c>
    </row>
    <row r="58" customFormat="false" ht="17.15" hidden="false" customHeight="false" outlineLevel="0" collapsed="false">
      <c r="A58" s="4" t="n">
        <v>1</v>
      </c>
      <c r="B58" s="4" t="s">
        <v>12</v>
      </c>
      <c r="C58" s="8" t="s">
        <v>72</v>
      </c>
      <c r="D58" s="21" t="n">
        <v>40226</v>
      </c>
      <c r="E58" s="22" t="n">
        <v>213.44</v>
      </c>
      <c r="F58" s="21" t="n">
        <v>40227</v>
      </c>
      <c r="G58" s="22" t="n">
        <v>213.81</v>
      </c>
      <c r="H58" s="22" t="n">
        <v>194.02</v>
      </c>
      <c r="I58" s="21" t="n">
        <v>40281</v>
      </c>
      <c r="J58" s="22" t="n">
        <v>224.69</v>
      </c>
      <c r="K58" s="21" t="n">
        <v>40282</v>
      </c>
      <c r="L58" s="22" t="n">
        <v>226.01</v>
      </c>
      <c r="M58" s="8" t="s">
        <v>73</v>
      </c>
      <c r="N58" s="4" t="n">
        <v>38</v>
      </c>
      <c r="O58" s="6" t="n">
        <f aca="false">IF(C58="롱",(J58-E58)/E58,(E58-J58)/E58)</f>
        <v>0.0527080209895053</v>
      </c>
    </row>
    <row r="59" customFormat="false" ht="17.15" hidden="false" customHeight="false" outlineLevel="0" collapsed="false">
      <c r="A59" s="4" t="n">
        <v>1</v>
      </c>
      <c r="B59" s="4" t="s">
        <v>12</v>
      </c>
      <c r="C59" s="8" t="s">
        <v>72</v>
      </c>
      <c r="D59" s="21" t="n">
        <v>40283</v>
      </c>
      <c r="E59" s="22" t="n">
        <v>229.17</v>
      </c>
      <c r="F59" s="21" t="n">
        <v>40284</v>
      </c>
      <c r="G59" s="22" t="n">
        <v>228.83</v>
      </c>
      <c r="H59" s="22" t="n">
        <v>216.62</v>
      </c>
      <c r="I59" s="21" t="n">
        <v>40284</v>
      </c>
      <c r="J59" s="22" t="n">
        <v>227.69</v>
      </c>
      <c r="K59" s="21" t="n">
        <v>40287</v>
      </c>
      <c r="L59" s="22" t="n">
        <v>224.17</v>
      </c>
      <c r="M59" s="8" t="s">
        <v>73</v>
      </c>
      <c r="N59" s="4" t="n">
        <v>1</v>
      </c>
      <c r="O59" s="6" t="n">
        <f aca="false">IF(C59="롱",(J59-E59)/E59,(E59-J59)/E59)</f>
        <v>-0.00645808788235803</v>
      </c>
    </row>
    <row r="60" customFormat="false" ht="17.15" hidden="false" customHeight="false" outlineLevel="0" collapsed="false">
      <c r="A60" s="4" t="n">
        <v>1</v>
      </c>
      <c r="B60" s="4" t="s">
        <v>12</v>
      </c>
      <c r="C60" s="8" t="s">
        <v>72</v>
      </c>
      <c r="D60" s="21" t="n">
        <v>40330</v>
      </c>
      <c r="E60" s="22" t="n">
        <v>213.02</v>
      </c>
      <c r="F60" s="21" t="n">
        <v>40332</v>
      </c>
      <c r="G60" s="22" t="n">
        <v>214.84</v>
      </c>
      <c r="H60" s="22" t="n">
        <v>191.72</v>
      </c>
      <c r="I60" s="21" t="n">
        <v>40360</v>
      </c>
      <c r="J60" s="22" t="n">
        <v>218.65</v>
      </c>
      <c r="K60" s="21" t="n">
        <v>40361</v>
      </c>
      <c r="L60" s="22" t="n">
        <v>219.13</v>
      </c>
      <c r="M60" s="8" t="s">
        <v>73</v>
      </c>
      <c r="N60" s="4" t="n">
        <v>21</v>
      </c>
      <c r="O60" s="6" t="n">
        <f aca="false">IF(C60="롱",(J60-E60)/E60,(E60-J60)/E60)</f>
        <v>0.0264294432447657</v>
      </c>
    </row>
    <row r="61" customFormat="false" ht="17.15" hidden="false" customHeight="false" outlineLevel="0" collapsed="false">
      <c r="A61" s="4" t="n">
        <v>1</v>
      </c>
      <c r="B61" s="4" t="s">
        <v>12</v>
      </c>
      <c r="C61" s="8" t="s">
        <v>72</v>
      </c>
      <c r="D61" s="21" t="n">
        <v>40424</v>
      </c>
      <c r="E61" s="22" t="n">
        <v>231.04</v>
      </c>
      <c r="F61" s="21" t="n">
        <v>40427</v>
      </c>
      <c r="G61" s="22" t="n">
        <v>232.6</v>
      </c>
      <c r="H61" s="22" t="n">
        <v>216.18</v>
      </c>
      <c r="I61" s="21" t="n">
        <v>40463</v>
      </c>
      <c r="J61" s="22" t="n">
        <v>242.35</v>
      </c>
      <c r="K61" s="21" t="n">
        <v>40464</v>
      </c>
      <c r="L61" s="22" t="n">
        <v>243.63</v>
      </c>
      <c r="M61" s="8" t="s">
        <v>73</v>
      </c>
      <c r="N61" s="4" t="n">
        <v>24</v>
      </c>
      <c r="O61" s="6" t="n">
        <f aca="false">IF(C61="롱",(J61-E61)/E61,(E61-J61)/E61)</f>
        <v>0.0489525623268698</v>
      </c>
    </row>
    <row r="62" customFormat="false" ht="17.15" hidden="false" customHeight="false" outlineLevel="0" collapsed="false">
      <c r="A62" s="4" t="n">
        <v>1</v>
      </c>
      <c r="B62" s="4" t="s">
        <v>12</v>
      </c>
      <c r="C62" s="8" t="s">
        <v>72</v>
      </c>
      <c r="D62" s="21" t="n">
        <v>40485</v>
      </c>
      <c r="E62" s="22" t="n">
        <v>249.99</v>
      </c>
      <c r="F62" s="21" t="n">
        <v>40486</v>
      </c>
      <c r="G62" s="22" t="n">
        <v>250.73</v>
      </c>
      <c r="H62" s="22" t="n">
        <v>234.4</v>
      </c>
      <c r="I62" s="21" t="n">
        <v>40494</v>
      </c>
      <c r="J62" s="22" t="n">
        <v>248.35</v>
      </c>
      <c r="K62" s="21" t="n">
        <v>40497</v>
      </c>
      <c r="L62" s="22" t="n">
        <v>249.34</v>
      </c>
      <c r="M62" s="8" t="s">
        <v>73</v>
      </c>
      <c r="N62" s="4" t="n">
        <v>7</v>
      </c>
      <c r="O62" s="6" t="n">
        <f aca="false">IF(C62="롱",(J62-E62)/E62,(E62-J62)/E62)</f>
        <v>-0.00656026241049648</v>
      </c>
    </row>
    <row r="63" customFormat="false" ht="17.15" hidden="false" customHeight="false" outlineLevel="0" collapsed="false">
      <c r="A63" s="4" t="n">
        <v>1</v>
      </c>
      <c r="B63" s="4" t="s">
        <v>12</v>
      </c>
      <c r="C63" s="8" t="s">
        <v>72</v>
      </c>
      <c r="D63" s="21" t="n">
        <v>40504</v>
      </c>
      <c r="E63" s="22" t="n">
        <v>254</v>
      </c>
      <c r="F63" s="21" t="n">
        <v>40505</v>
      </c>
      <c r="G63" s="22" t="n">
        <v>253.22</v>
      </c>
      <c r="H63" s="22" t="n">
        <v>236.65</v>
      </c>
      <c r="I63" s="21" t="n">
        <v>40505</v>
      </c>
      <c r="J63" s="22" t="n">
        <v>252.12</v>
      </c>
      <c r="K63" s="21" t="n">
        <v>40506</v>
      </c>
      <c r="L63" s="22" t="n">
        <v>246.77</v>
      </c>
      <c r="M63" s="8" t="s">
        <v>73</v>
      </c>
      <c r="N63" s="4" t="n">
        <v>1</v>
      </c>
      <c r="O63" s="6" t="n">
        <f aca="false">IF(C63="롱",(J63-E63)/E63,(E63-J63)/E63)</f>
        <v>-0.00740157480314959</v>
      </c>
    </row>
    <row r="64" customFormat="false" ht="17.15" hidden="false" customHeight="false" outlineLevel="0" collapsed="false">
      <c r="A64" s="4" t="n">
        <v>1</v>
      </c>
      <c r="B64" s="4" t="s">
        <v>12</v>
      </c>
      <c r="C64" s="8" t="s">
        <v>72</v>
      </c>
      <c r="D64" s="21" t="n">
        <v>40515</v>
      </c>
      <c r="E64" s="22" t="n">
        <v>257.65</v>
      </c>
      <c r="F64" s="21" t="n">
        <v>40518</v>
      </c>
      <c r="G64" s="22" t="n">
        <v>258.12</v>
      </c>
      <c r="H64" s="22" t="n">
        <v>238.48</v>
      </c>
      <c r="I64" s="21" t="n">
        <v>40541</v>
      </c>
      <c r="J64" s="22" t="n">
        <v>270.44</v>
      </c>
      <c r="K64" s="21" t="n">
        <v>40542</v>
      </c>
      <c r="L64" s="22" t="n">
        <v>270.84</v>
      </c>
      <c r="M64" s="8" t="s">
        <v>73</v>
      </c>
      <c r="N64" s="4" t="n">
        <v>18</v>
      </c>
      <c r="O64" s="6" t="n">
        <f aca="false">IF(C64="롱",(J64-E64)/E64,(E64-J64)/E64)</f>
        <v>0.0496409858334951</v>
      </c>
    </row>
    <row r="65" customFormat="false" ht="17.15" hidden="false" customHeight="false" outlineLevel="0" collapsed="false">
      <c r="A65" s="4" t="n">
        <v>1</v>
      </c>
      <c r="B65" s="4" t="s">
        <v>12</v>
      </c>
      <c r="C65" s="8" t="s">
        <v>72</v>
      </c>
      <c r="D65" s="21" t="n">
        <v>40546</v>
      </c>
      <c r="E65" s="22" t="n">
        <v>273.81</v>
      </c>
      <c r="F65" s="21" t="n">
        <v>40547</v>
      </c>
      <c r="G65" s="22" t="n">
        <v>274.29</v>
      </c>
      <c r="H65" s="22" t="n">
        <v>261.65</v>
      </c>
      <c r="I65" s="21" t="n">
        <v>40553</v>
      </c>
      <c r="J65" s="22" t="n">
        <v>273.99</v>
      </c>
      <c r="K65" s="21" t="n">
        <v>40554</v>
      </c>
      <c r="L65" s="22" t="n">
        <v>273.81</v>
      </c>
      <c r="M65" s="8" t="s">
        <v>73</v>
      </c>
      <c r="N65" s="4" t="n">
        <v>5</v>
      </c>
      <c r="O65" s="6" t="n">
        <f aca="false">IF(C65="롱",(J65-E65)/E65,(E65-J65)/E65)</f>
        <v>0.000657390161060614</v>
      </c>
    </row>
    <row r="66" customFormat="false" ht="17.15" hidden="false" customHeight="false" outlineLevel="0" collapsed="false">
      <c r="A66" s="4" t="n">
        <v>1</v>
      </c>
      <c r="B66" s="4" t="s">
        <v>12</v>
      </c>
      <c r="C66" s="8" t="s">
        <v>72</v>
      </c>
      <c r="D66" s="21" t="n">
        <v>40606</v>
      </c>
      <c r="E66" s="22" t="n">
        <v>265.42</v>
      </c>
      <c r="F66" s="21" t="n">
        <v>40609</v>
      </c>
      <c r="G66" s="22" t="n">
        <v>264.12</v>
      </c>
      <c r="H66" s="22" t="n">
        <v>242.79</v>
      </c>
      <c r="I66" s="21" t="n">
        <v>40617</v>
      </c>
      <c r="J66" s="22" t="n">
        <v>254.29</v>
      </c>
      <c r="K66" s="21" t="n">
        <v>40618</v>
      </c>
      <c r="L66" s="22" t="n">
        <v>258.44</v>
      </c>
      <c r="M66" s="8" t="s">
        <v>73</v>
      </c>
      <c r="N66" s="4" t="n">
        <v>7</v>
      </c>
      <c r="O66" s="6" t="n">
        <f aca="false">IF(C66="롱",(J66-E66)/E66,(E66-J66)/E66)</f>
        <v>-0.0419335392962099</v>
      </c>
    </row>
    <row r="67" customFormat="false" ht="17.15" hidden="false" customHeight="false" outlineLevel="0" collapsed="false">
      <c r="A67" s="4" t="n">
        <v>1</v>
      </c>
      <c r="B67" s="4" t="s">
        <v>12</v>
      </c>
      <c r="C67" s="8" t="s">
        <v>72</v>
      </c>
      <c r="D67" s="21" t="n">
        <v>40618</v>
      </c>
      <c r="E67" s="22" t="n">
        <v>259.44</v>
      </c>
      <c r="F67" s="21" t="n">
        <v>40619</v>
      </c>
      <c r="G67" s="22" t="n">
        <v>254.66</v>
      </c>
      <c r="H67" s="22" t="n">
        <v>234.67</v>
      </c>
      <c r="I67" s="21" t="n">
        <v>40652</v>
      </c>
      <c r="J67" s="22" t="n">
        <v>280.43</v>
      </c>
      <c r="K67" s="21" t="n">
        <v>40653</v>
      </c>
      <c r="L67" s="22" t="n">
        <v>283.63</v>
      </c>
      <c r="M67" s="8" t="s">
        <v>73</v>
      </c>
      <c r="N67" s="4" t="n">
        <v>24</v>
      </c>
      <c r="O67" s="6" t="n">
        <f aca="false">IF(C67="롱",(J67-E67)/E67,(E67-J67)/E67)</f>
        <v>0.0809050262102991</v>
      </c>
    </row>
    <row r="68" customFormat="false" ht="17.15" hidden="false" customHeight="false" outlineLevel="0" collapsed="false">
      <c r="A68" s="4" t="n">
        <v>1</v>
      </c>
      <c r="B68" s="4" t="s">
        <v>12</v>
      </c>
      <c r="C68" s="8" t="s">
        <v>72</v>
      </c>
      <c r="D68" s="21" t="n">
        <v>40653</v>
      </c>
      <c r="E68" s="22" t="n">
        <v>287.19</v>
      </c>
      <c r="F68" s="21" t="n">
        <v>40654</v>
      </c>
      <c r="G68" s="22" t="n">
        <v>289.99</v>
      </c>
      <c r="H68" s="22" t="n">
        <v>270.1</v>
      </c>
      <c r="I68" s="21" t="n">
        <v>40667</v>
      </c>
      <c r="J68" s="22" t="n">
        <v>288.46</v>
      </c>
      <c r="K68" s="21" t="n">
        <v>40669</v>
      </c>
      <c r="L68" s="22" t="n">
        <v>284.54</v>
      </c>
      <c r="M68" s="8" t="s">
        <v>73</v>
      </c>
      <c r="N68" s="4" t="n">
        <v>10</v>
      </c>
      <c r="O68" s="6" t="n">
        <f aca="false">IF(C68="롱",(J68-E68)/E68,(E68-J68)/E68)</f>
        <v>0.00442215954594513</v>
      </c>
    </row>
    <row r="69" customFormat="false" ht="17.15" hidden="false" customHeight="false" outlineLevel="0" collapsed="false">
      <c r="A69" s="4" t="n">
        <v>1</v>
      </c>
      <c r="B69" s="4" t="s">
        <v>12</v>
      </c>
      <c r="C69" s="8" t="s">
        <v>72</v>
      </c>
      <c r="D69" s="21" t="n">
        <v>40695</v>
      </c>
      <c r="E69" s="22" t="n">
        <v>282.75</v>
      </c>
      <c r="F69" s="21" t="n">
        <v>40696</v>
      </c>
      <c r="G69" s="22" t="n">
        <v>277.07</v>
      </c>
      <c r="H69" s="22" t="n">
        <v>257.92</v>
      </c>
      <c r="I69" s="21" t="n">
        <v>40702</v>
      </c>
      <c r="J69" s="22" t="n">
        <v>274.46</v>
      </c>
      <c r="K69" s="21" t="n">
        <v>40703</v>
      </c>
      <c r="L69" s="22" t="n">
        <v>273.55</v>
      </c>
      <c r="M69" s="8" t="s">
        <v>73</v>
      </c>
      <c r="N69" s="4" t="n">
        <v>4</v>
      </c>
      <c r="O69" s="6" t="n">
        <f aca="false">IF(C69="롱",(J69-E69)/E69,(E69-J69)/E69)</f>
        <v>-0.0293191865605659</v>
      </c>
    </row>
    <row r="70" customFormat="false" ht="17.15" hidden="false" customHeight="false" outlineLevel="0" collapsed="false">
      <c r="A70" s="4" t="n">
        <v>1</v>
      </c>
      <c r="B70" s="4" t="s">
        <v>12</v>
      </c>
      <c r="C70" s="8" t="s">
        <v>72</v>
      </c>
      <c r="D70" s="21" t="n">
        <v>40718</v>
      </c>
      <c r="E70" s="22" t="n">
        <v>274.31</v>
      </c>
      <c r="F70" s="21" t="n">
        <v>40721</v>
      </c>
      <c r="G70" s="22" t="n">
        <v>272.23</v>
      </c>
      <c r="H70" s="22" t="n">
        <v>250.76</v>
      </c>
      <c r="I70" s="21" t="n">
        <v>40742</v>
      </c>
      <c r="J70" s="22" t="n">
        <v>276.71</v>
      </c>
      <c r="K70" s="21" t="n">
        <v>40743</v>
      </c>
      <c r="L70" s="22" t="n">
        <v>276.16</v>
      </c>
      <c r="M70" s="8" t="s">
        <v>73</v>
      </c>
      <c r="N70" s="4" t="n">
        <v>16</v>
      </c>
      <c r="O70" s="6" t="n">
        <f aca="false">IF(C70="롱",(J70-E70)/E70,(E70-J70)/E70)</f>
        <v>0.00874922532900724</v>
      </c>
    </row>
    <row r="71" customFormat="false" ht="17.15" hidden="false" customHeight="false" outlineLevel="0" collapsed="false">
      <c r="A71" s="4" t="n">
        <v>1</v>
      </c>
      <c r="B71" s="4" t="s">
        <v>12</v>
      </c>
      <c r="C71" s="8" t="s">
        <v>72</v>
      </c>
      <c r="D71" s="21" t="n">
        <v>40878</v>
      </c>
      <c r="E71" s="22" t="n">
        <v>251.52</v>
      </c>
      <c r="F71" s="21" t="n">
        <v>40879</v>
      </c>
      <c r="G71" s="22" t="n">
        <v>251.23</v>
      </c>
      <c r="H71" s="22" t="n">
        <v>226.37</v>
      </c>
      <c r="I71" s="21" t="n">
        <v>40891</v>
      </c>
      <c r="J71" s="22" t="n">
        <v>242.35</v>
      </c>
      <c r="K71" s="21" t="n">
        <v>40892</v>
      </c>
      <c r="L71" s="22" t="n">
        <v>239.15</v>
      </c>
      <c r="M71" s="8" t="s">
        <v>73</v>
      </c>
      <c r="N71" s="4" t="n">
        <v>9</v>
      </c>
      <c r="O71" s="6" t="n">
        <f aca="false">IF(C71="롱",(J71-E71)/E71,(E71-J71)/E71)</f>
        <v>-0.0364583333333334</v>
      </c>
    </row>
    <row r="72" customFormat="false" ht="17.15" hidden="false" customHeight="false" outlineLevel="0" collapsed="false">
      <c r="A72" s="4" t="n">
        <v>1</v>
      </c>
      <c r="B72" s="4" t="s">
        <v>12</v>
      </c>
      <c r="C72" s="8" t="s">
        <v>72</v>
      </c>
      <c r="D72" s="21" t="n">
        <v>40911</v>
      </c>
      <c r="E72" s="22" t="n">
        <v>245.82</v>
      </c>
      <c r="F72" s="21" t="n">
        <v>40912</v>
      </c>
      <c r="G72" s="22" t="n">
        <v>246.89</v>
      </c>
      <c r="H72" s="22" t="n">
        <v>222.47</v>
      </c>
      <c r="I72" s="21" t="n">
        <v>40917</v>
      </c>
      <c r="J72" s="22" t="n">
        <v>238.02</v>
      </c>
      <c r="K72" s="21" t="n">
        <v>40918</v>
      </c>
      <c r="L72" s="22" t="n">
        <v>240.07</v>
      </c>
      <c r="M72" s="8" t="s">
        <v>73</v>
      </c>
      <c r="N72" s="4" t="n">
        <v>4</v>
      </c>
      <c r="O72" s="6" t="n">
        <f aca="false">IF(C72="롱",(J72-E72)/E72,(E72-J72)/E72)</f>
        <v>-0.0317305345374664</v>
      </c>
    </row>
    <row r="73" customFormat="false" ht="17.15" hidden="false" customHeight="false" outlineLevel="0" collapsed="false">
      <c r="A73" s="4" t="n">
        <v>1</v>
      </c>
      <c r="B73" s="4" t="s">
        <v>12</v>
      </c>
      <c r="C73" s="8" t="s">
        <v>72</v>
      </c>
      <c r="D73" s="21" t="n">
        <v>40918</v>
      </c>
      <c r="E73" s="22" t="n">
        <v>241.69</v>
      </c>
      <c r="F73" s="21" t="n">
        <v>40919</v>
      </c>
      <c r="G73" s="22" t="n">
        <v>242.19</v>
      </c>
      <c r="H73" s="22" t="n">
        <v>218.32</v>
      </c>
      <c r="I73" s="21" t="n">
        <v>40955</v>
      </c>
      <c r="J73" s="22" t="n">
        <v>261.89</v>
      </c>
      <c r="K73" s="21" t="n">
        <v>40956</v>
      </c>
      <c r="L73" s="22" t="n">
        <v>265.9</v>
      </c>
      <c r="M73" s="8" t="s">
        <v>73</v>
      </c>
      <c r="N73" s="4" t="n">
        <v>25</v>
      </c>
      <c r="O73" s="6" t="n">
        <f aca="false">IF(C73="롱",(J73-E73)/E73,(E73-J73)/E73)</f>
        <v>0.0835781372832967</v>
      </c>
    </row>
    <row r="74" customFormat="false" ht="17.15" hidden="false" customHeight="false" outlineLevel="0" collapsed="false">
      <c r="A74" s="4" t="n">
        <v>1</v>
      </c>
      <c r="B74" s="4" t="s">
        <v>12</v>
      </c>
      <c r="C74" s="8" t="s">
        <v>72</v>
      </c>
      <c r="D74" s="21" t="n">
        <v>40956</v>
      </c>
      <c r="E74" s="22" t="n">
        <v>265.82</v>
      </c>
      <c r="F74" s="21" t="n">
        <v>40959</v>
      </c>
      <c r="G74" s="22" t="n">
        <v>268.28</v>
      </c>
      <c r="H74" s="22" t="n">
        <v>247.54</v>
      </c>
      <c r="I74" s="21" t="n">
        <v>40960</v>
      </c>
      <c r="J74" s="22" t="n">
        <v>265.89</v>
      </c>
      <c r="K74" s="21" t="n">
        <v>40961</v>
      </c>
      <c r="L74" s="22" t="n">
        <v>264.88</v>
      </c>
      <c r="M74" s="8" t="s">
        <v>73</v>
      </c>
      <c r="N74" s="4" t="n">
        <v>2</v>
      </c>
      <c r="O74" s="6" t="n">
        <f aca="false">IF(C74="롱",(J74-E74)/E74,(E74-J74)/E74)</f>
        <v>0.000263336092092368</v>
      </c>
    </row>
    <row r="75" customFormat="false" ht="17.15" hidden="false" customHeight="false" outlineLevel="0" collapsed="false">
      <c r="A75" s="4" t="n">
        <v>1</v>
      </c>
      <c r="B75" s="4" t="s">
        <v>12</v>
      </c>
      <c r="C75" s="8" t="s">
        <v>72</v>
      </c>
      <c r="D75" s="21" t="n">
        <v>40983</v>
      </c>
      <c r="E75" s="22" t="n">
        <v>269.76</v>
      </c>
      <c r="F75" s="21" t="n">
        <v>40984</v>
      </c>
      <c r="G75" s="22" t="n">
        <v>271.39</v>
      </c>
      <c r="H75" s="22" t="n">
        <v>251.93</v>
      </c>
      <c r="I75" s="21" t="n">
        <v>40989</v>
      </c>
      <c r="J75" s="22" t="n">
        <v>267.79</v>
      </c>
      <c r="K75" s="21" t="n">
        <v>40990</v>
      </c>
      <c r="L75" s="22" t="n">
        <v>267.6</v>
      </c>
      <c r="M75" s="8" t="s">
        <v>73</v>
      </c>
      <c r="N75" s="4" t="n">
        <v>4</v>
      </c>
      <c r="O75" s="6" t="n">
        <f aca="false">IF(C75="롱",(J75-E75)/E75,(E75-J75)/E75)</f>
        <v>-0.00730278766310784</v>
      </c>
    </row>
    <row r="76" customFormat="false" ht="17.15" hidden="false" customHeight="false" outlineLevel="0" collapsed="false">
      <c r="A76" s="4" t="n">
        <v>1</v>
      </c>
      <c r="B76" s="4" t="s">
        <v>12</v>
      </c>
      <c r="C76" s="8" t="s">
        <v>72</v>
      </c>
      <c r="D76" s="21" t="n">
        <v>41031</v>
      </c>
      <c r="E76" s="22" t="n">
        <v>266.61</v>
      </c>
      <c r="F76" s="21" t="n">
        <v>41032</v>
      </c>
      <c r="G76" s="22" t="n">
        <v>266.05</v>
      </c>
      <c r="H76" s="22" t="n">
        <v>250.5</v>
      </c>
      <c r="I76" s="21" t="n">
        <v>41036</v>
      </c>
      <c r="J76" s="22" t="n">
        <v>259.73</v>
      </c>
      <c r="K76" s="21" t="n">
        <v>41037</v>
      </c>
      <c r="L76" s="22" t="n">
        <v>261.28</v>
      </c>
      <c r="M76" s="8" t="s">
        <v>73</v>
      </c>
      <c r="N76" s="4" t="n">
        <v>3</v>
      </c>
      <c r="O76" s="6" t="n">
        <f aca="false">IF(C76="롱",(J76-E76)/E76,(E76-J76)/E76)</f>
        <v>-0.0258054836652789</v>
      </c>
    </row>
    <row r="77" customFormat="false" ht="17.15" hidden="false" customHeight="false" outlineLevel="0" collapsed="false">
      <c r="A77" s="4" t="n">
        <v>1</v>
      </c>
      <c r="B77" s="4" t="s">
        <v>12</v>
      </c>
      <c r="C77" s="8" t="s">
        <v>72</v>
      </c>
      <c r="D77" s="21" t="n">
        <v>41165</v>
      </c>
      <c r="E77" s="22" t="n">
        <v>256.87</v>
      </c>
      <c r="F77" s="21" t="n">
        <v>41166</v>
      </c>
      <c r="G77" s="22" t="n">
        <v>263.14</v>
      </c>
      <c r="H77" s="22" t="n">
        <v>240.49</v>
      </c>
      <c r="I77" s="21" t="n">
        <v>41180</v>
      </c>
      <c r="J77" s="22" t="n">
        <v>262.49</v>
      </c>
      <c r="K77" s="21" t="n">
        <v>41184</v>
      </c>
      <c r="L77" s="22" t="n">
        <v>262.82</v>
      </c>
      <c r="M77" s="8" t="s">
        <v>73</v>
      </c>
      <c r="N77" s="4" t="n">
        <v>11</v>
      </c>
      <c r="O77" s="6" t="n">
        <f aca="false">IF(C77="롱",(J77-E77)/E77,(E77-J77)/E77)</f>
        <v>0.0218787713629463</v>
      </c>
    </row>
    <row r="78" customFormat="false" ht="17.15" hidden="false" customHeight="false" outlineLevel="0" collapsed="false">
      <c r="A78" s="4" t="n">
        <v>1</v>
      </c>
      <c r="B78" s="4" t="s">
        <v>12</v>
      </c>
      <c r="C78" s="8" t="s">
        <v>72</v>
      </c>
      <c r="D78" s="21" t="n">
        <v>41219</v>
      </c>
      <c r="E78" s="22" t="n">
        <v>252.3</v>
      </c>
      <c r="F78" s="21" t="n">
        <v>41220</v>
      </c>
      <c r="G78" s="22" t="n">
        <v>253.01</v>
      </c>
      <c r="H78" s="22" t="n">
        <v>236.45</v>
      </c>
      <c r="I78" s="21" t="n">
        <v>41226</v>
      </c>
      <c r="J78" s="22" t="n">
        <v>246.9</v>
      </c>
      <c r="K78" s="21" t="n">
        <v>41227</v>
      </c>
      <c r="L78" s="22" t="n">
        <v>247.17</v>
      </c>
      <c r="M78" s="8" t="s">
        <v>73</v>
      </c>
      <c r="N78" s="4" t="n">
        <v>5</v>
      </c>
      <c r="O78" s="6" t="n">
        <f aca="false">IF(C78="롱",(J78-E78)/E78,(E78-J78)/E78)</f>
        <v>-0.0214030915576695</v>
      </c>
    </row>
    <row r="79" customFormat="false" ht="17.15" hidden="false" customHeight="false" outlineLevel="0" collapsed="false">
      <c r="A79" s="4" t="n">
        <v>1</v>
      </c>
      <c r="B79" s="4" t="s">
        <v>12</v>
      </c>
      <c r="C79" s="8" t="s">
        <v>72</v>
      </c>
      <c r="D79" s="21" t="n">
        <v>41276</v>
      </c>
      <c r="E79" s="22" t="n">
        <v>269.16</v>
      </c>
      <c r="F79" s="21" t="n">
        <v>41277</v>
      </c>
      <c r="G79" s="22" t="n">
        <v>270.54</v>
      </c>
      <c r="H79" s="22" t="n">
        <v>256.69</v>
      </c>
      <c r="I79" s="21" t="n">
        <v>41282</v>
      </c>
      <c r="J79" s="22" t="n">
        <v>263.95</v>
      </c>
      <c r="K79" s="21" t="n">
        <v>41283</v>
      </c>
      <c r="L79" s="22" t="n">
        <v>264.48</v>
      </c>
      <c r="M79" s="8" t="s">
        <v>73</v>
      </c>
      <c r="N79" s="4" t="n">
        <v>4</v>
      </c>
      <c r="O79" s="6" t="n">
        <f aca="false">IF(C79="롱",(J79-E79)/E79,(E79-J79)/E79)</f>
        <v>-0.01935651657007</v>
      </c>
    </row>
    <row r="80" customFormat="false" ht="17.15" hidden="false" customHeight="false" outlineLevel="0" collapsed="false">
      <c r="A80" s="4" t="n">
        <v>1</v>
      </c>
      <c r="B80" s="4" t="s">
        <v>12</v>
      </c>
      <c r="C80" s="8" t="s">
        <v>72</v>
      </c>
      <c r="D80" s="21" t="n">
        <v>41318</v>
      </c>
      <c r="E80" s="22" t="n">
        <v>260.92</v>
      </c>
      <c r="F80" s="21" t="n">
        <v>41319</v>
      </c>
      <c r="G80" s="22" t="n">
        <v>261.14</v>
      </c>
      <c r="H80" s="22" t="n">
        <v>246.16</v>
      </c>
      <c r="I80" s="21" t="n">
        <v>41344</v>
      </c>
      <c r="J80" s="22" t="n">
        <v>264.15</v>
      </c>
      <c r="K80" s="21" t="n">
        <v>41345</v>
      </c>
      <c r="L80" s="22" t="n">
        <v>264.66</v>
      </c>
      <c r="M80" s="8" t="s">
        <v>73</v>
      </c>
      <c r="N80" s="4" t="n">
        <v>17</v>
      </c>
      <c r="O80" s="6" t="n">
        <f aca="false">IF(C80="롱",(J80-E80)/E80,(E80-J80)/E80)</f>
        <v>0.0123792733404874</v>
      </c>
    </row>
    <row r="81" customFormat="false" ht="17.15" hidden="false" customHeight="false" outlineLevel="0" collapsed="false">
      <c r="A81" s="4" t="n">
        <v>1</v>
      </c>
      <c r="B81" s="4" t="s">
        <v>12</v>
      </c>
      <c r="C81" s="8" t="s">
        <v>72</v>
      </c>
      <c r="D81" s="21" t="n">
        <v>41362</v>
      </c>
      <c r="E81" s="22" t="n">
        <v>263.39</v>
      </c>
      <c r="F81" s="21" t="n">
        <v>41365</v>
      </c>
      <c r="G81" s="22" t="n">
        <v>264.16</v>
      </c>
      <c r="H81" s="22" t="n">
        <v>249.34</v>
      </c>
      <c r="I81" s="21" t="n">
        <v>41368</v>
      </c>
      <c r="J81" s="22" t="n">
        <v>257.05</v>
      </c>
      <c r="K81" s="21" t="n">
        <v>41369</v>
      </c>
      <c r="L81" s="22" t="n">
        <v>255.4</v>
      </c>
      <c r="M81" s="8" t="s">
        <v>73</v>
      </c>
      <c r="N81" s="4" t="n">
        <v>4</v>
      </c>
      <c r="O81" s="6" t="n">
        <f aca="false">IF(C81="롱",(J81-E81)/E81,(E81-J81)/E81)</f>
        <v>-0.0240707695812293</v>
      </c>
    </row>
    <row r="82" customFormat="false" ht="17.15" hidden="false" customHeight="false" outlineLevel="0" collapsed="false">
      <c r="A82" s="4" t="n">
        <v>1</v>
      </c>
      <c r="B82" s="4" t="s">
        <v>12</v>
      </c>
      <c r="C82" s="8" t="s">
        <v>72</v>
      </c>
      <c r="D82" s="21" t="n">
        <v>41562</v>
      </c>
      <c r="E82" s="22" t="n">
        <v>269.02</v>
      </c>
      <c r="F82" s="21" t="n">
        <v>41563</v>
      </c>
      <c r="G82" s="22" t="n">
        <v>268.92</v>
      </c>
      <c r="H82" s="22" t="n">
        <v>256.42</v>
      </c>
      <c r="I82" s="21" t="n">
        <v>41571</v>
      </c>
      <c r="J82" s="22" t="n">
        <v>269.36</v>
      </c>
      <c r="K82" s="21" t="n">
        <v>41572</v>
      </c>
      <c r="L82" s="22" t="n">
        <v>269.42</v>
      </c>
      <c r="M82" s="8" t="s">
        <v>73</v>
      </c>
      <c r="N82" s="4" t="n">
        <v>7</v>
      </c>
      <c r="O82" s="6" t="n">
        <f aca="false">IF(C82="롱",(J82-E82)/E82,(E82-J82)/E82)</f>
        <v>0.00126384655415966</v>
      </c>
    </row>
    <row r="83" customFormat="false" ht="17.15" hidden="false" customHeight="false" outlineLevel="0" collapsed="false">
      <c r="A83" s="4" t="n">
        <v>1</v>
      </c>
      <c r="B83" s="4" t="s">
        <v>12</v>
      </c>
      <c r="C83" s="8" t="s">
        <v>72</v>
      </c>
      <c r="D83" s="21" t="n">
        <v>41603</v>
      </c>
      <c r="E83" s="22" t="n">
        <v>265.21</v>
      </c>
      <c r="F83" s="21" t="n">
        <v>41604</v>
      </c>
      <c r="G83" s="22" t="n">
        <v>264.02</v>
      </c>
      <c r="H83" s="22" t="n">
        <v>249.61</v>
      </c>
      <c r="I83" s="21" t="n">
        <v>41612</v>
      </c>
      <c r="J83" s="22" t="n">
        <v>261.48</v>
      </c>
      <c r="K83" s="21" t="n">
        <v>41613</v>
      </c>
      <c r="L83" s="22" t="n">
        <v>262.5</v>
      </c>
      <c r="M83" s="8" t="s">
        <v>73</v>
      </c>
      <c r="N83" s="4" t="n">
        <v>7</v>
      </c>
      <c r="O83" s="6" t="n">
        <f aca="false">IF(C83="롱",(J83-E83)/E83,(E83-J83)/E83)</f>
        <v>-0.0140643263828663</v>
      </c>
    </row>
    <row r="84" customFormat="false" ht="17.15" hidden="false" customHeight="false" outlineLevel="0" collapsed="false">
      <c r="A84" s="4" t="n">
        <v>1</v>
      </c>
      <c r="B84" s="4" t="s">
        <v>12</v>
      </c>
      <c r="C84" s="8" t="s">
        <v>72</v>
      </c>
      <c r="D84" s="21" t="n">
        <v>41631</v>
      </c>
      <c r="E84" s="22" t="n">
        <v>263.24</v>
      </c>
      <c r="F84" s="21" t="n">
        <v>41632</v>
      </c>
      <c r="G84" s="22" t="n">
        <v>263.72</v>
      </c>
      <c r="H84" s="22" t="n">
        <v>249.36</v>
      </c>
      <c r="I84" s="21" t="n">
        <v>41642</v>
      </c>
      <c r="J84" s="22" t="n">
        <v>254.48</v>
      </c>
      <c r="K84" s="21" t="n">
        <v>41645</v>
      </c>
      <c r="L84" s="22" t="n">
        <v>254.7</v>
      </c>
      <c r="M84" s="8" t="s">
        <v>73</v>
      </c>
      <c r="N84" s="4" t="n">
        <v>7</v>
      </c>
      <c r="O84" s="6" t="n">
        <f aca="false">IF(C84="롱",(J84-E84)/E84,(E84-J84)/E84)</f>
        <v>-0.0332776173833765</v>
      </c>
    </row>
    <row r="85" customFormat="false" ht="17.15" hidden="false" customHeight="false" outlineLevel="0" collapsed="false">
      <c r="A85" s="4" t="n">
        <v>1</v>
      </c>
      <c r="B85" s="4" t="s">
        <v>12</v>
      </c>
      <c r="C85" s="8" t="s">
        <v>72</v>
      </c>
      <c r="D85" s="21" t="n">
        <v>41747</v>
      </c>
      <c r="E85" s="22" t="n">
        <v>261.52</v>
      </c>
      <c r="F85" s="21" t="n">
        <v>41750</v>
      </c>
      <c r="G85" s="22" t="n">
        <v>261.77</v>
      </c>
      <c r="H85" s="22" t="n">
        <v>250.69</v>
      </c>
      <c r="I85" s="21" t="n">
        <v>41750</v>
      </c>
      <c r="J85" s="22" t="n">
        <v>260.9</v>
      </c>
      <c r="K85" s="21" t="n">
        <v>41751</v>
      </c>
      <c r="L85" s="22" t="n">
        <v>261.17</v>
      </c>
      <c r="M85" s="8" t="s">
        <v>73</v>
      </c>
      <c r="N85" s="4" t="n">
        <v>1</v>
      </c>
      <c r="O85" s="6" t="n">
        <f aca="false">IF(C85="롱",(J85-E85)/E85,(E85-J85)/E85)</f>
        <v>-0.00237075558274704</v>
      </c>
    </row>
    <row r="86" customFormat="false" ht="17.15" hidden="false" customHeight="false" outlineLevel="0" collapsed="false">
      <c r="A86" s="4" t="n">
        <v>1</v>
      </c>
      <c r="B86" s="4" t="s">
        <v>12</v>
      </c>
      <c r="C86" s="8" t="s">
        <v>72</v>
      </c>
      <c r="D86" s="21" t="n">
        <v>41773</v>
      </c>
      <c r="E86" s="22" t="n">
        <v>262.43</v>
      </c>
      <c r="F86" s="21" t="n">
        <v>41774</v>
      </c>
      <c r="G86" s="22" t="n">
        <v>261.98</v>
      </c>
      <c r="H86" s="22" t="n">
        <v>250.73</v>
      </c>
      <c r="I86" s="21" t="n">
        <v>41789</v>
      </c>
      <c r="J86" s="22" t="n">
        <v>259.94</v>
      </c>
      <c r="K86" s="21" t="n">
        <v>41792</v>
      </c>
      <c r="L86" s="22" t="n">
        <v>260.49</v>
      </c>
      <c r="M86" s="8" t="s">
        <v>73</v>
      </c>
      <c r="N86" s="4" t="n">
        <v>12</v>
      </c>
      <c r="O86" s="6" t="n">
        <f aca="false">IF(C86="롱",(J86-E86)/E86,(E86-J86)/E86)</f>
        <v>-0.00948824448424345</v>
      </c>
    </row>
    <row r="87" customFormat="false" ht="17.15" hidden="false" customHeight="false" outlineLevel="0" collapsed="false">
      <c r="A87" s="4" t="n">
        <v>1</v>
      </c>
      <c r="B87" s="4" t="s">
        <v>12</v>
      </c>
      <c r="C87" s="8" t="s">
        <v>72</v>
      </c>
      <c r="D87" s="21" t="n">
        <v>41821</v>
      </c>
      <c r="E87" s="22" t="n">
        <v>259.74</v>
      </c>
      <c r="F87" s="21" t="n">
        <v>41822</v>
      </c>
      <c r="G87" s="22" t="n">
        <v>261.01</v>
      </c>
      <c r="H87" s="22" t="n">
        <v>247.69</v>
      </c>
      <c r="I87" s="21" t="n">
        <v>41830</v>
      </c>
      <c r="J87" s="22" t="n">
        <v>259.17</v>
      </c>
      <c r="K87" s="21" t="n">
        <v>41831</v>
      </c>
      <c r="L87" s="22" t="n">
        <v>257.14</v>
      </c>
      <c r="M87" s="8" t="s">
        <v>73</v>
      </c>
      <c r="N87" s="4" t="n">
        <v>7</v>
      </c>
      <c r="O87" s="6" t="n">
        <f aca="false">IF(C87="롱",(J87-E87)/E87,(E87-J87)/E87)</f>
        <v>-0.00219450219450217</v>
      </c>
    </row>
    <row r="88" customFormat="false" ht="17.15" hidden="false" customHeight="false" outlineLevel="0" collapsed="false">
      <c r="A88" s="4" t="n">
        <v>1</v>
      </c>
      <c r="B88" s="4" t="s">
        <v>12</v>
      </c>
      <c r="C88" s="8" t="s">
        <v>72</v>
      </c>
      <c r="D88" s="21" t="n">
        <v>41836</v>
      </c>
      <c r="E88" s="22" t="n">
        <v>260.82</v>
      </c>
      <c r="F88" s="21" t="n">
        <v>41837</v>
      </c>
      <c r="G88" s="22" t="n">
        <v>261.8</v>
      </c>
      <c r="H88" s="22" t="n">
        <v>249.99</v>
      </c>
      <c r="I88" s="21" t="n">
        <v>41859</v>
      </c>
      <c r="J88" s="22" t="n">
        <v>262.02</v>
      </c>
      <c r="K88" s="21" t="n">
        <v>41862</v>
      </c>
      <c r="L88" s="22" t="n">
        <v>264.59</v>
      </c>
      <c r="M88" s="8" t="s">
        <v>73</v>
      </c>
      <c r="N88" s="4" t="n">
        <v>17</v>
      </c>
      <c r="O88" s="6" t="n">
        <f aca="false">IF(C88="롱",(J88-E88)/E88,(E88-J88)/E88)</f>
        <v>0.00460087416609151</v>
      </c>
    </row>
    <row r="89" customFormat="false" ht="17.15" hidden="false" customHeight="false" outlineLevel="0" collapsed="false">
      <c r="A89" s="4" t="n">
        <v>1</v>
      </c>
      <c r="B89" s="4" t="s">
        <v>12</v>
      </c>
      <c r="C89" s="8" t="s">
        <v>72</v>
      </c>
      <c r="D89" s="21" t="n">
        <v>42059</v>
      </c>
      <c r="E89" s="22" t="n">
        <v>251.28</v>
      </c>
      <c r="F89" s="21" t="n">
        <v>42060</v>
      </c>
      <c r="G89" s="22" t="n">
        <v>252.72</v>
      </c>
      <c r="H89" s="22" t="n">
        <v>240.98</v>
      </c>
      <c r="I89" s="21" t="n">
        <v>42074</v>
      </c>
      <c r="J89" s="22" t="n">
        <v>252.16</v>
      </c>
      <c r="K89" s="21" t="n">
        <v>42075</v>
      </c>
      <c r="L89" s="22" t="n">
        <v>251.67</v>
      </c>
      <c r="M89" s="8" t="s">
        <v>73</v>
      </c>
      <c r="N89" s="4" t="n">
        <v>11</v>
      </c>
      <c r="O89" s="6" t="n">
        <f aca="false">IF(C89="롱",(J89-E89)/E89,(E89-J89)/E89)</f>
        <v>0.00350206940464818</v>
      </c>
    </row>
    <row r="90" customFormat="false" ht="17.15" hidden="false" customHeight="false" outlineLevel="0" collapsed="false">
      <c r="A90" s="4" t="n">
        <v>1</v>
      </c>
      <c r="B90" s="4" t="s">
        <v>12</v>
      </c>
      <c r="C90" s="8" t="s">
        <v>72</v>
      </c>
      <c r="D90" s="21" t="n">
        <v>42080</v>
      </c>
      <c r="E90" s="22" t="n">
        <v>258.18</v>
      </c>
      <c r="F90" s="21" t="n">
        <v>42081</v>
      </c>
      <c r="G90" s="22" t="n">
        <v>258.45</v>
      </c>
      <c r="H90" s="22" t="n">
        <v>247.57</v>
      </c>
      <c r="I90" s="21" t="n">
        <v>42090</v>
      </c>
      <c r="J90" s="22" t="n">
        <v>255.54</v>
      </c>
      <c r="K90" s="21" t="n">
        <v>42093</v>
      </c>
      <c r="L90" s="22" t="n">
        <v>256.45</v>
      </c>
      <c r="M90" s="8" t="s">
        <v>73</v>
      </c>
      <c r="N90" s="4" t="n">
        <v>8</v>
      </c>
      <c r="O90" s="6" t="n">
        <f aca="false">IF(C90="롱",(J90-E90)/E90,(E90-J90)/E90)</f>
        <v>-0.0102254241227051</v>
      </c>
    </row>
    <row r="91" customFormat="false" ht="17.15" hidden="false" customHeight="false" outlineLevel="0" collapsed="false">
      <c r="A91" s="4" t="n">
        <v>1</v>
      </c>
      <c r="B91" s="4" t="s">
        <v>12</v>
      </c>
      <c r="C91" s="8" t="s">
        <v>72</v>
      </c>
      <c r="D91" s="21" t="n">
        <v>42104</v>
      </c>
      <c r="E91" s="22" t="n">
        <v>261.95</v>
      </c>
      <c r="F91" s="21" t="n">
        <v>42107</v>
      </c>
      <c r="G91" s="22" t="n">
        <v>262.62</v>
      </c>
      <c r="H91" s="22" t="n">
        <v>250.82</v>
      </c>
      <c r="I91" s="21" t="n">
        <v>42124</v>
      </c>
      <c r="J91" s="22" t="n">
        <v>266.42</v>
      </c>
      <c r="K91" s="21" t="n">
        <v>42128</v>
      </c>
      <c r="L91" s="22" t="n">
        <v>267.57</v>
      </c>
      <c r="M91" s="8" t="s">
        <v>73</v>
      </c>
      <c r="N91" s="4" t="n">
        <v>14</v>
      </c>
      <c r="O91" s="6" t="n">
        <f aca="false">IF(C91="롱",(J91-E91)/E91,(E91-J91)/E91)</f>
        <v>0.017064325252911</v>
      </c>
    </row>
    <row r="92" customFormat="false" ht="17.15" hidden="false" customHeight="false" outlineLevel="0" collapsed="false">
      <c r="A92" s="4" t="n">
        <v>1</v>
      </c>
      <c r="B92" s="4" t="s">
        <v>12</v>
      </c>
      <c r="C92" s="8" t="s">
        <v>72</v>
      </c>
      <c r="D92" s="21" t="n">
        <v>42334</v>
      </c>
      <c r="E92" s="22" t="n">
        <v>249.43</v>
      </c>
      <c r="F92" s="21" t="n">
        <v>42335</v>
      </c>
      <c r="G92" s="22" t="n">
        <v>250.46</v>
      </c>
      <c r="H92" s="22" t="n">
        <v>237.64</v>
      </c>
      <c r="I92" s="21" t="n">
        <v>42341</v>
      </c>
      <c r="J92" s="22" t="n">
        <v>244.68</v>
      </c>
      <c r="K92" s="21" t="n">
        <v>42342</v>
      </c>
      <c r="L92" s="22" t="n">
        <v>241.86</v>
      </c>
      <c r="M92" s="8" t="s">
        <v>73</v>
      </c>
      <c r="N92" s="4" t="n">
        <v>5</v>
      </c>
      <c r="O92" s="6" t="n">
        <f aca="false">IF(C92="롱",(J92-E92)/E92,(E92-J92)/E92)</f>
        <v>-0.0190434189953093</v>
      </c>
    </row>
    <row r="93" customFormat="false" ht="17.15" hidden="false" customHeight="false" outlineLevel="0" collapsed="false">
      <c r="A93" s="4" t="n">
        <v>1</v>
      </c>
      <c r="B93" s="4" t="s">
        <v>12</v>
      </c>
      <c r="C93" s="8" t="s">
        <v>72</v>
      </c>
      <c r="D93" s="21" t="n">
        <v>42356</v>
      </c>
      <c r="E93" s="22" t="n">
        <v>243</v>
      </c>
      <c r="F93" s="21" t="n">
        <v>42359</v>
      </c>
      <c r="G93" s="22" t="n">
        <v>243.01</v>
      </c>
      <c r="H93" s="22" t="n">
        <v>228.59</v>
      </c>
      <c r="I93" s="21" t="n">
        <v>42368</v>
      </c>
      <c r="J93" s="22" t="n">
        <v>240.38</v>
      </c>
      <c r="K93" s="21" t="n">
        <v>42373</v>
      </c>
      <c r="L93" s="22" t="n">
        <v>239.3</v>
      </c>
      <c r="M93" s="8" t="s">
        <v>73</v>
      </c>
      <c r="N93" s="4" t="n">
        <v>7</v>
      </c>
      <c r="O93" s="6" t="n">
        <f aca="false">IF(C93="롱",(J93-E93)/E93,(E93-J93)/E93)</f>
        <v>-0.0107818930041152</v>
      </c>
    </row>
    <row r="94" customFormat="false" ht="17.15" hidden="false" customHeight="false" outlineLevel="0" collapsed="false">
      <c r="A94" s="4" t="n">
        <v>1</v>
      </c>
      <c r="B94" s="4" t="s">
        <v>12</v>
      </c>
      <c r="C94" s="8" t="s">
        <v>72</v>
      </c>
      <c r="D94" s="21" t="n">
        <v>42475</v>
      </c>
      <c r="E94" s="22" t="n">
        <v>248.53</v>
      </c>
      <c r="F94" s="21" t="n">
        <v>42478</v>
      </c>
      <c r="G94" s="22" t="n">
        <v>246.7</v>
      </c>
      <c r="H94" s="22" t="n">
        <v>237.5</v>
      </c>
      <c r="I94" s="21" t="n">
        <v>42488</v>
      </c>
      <c r="J94" s="22" t="n">
        <v>246.27</v>
      </c>
      <c r="K94" s="21" t="n">
        <v>42489</v>
      </c>
      <c r="L94" s="22" t="n">
        <v>245.9</v>
      </c>
      <c r="M94" s="8" t="s">
        <v>73</v>
      </c>
      <c r="N94" s="4" t="n">
        <v>9</v>
      </c>
      <c r="O94" s="6" t="n">
        <f aca="false">IF(C94="롱",(J94-E94)/E94,(E94-J94)/E94)</f>
        <v>-0.00909346960125535</v>
      </c>
    </row>
    <row r="95" customFormat="false" ht="17.15" hidden="false" customHeight="false" outlineLevel="0" collapsed="false">
      <c r="A95" s="4" t="n">
        <v>1</v>
      </c>
      <c r="B95" s="4" t="s">
        <v>12</v>
      </c>
      <c r="C95" s="8" t="s">
        <v>72</v>
      </c>
      <c r="D95" s="21" t="n">
        <v>42520</v>
      </c>
      <c r="E95" s="22" t="n">
        <v>241.73</v>
      </c>
      <c r="F95" s="21" t="n">
        <v>42521</v>
      </c>
      <c r="G95" s="22" t="n">
        <v>241.03</v>
      </c>
      <c r="H95" s="22" t="n">
        <v>231.79</v>
      </c>
      <c r="I95" s="21" t="n">
        <v>42537</v>
      </c>
      <c r="J95" s="22" t="n">
        <v>241.61</v>
      </c>
      <c r="K95" s="21" t="n">
        <v>42538</v>
      </c>
      <c r="L95" s="22" t="n">
        <v>243.35</v>
      </c>
      <c r="M95" s="8" t="s">
        <v>73</v>
      </c>
      <c r="N95" s="4" t="n">
        <v>12</v>
      </c>
      <c r="O95" s="6" t="n">
        <f aca="false">IF(C95="롱",(J95-E95)/E95,(E95-J95)/E95)</f>
        <v>-0.00049642162743547</v>
      </c>
    </row>
    <row r="96" customFormat="false" ht="17.15" hidden="false" customHeight="false" outlineLevel="0" collapsed="false">
      <c r="A96" s="4" t="n">
        <v>1</v>
      </c>
      <c r="B96" s="4" t="s">
        <v>12</v>
      </c>
      <c r="C96" s="8" t="s">
        <v>72</v>
      </c>
      <c r="D96" s="21" t="n">
        <v>42543</v>
      </c>
      <c r="E96" s="22" t="n">
        <v>246.75</v>
      </c>
      <c r="F96" s="21" t="n">
        <v>42544</v>
      </c>
      <c r="G96" s="22" t="n">
        <v>246.42</v>
      </c>
      <c r="H96" s="22" t="n">
        <v>234.15</v>
      </c>
      <c r="I96" s="21" t="n">
        <v>42545</v>
      </c>
      <c r="J96" s="22" t="n">
        <v>239.21</v>
      </c>
      <c r="K96" s="21" t="n">
        <v>42548</v>
      </c>
      <c r="L96" s="22" t="n">
        <v>236.79</v>
      </c>
      <c r="M96" s="8" t="s">
        <v>73</v>
      </c>
      <c r="N96" s="4" t="n">
        <v>2</v>
      </c>
      <c r="O96" s="6" t="n">
        <f aca="false">IF(C96="롱",(J96-E96)/E96,(E96-J96)/E96)</f>
        <v>-0.0305572441742654</v>
      </c>
    </row>
    <row r="97" customFormat="false" ht="17.15" hidden="false" customHeight="false" outlineLevel="0" collapsed="false">
      <c r="A97" s="4" t="n">
        <v>1</v>
      </c>
      <c r="B97" s="4" t="s">
        <v>12</v>
      </c>
      <c r="C97" s="8" t="s">
        <v>72</v>
      </c>
      <c r="D97" s="21" t="n">
        <v>42552</v>
      </c>
      <c r="E97" s="22" t="n">
        <v>246.52</v>
      </c>
      <c r="F97" s="21" t="n">
        <v>42555</v>
      </c>
      <c r="G97" s="22" t="n">
        <v>246.66</v>
      </c>
      <c r="H97" s="22" t="n">
        <v>230.27</v>
      </c>
      <c r="I97" s="21" t="n">
        <v>42585</v>
      </c>
      <c r="J97" s="22" t="n">
        <v>248.65</v>
      </c>
      <c r="K97" s="21" t="n">
        <v>42586</v>
      </c>
      <c r="L97" s="22" t="n">
        <v>250.22</v>
      </c>
      <c r="M97" s="8" t="s">
        <v>73</v>
      </c>
      <c r="N97" s="4" t="n">
        <v>23</v>
      </c>
      <c r="O97" s="6" t="n">
        <f aca="false">IF(C97="롱",(J97-E97)/E97,(E97-J97)/E97)</f>
        <v>0.00864027259451564</v>
      </c>
    </row>
    <row r="98" customFormat="false" ht="17.15" hidden="false" customHeight="false" outlineLevel="0" collapsed="false">
      <c r="A98" s="4" t="n">
        <v>1</v>
      </c>
      <c r="B98" s="4" t="s">
        <v>12</v>
      </c>
      <c r="C98" s="8" t="s">
        <v>72</v>
      </c>
      <c r="D98" s="21" t="n">
        <v>42591</v>
      </c>
      <c r="E98" s="22" t="n">
        <v>255.85</v>
      </c>
      <c r="F98" s="21" t="n">
        <v>42592</v>
      </c>
      <c r="G98" s="22" t="n">
        <v>255.68</v>
      </c>
      <c r="H98" s="22" t="n">
        <v>245.45</v>
      </c>
      <c r="I98" s="21" t="n">
        <v>42607</v>
      </c>
      <c r="J98" s="22" t="n">
        <v>257.26</v>
      </c>
      <c r="K98" s="21" t="n">
        <v>42608</v>
      </c>
      <c r="L98" s="22" t="n">
        <v>256.17</v>
      </c>
      <c r="M98" s="8" t="s">
        <v>73</v>
      </c>
      <c r="N98" s="4" t="n">
        <v>11</v>
      </c>
      <c r="O98" s="6" t="n">
        <f aca="false">IF(C98="롱",(J98-E98)/E98,(E98-J98)/E98)</f>
        <v>0.00551104162595269</v>
      </c>
    </row>
    <row r="99" customFormat="false" ht="17.15" hidden="false" customHeight="false" outlineLevel="0" collapsed="false">
      <c r="A99" s="4" t="n">
        <v>1</v>
      </c>
      <c r="B99" s="4" t="s">
        <v>12</v>
      </c>
      <c r="C99" s="8" t="s">
        <v>72</v>
      </c>
      <c r="D99" s="21" t="n">
        <v>42620</v>
      </c>
      <c r="E99" s="22" t="n">
        <v>260.31</v>
      </c>
      <c r="F99" s="21" t="n">
        <v>42621</v>
      </c>
      <c r="G99" s="22" t="n">
        <v>260.72</v>
      </c>
      <c r="H99" s="22" t="n">
        <v>250.41</v>
      </c>
      <c r="I99" s="21" t="n">
        <v>42622</v>
      </c>
      <c r="J99" s="22" t="n">
        <v>257.31</v>
      </c>
      <c r="K99" s="21" t="n">
        <v>42625</v>
      </c>
      <c r="L99" s="22" t="n">
        <v>252.37</v>
      </c>
      <c r="M99" s="8" t="s">
        <v>73</v>
      </c>
      <c r="N99" s="4" t="n">
        <v>2</v>
      </c>
      <c r="O99" s="6" t="n">
        <f aca="false">IF(C99="롱",(J99-E99)/E99,(E99-J99)/E99)</f>
        <v>-0.0115247205255273</v>
      </c>
    </row>
    <row r="100" customFormat="false" ht="17.15" hidden="false" customHeight="false" outlineLevel="0" collapsed="false">
      <c r="A100" s="4" t="n">
        <v>1</v>
      </c>
      <c r="B100" s="4" t="s">
        <v>12</v>
      </c>
      <c r="C100" s="8" t="s">
        <v>72</v>
      </c>
      <c r="D100" s="21" t="n">
        <v>42640</v>
      </c>
      <c r="E100" s="22" t="n">
        <v>259.57</v>
      </c>
      <c r="F100" s="21" t="n">
        <v>42641</v>
      </c>
      <c r="G100" s="22" t="n">
        <v>259.32</v>
      </c>
      <c r="H100" s="22" t="n">
        <v>245.77</v>
      </c>
      <c r="I100" s="21" t="n">
        <v>42654</v>
      </c>
      <c r="J100" s="22" t="n">
        <v>256.15</v>
      </c>
      <c r="K100" s="21" t="n">
        <v>42655</v>
      </c>
      <c r="L100" s="22" t="n">
        <v>254.69</v>
      </c>
      <c r="M100" s="8" t="s">
        <v>73</v>
      </c>
      <c r="N100" s="4" t="n">
        <v>9</v>
      </c>
      <c r="O100" s="6" t="n">
        <f aca="false">IF(C100="롱",(J100-E100)/E100,(E100-J100)/E100)</f>
        <v>-0.0131756366298109</v>
      </c>
    </row>
    <row r="101" customFormat="false" ht="17.15" hidden="false" customHeight="false" outlineLevel="0" collapsed="false">
      <c r="A101" s="4" t="n">
        <v>1</v>
      </c>
      <c r="B101" s="4" t="s">
        <v>12</v>
      </c>
      <c r="C101" s="8" t="s">
        <v>72</v>
      </c>
      <c r="D101" s="21" t="n">
        <v>42667</v>
      </c>
      <c r="E101" s="22" t="n">
        <v>259.48</v>
      </c>
      <c r="F101" s="21" t="n">
        <v>42668</v>
      </c>
      <c r="G101" s="22" t="n">
        <v>258.79</v>
      </c>
      <c r="H101" s="22" t="n">
        <v>246.56</v>
      </c>
      <c r="I101" s="21" t="n">
        <v>42669</v>
      </c>
      <c r="J101" s="22" t="n">
        <v>255.52</v>
      </c>
      <c r="K101" s="21" t="n">
        <v>42670</v>
      </c>
      <c r="L101" s="22" t="n">
        <v>256.25</v>
      </c>
      <c r="M101" s="8" t="s">
        <v>73</v>
      </c>
      <c r="N101" s="4" t="n">
        <v>2</v>
      </c>
      <c r="O101" s="6" t="n">
        <f aca="false">IF(C101="롱",(J101-E101)/E101,(E101-J101)/E101)</f>
        <v>-0.0152612918143981</v>
      </c>
    </row>
    <row r="102" customFormat="false" ht="17.15" hidden="false" customHeight="false" outlineLevel="0" collapsed="false">
      <c r="A102" s="4" t="n">
        <v>1</v>
      </c>
      <c r="B102" s="4" t="s">
        <v>12</v>
      </c>
      <c r="C102" s="8" t="s">
        <v>72</v>
      </c>
      <c r="D102" s="21" t="n">
        <v>42746</v>
      </c>
      <c r="E102" s="22" t="n">
        <v>268.15</v>
      </c>
      <c r="F102" s="21" t="n">
        <v>42747</v>
      </c>
      <c r="G102" s="22" t="n">
        <v>268.48</v>
      </c>
      <c r="H102" s="22" t="n">
        <v>259.14</v>
      </c>
      <c r="I102" s="21" t="n">
        <v>42758</v>
      </c>
      <c r="J102" s="22" t="n">
        <v>267.12</v>
      </c>
      <c r="K102" s="21" t="n">
        <v>42759</v>
      </c>
      <c r="L102" s="22" t="n">
        <v>267.79</v>
      </c>
      <c r="M102" s="8" t="s">
        <v>73</v>
      </c>
      <c r="N102" s="4" t="n">
        <v>8</v>
      </c>
      <c r="O102" s="6" t="n">
        <f aca="false">IF(C102="롱",(J102-E102)/E102,(E102-J102)/E102)</f>
        <v>-0.00384113369382798</v>
      </c>
    </row>
    <row r="103" customFormat="false" ht="17.15" hidden="false" customHeight="false" outlineLevel="0" collapsed="false">
      <c r="A103" s="4" t="n">
        <v>1</v>
      </c>
      <c r="B103" s="4" t="s">
        <v>12</v>
      </c>
      <c r="C103" s="8" t="s">
        <v>72</v>
      </c>
      <c r="D103" s="21" t="n">
        <v>42761</v>
      </c>
      <c r="E103" s="22" t="n">
        <v>270.48</v>
      </c>
      <c r="F103" s="21" t="n">
        <v>42766</v>
      </c>
      <c r="G103" s="22" t="n">
        <v>269.61</v>
      </c>
      <c r="H103" s="22" t="n">
        <v>259.27</v>
      </c>
      <c r="I103" s="21" t="n">
        <v>42766</v>
      </c>
      <c r="J103" s="22" t="n">
        <v>268.09</v>
      </c>
      <c r="K103" s="21" t="n">
        <v>42767</v>
      </c>
      <c r="L103" s="22" t="n">
        <v>269.16</v>
      </c>
      <c r="M103" s="8" t="s">
        <v>73</v>
      </c>
      <c r="N103" s="4" t="n">
        <v>1</v>
      </c>
      <c r="O103" s="6" t="n">
        <f aca="false">IF(C103="롱",(J103-E103)/E103,(E103-J103)/E103)</f>
        <v>-0.0088361431529135</v>
      </c>
    </row>
    <row r="104" customFormat="false" ht="17.15" hidden="false" customHeight="false" outlineLevel="0" collapsed="false">
      <c r="A104" s="4" t="n">
        <v>1</v>
      </c>
      <c r="B104" s="4" t="s">
        <v>12</v>
      </c>
      <c r="C104" s="8" t="s">
        <v>72</v>
      </c>
      <c r="D104" s="21" t="n">
        <v>42788</v>
      </c>
      <c r="E104" s="22" t="n">
        <v>272.85</v>
      </c>
      <c r="F104" s="21" t="n">
        <v>42789</v>
      </c>
      <c r="G104" s="22" t="n">
        <v>272.61</v>
      </c>
      <c r="H104" s="22" t="n">
        <v>262.35</v>
      </c>
      <c r="I104" s="21" t="n">
        <v>42793</v>
      </c>
      <c r="J104" s="22" t="n">
        <v>268.97</v>
      </c>
      <c r="K104" s="21" t="n">
        <v>42794</v>
      </c>
      <c r="L104" s="22" t="n">
        <v>269.27</v>
      </c>
      <c r="M104" s="8" t="s">
        <v>73</v>
      </c>
      <c r="N104" s="4" t="n">
        <v>3</v>
      </c>
      <c r="O104" s="6" t="n">
        <f aca="false">IF(C104="롱",(J104-E104)/E104,(E104-J104)/E104)</f>
        <v>-0.0142202675462708</v>
      </c>
    </row>
    <row r="105" customFormat="false" ht="17.15" hidden="false" customHeight="false" outlineLevel="0" collapsed="false">
      <c r="A105" s="4" t="n">
        <v>1</v>
      </c>
      <c r="B105" s="4" t="s">
        <v>12</v>
      </c>
      <c r="C105" s="8" t="s">
        <v>72</v>
      </c>
      <c r="D105" s="21" t="n">
        <v>42807</v>
      </c>
      <c r="E105" s="22" t="n">
        <v>275.41</v>
      </c>
      <c r="F105" s="21" t="n">
        <v>42808</v>
      </c>
      <c r="G105" s="22" t="n">
        <v>276.8</v>
      </c>
      <c r="H105" s="22" t="n">
        <v>264.24</v>
      </c>
      <c r="I105" s="21" t="n">
        <v>42824</v>
      </c>
      <c r="J105" s="22" t="n">
        <v>281.66</v>
      </c>
      <c r="K105" s="21" t="n">
        <v>42825</v>
      </c>
      <c r="L105" s="22" t="n">
        <v>282.03</v>
      </c>
      <c r="M105" s="8" t="s">
        <v>73</v>
      </c>
      <c r="N105" s="4" t="n">
        <v>13</v>
      </c>
      <c r="O105" s="6" t="n">
        <f aca="false">IF(C105="롱",(J105-E105)/E105,(E105-J105)/E105)</f>
        <v>0.0226934388729531</v>
      </c>
    </row>
    <row r="106" customFormat="false" ht="17.15" hidden="false" customHeight="false" outlineLevel="0" collapsed="false">
      <c r="A106" s="4" t="n">
        <v>1</v>
      </c>
      <c r="B106" s="4" t="s">
        <v>12</v>
      </c>
      <c r="C106" s="8" t="s">
        <v>72</v>
      </c>
      <c r="D106" s="21" t="n">
        <v>42850</v>
      </c>
      <c r="E106" s="22" t="n">
        <v>285.41</v>
      </c>
      <c r="F106" s="21" t="n">
        <v>42851</v>
      </c>
      <c r="G106" s="22" t="n">
        <v>286.04</v>
      </c>
      <c r="H106" s="22" t="n">
        <v>274.09</v>
      </c>
      <c r="I106" s="21" t="n">
        <v>42887</v>
      </c>
      <c r="J106" s="22" t="n">
        <v>304.03</v>
      </c>
      <c r="K106" s="21" t="n">
        <v>42888</v>
      </c>
      <c r="L106" s="22" t="n">
        <v>305.34</v>
      </c>
      <c r="M106" s="8" t="s">
        <v>73</v>
      </c>
      <c r="N106" s="4" t="n">
        <v>23</v>
      </c>
      <c r="O106" s="6" t="n">
        <f aca="false">IF(C106="롱",(J106-E106)/E106,(E106-J106)/E106)</f>
        <v>0.0652394800462491</v>
      </c>
    </row>
    <row r="107" customFormat="false" ht="17.15" hidden="false" customHeight="false" outlineLevel="0" collapsed="false">
      <c r="A107" s="4" t="n">
        <v>1</v>
      </c>
      <c r="B107" s="4" t="s">
        <v>12</v>
      </c>
      <c r="C107" s="8" t="s">
        <v>72</v>
      </c>
      <c r="D107" s="21" t="n">
        <v>42930</v>
      </c>
      <c r="E107" s="22" t="n">
        <v>317.35</v>
      </c>
      <c r="F107" s="21" t="n">
        <v>42933</v>
      </c>
      <c r="G107" s="22" t="n">
        <v>319.22</v>
      </c>
      <c r="H107" s="22" t="n">
        <v>305.72</v>
      </c>
      <c r="I107" s="21" t="n">
        <v>42944</v>
      </c>
      <c r="J107" s="22" t="n">
        <v>314.13</v>
      </c>
      <c r="K107" s="21" t="n">
        <v>42947</v>
      </c>
      <c r="L107" s="22" t="n">
        <v>312.73</v>
      </c>
      <c r="M107" s="8" t="s">
        <v>73</v>
      </c>
      <c r="N107" s="4" t="n">
        <v>10</v>
      </c>
      <c r="O107" s="6" t="n">
        <f aca="false">IF(C107="롱",(J107-E107)/E107,(E107-J107)/E107)</f>
        <v>-0.0101465259177565</v>
      </c>
    </row>
    <row r="108" customFormat="false" ht="17.15" hidden="false" customHeight="false" outlineLevel="0" collapsed="false">
      <c r="A108" s="4" t="n">
        <v>1</v>
      </c>
      <c r="B108" s="4" t="s">
        <v>12</v>
      </c>
      <c r="C108" s="8" t="s">
        <v>72</v>
      </c>
      <c r="D108" s="21" t="n">
        <v>42972</v>
      </c>
      <c r="E108" s="22" t="n">
        <v>311.21</v>
      </c>
      <c r="F108" s="21" t="n">
        <v>42975</v>
      </c>
      <c r="G108" s="22" t="n">
        <v>310.69</v>
      </c>
      <c r="H108" s="22" t="n">
        <v>293.66</v>
      </c>
      <c r="I108" s="21" t="n">
        <v>42982</v>
      </c>
      <c r="J108" s="22" t="n">
        <v>304.19</v>
      </c>
      <c r="K108" s="21" t="n">
        <v>42983</v>
      </c>
      <c r="L108" s="22" t="n">
        <v>305.64</v>
      </c>
      <c r="M108" s="8" t="s">
        <v>73</v>
      </c>
      <c r="N108" s="4" t="n">
        <v>6</v>
      </c>
      <c r="O108" s="6" t="n">
        <f aca="false">IF(C108="롱",(J108-E108)/E108,(E108-J108)/E108)</f>
        <v>-0.0225571157739147</v>
      </c>
    </row>
    <row r="109" customFormat="false" ht="17.15" hidden="false" customHeight="false" outlineLevel="0" collapsed="false">
      <c r="A109" s="4" t="n">
        <v>1</v>
      </c>
      <c r="B109" s="4" t="s">
        <v>12</v>
      </c>
      <c r="C109" s="8" t="s">
        <v>72</v>
      </c>
      <c r="D109" s="21" t="n">
        <v>42989</v>
      </c>
      <c r="E109" s="22" t="n">
        <v>309.83</v>
      </c>
      <c r="F109" s="21" t="n">
        <v>42990</v>
      </c>
      <c r="G109" s="22" t="n">
        <v>311.7</v>
      </c>
      <c r="H109" s="22" t="n">
        <v>295.62</v>
      </c>
      <c r="I109" s="21" t="n">
        <v>43035</v>
      </c>
      <c r="J109" s="22" t="n">
        <v>329.23</v>
      </c>
      <c r="K109" s="21" t="n">
        <v>43038</v>
      </c>
      <c r="L109" s="22" t="n">
        <v>331.72</v>
      </c>
      <c r="M109" s="8" t="s">
        <v>73</v>
      </c>
      <c r="N109" s="4" t="n">
        <v>28</v>
      </c>
      <c r="O109" s="6" t="n">
        <f aca="false">IF(C109="롱",(J109-E109)/E109,(E109-J109)/E109)</f>
        <v>0.0626149824097087</v>
      </c>
    </row>
    <row r="110" customFormat="false" ht="17.15" hidden="false" customHeight="false" outlineLevel="0" collapsed="false">
      <c r="A110" s="4" t="n">
        <v>1</v>
      </c>
      <c r="B110" s="4" t="s">
        <v>12</v>
      </c>
      <c r="C110" s="8" t="s">
        <v>72</v>
      </c>
      <c r="D110" s="21" t="n">
        <v>43039</v>
      </c>
      <c r="E110" s="22" t="n">
        <v>333.57</v>
      </c>
      <c r="F110" s="21" t="n">
        <v>43040</v>
      </c>
      <c r="G110" s="22" t="n">
        <v>335.67</v>
      </c>
      <c r="H110" s="22" t="n">
        <v>319.89</v>
      </c>
      <c r="I110" s="21" t="n">
        <v>43049</v>
      </c>
      <c r="J110" s="22" t="n">
        <v>335.96</v>
      </c>
      <c r="K110" s="21" t="n">
        <v>43052</v>
      </c>
      <c r="L110" s="22" t="n">
        <v>336.63</v>
      </c>
      <c r="M110" s="8" t="s">
        <v>73</v>
      </c>
      <c r="N110" s="4" t="n">
        <v>8</v>
      </c>
      <c r="O110" s="6" t="n">
        <f aca="false">IF(C110="롱",(J110-E110)/E110,(E110-J110)/E110)</f>
        <v>0.00716491291183256</v>
      </c>
    </row>
    <row r="111" customFormat="false" ht="17.15" hidden="false" customHeight="false" outlineLevel="0" collapsed="false">
      <c r="A111" s="4" t="n">
        <v>1</v>
      </c>
      <c r="B111" s="4" t="s">
        <v>12</v>
      </c>
      <c r="C111" s="8" t="s">
        <v>72</v>
      </c>
      <c r="D111" s="21" t="n">
        <v>43102</v>
      </c>
      <c r="E111" s="22" t="n">
        <v>326</v>
      </c>
      <c r="F111" s="21" t="n">
        <v>43103</v>
      </c>
      <c r="G111" s="22" t="n">
        <v>327.13</v>
      </c>
      <c r="H111" s="22" t="n">
        <v>308.98</v>
      </c>
      <c r="I111" s="21" t="n">
        <v>43133</v>
      </c>
      <c r="J111" s="22" t="n">
        <v>327.01</v>
      </c>
      <c r="K111" s="21" t="n">
        <v>43136</v>
      </c>
      <c r="L111" s="22" t="n">
        <v>322.05</v>
      </c>
      <c r="M111" s="8" t="s">
        <v>73</v>
      </c>
      <c r="N111" s="4" t="n">
        <v>23</v>
      </c>
      <c r="O111" s="6" t="n">
        <f aca="false">IF(C111="롱",(J111-E111)/E111,(E111-J111)/E111)</f>
        <v>0.00309815950920243</v>
      </c>
    </row>
    <row r="112" customFormat="false" ht="17.15" hidden="false" customHeight="false" outlineLevel="0" collapsed="false">
      <c r="A112" s="4" t="n">
        <v>1</v>
      </c>
      <c r="B112" s="4" t="s">
        <v>12</v>
      </c>
      <c r="C112" s="8" t="s">
        <v>72</v>
      </c>
      <c r="D112" s="21" t="n">
        <v>43258</v>
      </c>
      <c r="E112" s="22" t="n">
        <v>317.67</v>
      </c>
      <c r="F112" s="21" t="n">
        <v>43259</v>
      </c>
      <c r="G112" s="22" t="n">
        <v>316.94</v>
      </c>
      <c r="H112" s="22" t="n">
        <v>301.32</v>
      </c>
      <c r="I112" s="21" t="n">
        <v>43265</v>
      </c>
      <c r="J112" s="22" t="n">
        <v>311.2</v>
      </c>
      <c r="K112" s="21" t="n">
        <v>43266</v>
      </c>
      <c r="L112" s="22" t="n">
        <v>312.43</v>
      </c>
      <c r="M112" s="8" t="s">
        <v>73</v>
      </c>
      <c r="N112" s="4" t="n">
        <v>4</v>
      </c>
      <c r="O112" s="6" t="n">
        <f aca="false">IF(C112="롱",(J112-E112)/E112,(E112-J112)/E112)</f>
        <v>-0.0203670475650833</v>
      </c>
    </row>
    <row r="113" customFormat="false" ht="17.15" hidden="false" customHeight="false" outlineLevel="0" collapsed="false">
      <c r="A113" s="4" t="n">
        <v>1</v>
      </c>
      <c r="B113" s="4" t="s">
        <v>12</v>
      </c>
      <c r="C113" s="8" t="s">
        <v>72</v>
      </c>
      <c r="D113" s="21" t="n">
        <v>43546</v>
      </c>
      <c r="E113" s="22" t="n">
        <v>283.13</v>
      </c>
      <c r="F113" s="21" t="n">
        <v>43549</v>
      </c>
      <c r="G113" s="22" t="n">
        <v>279.12</v>
      </c>
      <c r="H113" s="22" t="n">
        <v>267.96</v>
      </c>
      <c r="I113" s="21" t="n">
        <v>43549</v>
      </c>
      <c r="J113" s="22" t="n">
        <v>277.45</v>
      </c>
      <c r="K113" s="21" t="n">
        <v>43550</v>
      </c>
      <c r="L113" s="22" t="n">
        <v>278.43</v>
      </c>
      <c r="M113" s="8" t="s">
        <v>73</v>
      </c>
      <c r="N113" s="4" t="n">
        <v>1</v>
      </c>
      <c r="O113" s="6" t="n">
        <f aca="false">IF(C113="롱",(J113-E113)/E113,(E113-J113)/E113)</f>
        <v>-0.0200614558683291</v>
      </c>
    </row>
    <row r="114" customFormat="false" ht="17.15" hidden="false" customHeight="false" outlineLevel="0" collapsed="false">
      <c r="A114" s="4" t="n">
        <v>1</v>
      </c>
      <c r="B114" s="4" t="s">
        <v>12</v>
      </c>
      <c r="C114" s="8" t="s">
        <v>72</v>
      </c>
      <c r="D114" s="21" t="n">
        <v>43557</v>
      </c>
      <c r="E114" s="22" t="n">
        <v>281.72</v>
      </c>
      <c r="F114" s="21" t="n">
        <v>43558</v>
      </c>
      <c r="G114" s="22" t="n">
        <v>281.88</v>
      </c>
      <c r="H114" s="22" t="n">
        <v>265.88</v>
      </c>
      <c r="I114" s="21" t="n">
        <v>43577</v>
      </c>
      <c r="J114" s="22" t="n">
        <v>285.87</v>
      </c>
      <c r="K114" s="21" t="n">
        <v>43578</v>
      </c>
      <c r="L114" s="22" t="n">
        <v>285.85</v>
      </c>
      <c r="M114" s="8" t="s">
        <v>73</v>
      </c>
      <c r="N114" s="4" t="n">
        <v>14</v>
      </c>
      <c r="O114" s="6" t="n">
        <f aca="false">IF(C114="롱",(J114-E114)/E114,(E114-J114)/E114)</f>
        <v>0.0147309385205167</v>
      </c>
    </row>
    <row r="115" customFormat="false" ht="17.15" hidden="false" customHeight="false" outlineLevel="0" collapsed="false">
      <c r="A115" s="4" t="n">
        <v>1</v>
      </c>
      <c r="B115" s="4" t="s">
        <v>12</v>
      </c>
      <c r="C115" s="8" t="s">
        <v>72</v>
      </c>
      <c r="D115" s="21" t="n">
        <v>43773</v>
      </c>
      <c r="E115" s="22" t="n">
        <v>282.54</v>
      </c>
      <c r="F115" s="21" t="n">
        <v>43774</v>
      </c>
      <c r="G115" s="22" t="n">
        <v>282.99</v>
      </c>
      <c r="H115" s="22" t="n">
        <v>266.68</v>
      </c>
      <c r="I115" s="21" t="n">
        <v>43789</v>
      </c>
      <c r="J115" s="22" t="n">
        <v>282.21</v>
      </c>
      <c r="K115" s="21" t="n">
        <v>43790</v>
      </c>
      <c r="L115" s="22" t="n">
        <v>281.89</v>
      </c>
      <c r="M115" s="8" t="s">
        <v>73</v>
      </c>
      <c r="N115" s="4" t="n">
        <v>12</v>
      </c>
      <c r="O115" s="6" t="n">
        <f aca="false">IF(C115="롱",(J115-E115)/E115,(E115-J115)/E115)</f>
        <v>-0.00116797621575721</v>
      </c>
    </row>
    <row r="116" customFormat="false" ht="17.15" hidden="false" customHeight="false" outlineLevel="0" collapsed="false">
      <c r="A116" s="4" t="n">
        <v>1</v>
      </c>
      <c r="B116" s="4" t="s">
        <v>12</v>
      </c>
      <c r="C116" s="8" t="s">
        <v>72</v>
      </c>
      <c r="D116" s="21" t="n">
        <v>43811</v>
      </c>
      <c r="E116" s="22" t="n">
        <v>285.11</v>
      </c>
      <c r="F116" s="21" t="n">
        <v>43812</v>
      </c>
      <c r="G116" s="22" t="n">
        <v>289.34</v>
      </c>
      <c r="H116" s="22" t="n">
        <v>267.79</v>
      </c>
      <c r="I116" s="21" t="n">
        <v>43833</v>
      </c>
      <c r="J116" s="22" t="n">
        <v>290.74</v>
      </c>
      <c r="K116" s="21" t="n">
        <v>43836</v>
      </c>
      <c r="L116" s="22" t="n">
        <v>287.73</v>
      </c>
      <c r="M116" s="8" t="s">
        <v>73</v>
      </c>
      <c r="N116" s="4" t="n">
        <v>13</v>
      </c>
      <c r="O116" s="6" t="n">
        <f aca="false">IF(C116="롱",(J116-E116)/E116,(E116-J116)/E116)</f>
        <v>0.0197467644067202</v>
      </c>
    </row>
    <row r="117" customFormat="false" ht="17.15" hidden="false" customHeight="false" outlineLevel="0" collapsed="false">
      <c r="A117" s="4" t="n">
        <v>1</v>
      </c>
      <c r="B117" s="4" t="s">
        <v>12</v>
      </c>
      <c r="C117" s="8" t="s">
        <v>72</v>
      </c>
      <c r="D117" s="21" t="n">
        <v>43843</v>
      </c>
      <c r="E117" s="22" t="n">
        <v>300.13</v>
      </c>
      <c r="F117" s="21" t="n">
        <v>43844</v>
      </c>
      <c r="G117" s="22" t="n">
        <v>302.2</v>
      </c>
      <c r="H117" s="22" t="n">
        <v>282.02</v>
      </c>
      <c r="I117" s="21" t="n">
        <v>43858</v>
      </c>
      <c r="J117" s="22" t="n">
        <v>292.77</v>
      </c>
      <c r="K117" s="21" t="n">
        <v>43859</v>
      </c>
      <c r="L117" s="22" t="n">
        <v>294.38</v>
      </c>
      <c r="M117" s="8" t="s">
        <v>73</v>
      </c>
      <c r="N117" s="4" t="n">
        <v>9</v>
      </c>
      <c r="O117" s="6" t="n">
        <f aca="false">IF(C117="롱",(J117-E117)/E117,(E117-J117)/E117)</f>
        <v>-0.0245227068270417</v>
      </c>
    </row>
    <row r="118" customFormat="false" ht="17.15" hidden="false" customHeight="false" outlineLevel="0" collapsed="false">
      <c r="A118" s="4" t="n">
        <v>1</v>
      </c>
      <c r="B118" s="4" t="s">
        <v>12</v>
      </c>
      <c r="C118" s="8" t="s">
        <v>72</v>
      </c>
      <c r="D118" s="21" t="n">
        <v>43872</v>
      </c>
      <c r="E118" s="22" t="n">
        <v>299.28</v>
      </c>
      <c r="F118" s="21" t="n">
        <v>43873</v>
      </c>
      <c r="G118" s="22" t="n">
        <v>299.83</v>
      </c>
      <c r="H118" s="22" t="n">
        <v>273.28</v>
      </c>
      <c r="I118" s="21" t="n">
        <v>43881</v>
      </c>
      <c r="J118" s="22" t="n">
        <v>296.65</v>
      </c>
      <c r="K118" s="21" t="n">
        <v>43882</v>
      </c>
      <c r="L118" s="22" t="n">
        <v>292.16</v>
      </c>
      <c r="M118" s="8" t="s">
        <v>73</v>
      </c>
      <c r="N118" s="4" t="n">
        <v>7</v>
      </c>
      <c r="O118" s="6" t="n">
        <f aca="false">IF(C118="롱",(J118-E118)/E118,(E118-J118)/E118)</f>
        <v>-0.00878775728414861</v>
      </c>
    </row>
    <row r="119" customFormat="false" ht="17.15" hidden="false" customHeight="false" outlineLevel="0" collapsed="false">
      <c r="A119" s="4" t="n">
        <v>1</v>
      </c>
      <c r="B119" s="4" t="s">
        <v>12</v>
      </c>
      <c r="C119" s="8" t="s">
        <v>72</v>
      </c>
      <c r="D119" s="21" t="n">
        <v>44027</v>
      </c>
      <c r="E119" s="22" t="n">
        <v>292.27</v>
      </c>
      <c r="F119" s="21" t="n">
        <v>44028</v>
      </c>
      <c r="G119" s="22" t="n">
        <v>292.34</v>
      </c>
      <c r="H119" s="22" t="n">
        <v>268.08</v>
      </c>
      <c r="I119" s="21" t="n">
        <v>44036</v>
      </c>
      <c r="J119" s="22" t="n">
        <v>290.66</v>
      </c>
      <c r="K119" s="21" t="n">
        <v>44039</v>
      </c>
      <c r="L119" s="22" t="n">
        <v>291.03</v>
      </c>
      <c r="M119" s="8" t="s">
        <v>73</v>
      </c>
      <c r="N119" s="4" t="n">
        <v>7</v>
      </c>
      <c r="O119" s="6" t="n">
        <f aca="false">IF(C119="롱",(J119-E119)/E119,(E119-J119)/E119)</f>
        <v>-0.00550860505696772</v>
      </c>
    </row>
    <row r="120" customFormat="false" ht="17.15" hidden="false" customHeight="false" outlineLevel="0" collapsed="false">
      <c r="A120" s="4" t="n">
        <v>1</v>
      </c>
      <c r="B120" s="4" t="s">
        <v>12</v>
      </c>
      <c r="C120" s="8" t="s">
        <v>72</v>
      </c>
      <c r="D120" s="21" t="n">
        <v>44040</v>
      </c>
      <c r="E120" s="22" t="n">
        <v>300.13</v>
      </c>
      <c r="F120" s="21" t="n">
        <v>44041</v>
      </c>
      <c r="G120" s="22" t="n">
        <v>300.57</v>
      </c>
      <c r="H120" s="22" t="n">
        <v>278.91</v>
      </c>
      <c r="I120" s="21" t="n">
        <v>44063</v>
      </c>
      <c r="J120" s="22" t="n">
        <v>301.59</v>
      </c>
      <c r="K120" s="21" t="n">
        <v>44064</v>
      </c>
      <c r="L120" s="22" t="n">
        <v>306.17</v>
      </c>
      <c r="M120" s="8" t="s">
        <v>73</v>
      </c>
      <c r="N120" s="4" t="n">
        <v>16</v>
      </c>
      <c r="O120" s="6" t="n">
        <f aca="false">IF(C120="롱",(J120-E120)/E120,(E120-J120)/E120)</f>
        <v>0.00486455869123373</v>
      </c>
    </row>
    <row r="121" customFormat="false" ht="17.15" hidden="false" customHeight="false" outlineLevel="0" collapsed="false">
      <c r="A121" s="4" t="n">
        <v>1</v>
      </c>
      <c r="B121" s="4" t="s">
        <v>12</v>
      </c>
      <c r="C121" s="8" t="s">
        <v>72</v>
      </c>
      <c r="D121" s="21" t="n">
        <v>44088</v>
      </c>
      <c r="E121" s="22" t="n">
        <v>320.98</v>
      </c>
      <c r="F121" s="21" t="n">
        <v>44089</v>
      </c>
      <c r="G121" s="22" t="n">
        <v>321.82</v>
      </c>
      <c r="H121" s="22" t="n">
        <v>291.65</v>
      </c>
      <c r="I121" s="21" t="n">
        <v>44092</v>
      </c>
      <c r="J121" s="22" t="n">
        <v>318.39</v>
      </c>
      <c r="K121" s="21" t="n">
        <v>44095</v>
      </c>
      <c r="L121" s="22" t="n">
        <v>318.13</v>
      </c>
      <c r="M121" s="8" t="s">
        <v>73</v>
      </c>
      <c r="N121" s="4" t="n">
        <v>4</v>
      </c>
      <c r="O121" s="6" t="n">
        <f aca="false">IF(C121="롱",(J121-E121)/E121,(E121-J121)/E121)</f>
        <v>-0.00806903856938137</v>
      </c>
    </row>
    <row r="122" customFormat="false" ht="17.15" hidden="false" customHeight="false" outlineLevel="0" collapsed="false">
      <c r="A122" s="4" t="n">
        <v>1</v>
      </c>
      <c r="B122" s="4" t="s">
        <v>12</v>
      </c>
      <c r="C122" s="8" t="s">
        <v>72</v>
      </c>
      <c r="D122" s="21" t="n">
        <v>44112</v>
      </c>
      <c r="E122" s="22" t="n">
        <v>317.47</v>
      </c>
      <c r="F122" s="21" t="n">
        <v>44116</v>
      </c>
      <c r="G122" s="22" t="n">
        <v>318.99</v>
      </c>
      <c r="H122" s="22" t="n">
        <v>293.11</v>
      </c>
      <c r="I122" s="21" t="n">
        <v>44120</v>
      </c>
      <c r="J122" s="22" t="n">
        <v>311.83</v>
      </c>
      <c r="K122" s="21" t="n">
        <v>44123</v>
      </c>
      <c r="L122" s="22" t="n">
        <v>313.43</v>
      </c>
      <c r="M122" s="8" t="s">
        <v>73</v>
      </c>
      <c r="N122" s="4" t="n">
        <v>5</v>
      </c>
      <c r="O122" s="6" t="n">
        <f aca="false">IF(C122="롱",(J122-E122)/E122,(E122-J122)/E122)</f>
        <v>-0.0177654581535265</v>
      </c>
    </row>
    <row r="123" customFormat="false" ht="17.15" hidden="false" customHeight="false" outlineLevel="0" collapsed="false">
      <c r="A123" s="4" t="n">
        <v>1</v>
      </c>
      <c r="B123" s="4" t="s">
        <v>12</v>
      </c>
      <c r="C123" s="8" t="s">
        <v>72</v>
      </c>
      <c r="D123" s="21" t="n">
        <v>44140</v>
      </c>
      <c r="E123" s="22" t="n">
        <v>321.51</v>
      </c>
      <c r="F123" s="21" t="n">
        <v>44141</v>
      </c>
      <c r="G123" s="22" t="n">
        <v>322.72</v>
      </c>
      <c r="H123" s="22" t="n">
        <v>298.47</v>
      </c>
      <c r="I123" s="21" t="n">
        <v>44182</v>
      </c>
      <c r="J123" s="22" t="n">
        <v>372</v>
      </c>
      <c r="K123" s="21" t="n">
        <v>44183</v>
      </c>
      <c r="L123" s="22" t="n">
        <v>372.02</v>
      </c>
      <c r="M123" s="8" t="s">
        <v>73</v>
      </c>
      <c r="N123" s="4" t="n">
        <v>30</v>
      </c>
      <c r="O123" s="6" t="n">
        <f aca="false">IF(C123="롱",(J123-E123)/E123,(E123-J123)/E123)</f>
        <v>0.157040216478492</v>
      </c>
    </row>
    <row r="124" customFormat="false" ht="17.15" hidden="false" customHeight="false" outlineLevel="0" collapsed="false">
      <c r="A124" s="4" t="n">
        <v>1</v>
      </c>
      <c r="B124" s="4" t="s">
        <v>12</v>
      </c>
      <c r="C124" s="8" t="s">
        <v>72</v>
      </c>
      <c r="D124" s="21" t="n">
        <v>44195</v>
      </c>
      <c r="E124" s="22" t="n">
        <v>389.29</v>
      </c>
      <c r="F124" s="21" t="n">
        <v>44200</v>
      </c>
      <c r="G124" s="22" t="n">
        <v>389.5</v>
      </c>
      <c r="H124" s="22" t="n">
        <v>359.54</v>
      </c>
      <c r="I124" s="21" t="n">
        <v>44215</v>
      </c>
      <c r="J124" s="22" t="n">
        <v>421.35</v>
      </c>
      <c r="K124" s="21" t="n">
        <v>44216</v>
      </c>
      <c r="L124" s="22" t="n">
        <v>425.17</v>
      </c>
      <c r="M124" s="8" t="s">
        <v>73</v>
      </c>
      <c r="N124" s="4" t="n">
        <v>12</v>
      </c>
      <c r="O124" s="6" t="n">
        <f aca="false">IF(C124="롱",(J124-E124)/E124,(E124-J124)/E124)</f>
        <v>0.0823550566415783</v>
      </c>
    </row>
    <row r="125" customFormat="false" ht="17.15" hidden="false" customHeight="false" outlineLevel="0" collapsed="false">
      <c r="A125" s="4" t="n">
        <v>1</v>
      </c>
      <c r="B125" s="4" t="s">
        <v>12</v>
      </c>
      <c r="C125" s="8" t="s">
        <v>72</v>
      </c>
      <c r="D125" s="21" t="n">
        <v>44273</v>
      </c>
      <c r="E125" s="22" t="n">
        <v>417.06</v>
      </c>
      <c r="F125" s="21" t="n">
        <v>44274</v>
      </c>
      <c r="G125" s="22" t="n">
        <v>416.7</v>
      </c>
      <c r="H125" s="22" t="n">
        <v>375.35</v>
      </c>
      <c r="I125" s="21" t="n">
        <v>44278</v>
      </c>
      <c r="J125" s="22" t="n">
        <v>408.71</v>
      </c>
      <c r="K125" s="21" t="n">
        <v>44279</v>
      </c>
      <c r="L125" s="22" t="n">
        <v>407.32</v>
      </c>
      <c r="M125" s="8" t="s">
        <v>73</v>
      </c>
      <c r="N125" s="4" t="n">
        <v>3</v>
      </c>
      <c r="O125" s="6" t="n">
        <f aca="false">IF(C125="롱",(J125-E125)/E125,(E125-J125)/E125)</f>
        <v>-0.0200211000815231</v>
      </c>
    </row>
    <row r="126" customFormat="false" ht="17.15" hidden="false" customHeight="false" outlineLevel="0" collapsed="false">
      <c r="A126" s="4" t="n">
        <v>1</v>
      </c>
      <c r="B126" s="4" t="s">
        <v>12</v>
      </c>
      <c r="C126" s="8" t="s">
        <v>72</v>
      </c>
      <c r="D126" s="21" t="n">
        <v>44285</v>
      </c>
      <c r="E126" s="22" t="n">
        <v>416.61</v>
      </c>
      <c r="F126" s="21" t="n">
        <v>44286</v>
      </c>
      <c r="G126" s="22" t="n">
        <v>417.12</v>
      </c>
      <c r="H126" s="22" t="n">
        <v>383.38</v>
      </c>
      <c r="I126" s="21" t="n">
        <v>44309</v>
      </c>
      <c r="J126" s="22" t="n">
        <v>428.34</v>
      </c>
      <c r="K126" s="21" t="n">
        <v>44312</v>
      </c>
      <c r="L126" s="22" t="n">
        <v>428.89</v>
      </c>
      <c r="M126" s="8" t="s">
        <v>73</v>
      </c>
      <c r="N126" s="4" t="n">
        <v>18</v>
      </c>
      <c r="O126" s="6" t="n">
        <f aca="false">IF(C126="롱",(J126-E126)/E126,(E126-J126)/E126)</f>
        <v>0.0281558291927701</v>
      </c>
    </row>
    <row r="127" customFormat="false" ht="17.15" hidden="false" customHeight="false" outlineLevel="0" collapsed="false">
      <c r="A127" s="4" t="n">
        <v>1</v>
      </c>
      <c r="B127" s="4" t="s">
        <v>12</v>
      </c>
      <c r="C127" s="8" t="s">
        <v>72</v>
      </c>
      <c r="D127" s="21" t="n">
        <v>44344</v>
      </c>
      <c r="E127" s="22" t="n">
        <v>425.95</v>
      </c>
      <c r="F127" s="21" t="n">
        <v>44347</v>
      </c>
      <c r="G127" s="22" t="n">
        <v>426.31</v>
      </c>
      <c r="H127" s="22" t="n">
        <v>396.9</v>
      </c>
      <c r="I127" s="21" t="n">
        <v>44379</v>
      </c>
      <c r="J127" s="22" t="n">
        <v>436</v>
      </c>
      <c r="K127" s="21" t="n">
        <v>44382</v>
      </c>
      <c r="L127" s="22" t="n">
        <v>436.53</v>
      </c>
      <c r="M127" s="8" t="s">
        <v>73</v>
      </c>
      <c r="N127" s="4" t="n">
        <v>25</v>
      </c>
      <c r="O127" s="6" t="n">
        <f aca="false">IF(C127="롱",(J127-E127)/E127,(E127-J127)/E127)</f>
        <v>0.0235943185819932</v>
      </c>
    </row>
    <row r="128" customFormat="false" ht="17.15" hidden="false" customHeight="false" outlineLevel="0" collapsed="false">
      <c r="A128" s="4" t="n">
        <v>1</v>
      </c>
      <c r="B128" s="4" t="s">
        <v>12</v>
      </c>
      <c r="C128" s="8" t="s">
        <v>72</v>
      </c>
      <c r="D128" s="21" t="n">
        <v>44412</v>
      </c>
      <c r="E128" s="22" t="n">
        <v>436.05</v>
      </c>
      <c r="F128" s="21" t="n">
        <v>44413</v>
      </c>
      <c r="G128" s="22" t="n">
        <v>436.46</v>
      </c>
      <c r="H128" s="22" t="n">
        <v>412.57</v>
      </c>
      <c r="I128" s="21" t="n">
        <v>44419</v>
      </c>
      <c r="J128" s="22" t="n">
        <v>424.74</v>
      </c>
      <c r="K128" s="21" t="n">
        <v>44420</v>
      </c>
      <c r="L128" s="22" t="n">
        <v>423.17</v>
      </c>
      <c r="M128" s="8" t="s">
        <v>73</v>
      </c>
      <c r="N128" s="4" t="n">
        <v>5</v>
      </c>
      <c r="O128" s="6" t="n">
        <f aca="false">IF(C128="롱",(J128-E128)/E128,(E128-J128)/E128)</f>
        <v>-0.02593739250086</v>
      </c>
    </row>
    <row r="129" customFormat="false" ht="17.15" hidden="false" customHeight="false" outlineLevel="0" collapsed="false">
      <c r="A129" s="4" t="n">
        <v>1</v>
      </c>
      <c r="B129" s="4" t="s">
        <v>12</v>
      </c>
      <c r="C129" s="8" t="s">
        <v>72</v>
      </c>
      <c r="D129" s="21" t="n">
        <v>44935</v>
      </c>
      <c r="E129" s="22" t="n">
        <v>309.69</v>
      </c>
      <c r="F129" s="21" t="n">
        <v>44936</v>
      </c>
      <c r="G129" s="22" t="n">
        <v>308.69</v>
      </c>
      <c r="H129" s="22" t="n">
        <v>285.25</v>
      </c>
      <c r="I129" s="21" t="n">
        <v>44970</v>
      </c>
      <c r="J129" s="22" t="n">
        <v>321.75</v>
      </c>
      <c r="K129" s="21" t="n">
        <v>44971</v>
      </c>
      <c r="L129" s="22" t="n">
        <v>324.5</v>
      </c>
      <c r="M129" s="8" t="s">
        <v>73</v>
      </c>
      <c r="N129" s="4" t="n">
        <v>23</v>
      </c>
      <c r="O129" s="6" t="n">
        <f aca="false">IF(C129="롱",(J129-E129)/E129,(E129-J129)/E129)</f>
        <v>0.0389421679744261</v>
      </c>
    </row>
    <row r="130" customFormat="false" ht="17.15" hidden="false" customHeight="false" outlineLevel="0" collapsed="false">
      <c r="A130" s="4" t="n">
        <v>1</v>
      </c>
      <c r="B130" s="4" t="s">
        <v>12</v>
      </c>
      <c r="C130" s="8" t="s">
        <v>72</v>
      </c>
      <c r="D130" s="21" t="n">
        <v>45008</v>
      </c>
      <c r="E130" s="22" t="n">
        <v>315.75</v>
      </c>
      <c r="F130" s="21" t="n">
        <v>45009</v>
      </c>
      <c r="G130" s="22" t="n">
        <v>315.17</v>
      </c>
      <c r="H130" s="22" t="n">
        <v>293.25</v>
      </c>
      <c r="I130" s="21" t="n">
        <v>45041</v>
      </c>
      <c r="J130" s="22" t="n">
        <v>324.48</v>
      </c>
      <c r="K130" s="21" t="n">
        <v>45042</v>
      </c>
      <c r="L130" s="22" t="n">
        <v>324.57</v>
      </c>
      <c r="M130" s="8" t="s">
        <v>73</v>
      </c>
      <c r="N130" s="4" t="n">
        <v>23</v>
      </c>
      <c r="O130" s="6" t="n">
        <f aca="false">IF(C130="롱",(J130-E130)/E130,(E130-J130)/E130)</f>
        <v>0.0276484560570072</v>
      </c>
    </row>
    <row r="131" customFormat="false" ht="17.15" hidden="false" customHeight="false" outlineLevel="0" collapsed="false">
      <c r="A131" s="4" t="n">
        <v>1</v>
      </c>
      <c r="B131" s="4" t="s">
        <v>12</v>
      </c>
      <c r="C131" s="8" t="s">
        <v>72</v>
      </c>
      <c r="D131" s="21" t="n">
        <v>45065</v>
      </c>
      <c r="E131" s="22" t="n">
        <v>334.23</v>
      </c>
      <c r="F131" s="21" t="n">
        <v>45068</v>
      </c>
      <c r="G131" s="22" t="n">
        <v>334.5</v>
      </c>
      <c r="H131" s="22" t="n">
        <v>317.6</v>
      </c>
      <c r="I131" s="21" t="n">
        <v>45093</v>
      </c>
      <c r="J131" s="22" t="n">
        <v>345.17</v>
      </c>
      <c r="K131" s="21" t="n">
        <v>45096</v>
      </c>
      <c r="L131" s="22" t="n">
        <v>344.36</v>
      </c>
      <c r="M131" s="8" t="s">
        <v>73</v>
      </c>
      <c r="N131" s="4" t="n">
        <v>18</v>
      </c>
      <c r="O131" s="6" t="n">
        <f aca="false">IF(C131="롱",(J131-E131)/E131,(E131-J131)/E131)</f>
        <v>0.032731951051671</v>
      </c>
    </row>
    <row r="132" customFormat="false" ht="17.15" hidden="false" customHeight="false" outlineLevel="0" collapsed="false">
      <c r="A132" s="4" t="n">
        <v>1</v>
      </c>
      <c r="B132" s="4" t="s">
        <v>12</v>
      </c>
      <c r="C132" s="8" t="s">
        <v>72</v>
      </c>
      <c r="D132" s="21" t="n">
        <v>45121</v>
      </c>
      <c r="E132" s="22" t="n">
        <v>346.93</v>
      </c>
      <c r="F132" s="21" t="n">
        <v>45124</v>
      </c>
      <c r="G132" s="22" t="n">
        <v>345.38</v>
      </c>
      <c r="H132" s="22" t="n">
        <v>327.92</v>
      </c>
      <c r="I132" s="21" t="n">
        <v>45141</v>
      </c>
      <c r="J132" s="22" t="n">
        <v>341.54</v>
      </c>
      <c r="K132" s="21" t="n">
        <v>45142</v>
      </c>
      <c r="L132" s="22" t="n">
        <v>341.6</v>
      </c>
      <c r="M132" s="8" t="s">
        <v>73</v>
      </c>
      <c r="N132" s="4" t="n">
        <v>14</v>
      </c>
      <c r="O132" s="6" t="n">
        <f aca="false">IF(C132="롱",(J132-E132)/E132,(E132-J132)/E132)</f>
        <v>-0.0155362753293171</v>
      </c>
    </row>
    <row r="133" customFormat="false" ht="17.15" hidden="false" customHeight="false" outlineLevel="0" collapsed="false">
      <c r="A133" s="4" t="n">
        <v>1</v>
      </c>
      <c r="B133" s="4" t="s">
        <v>12</v>
      </c>
      <c r="C133" s="8" t="s">
        <v>72</v>
      </c>
      <c r="D133" s="21" t="n">
        <v>45168</v>
      </c>
      <c r="E133" s="22" t="n">
        <v>334.94</v>
      </c>
      <c r="F133" s="21" t="n">
        <v>45169</v>
      </c>
      <c r="G133" s="22" t="n">
        <v>335.38</v>
      </c>
      <c r="H133" s="22" t="n">
        <v>314.35</v>
      </c>
      <c r="I133" s="21" t="n">
        <v>45190</v>
      </c>
      <c r="J133" s="22" t="n">
        <v>333.04</v>
      </c>
      <c r="K133" s="21" t="n">
        <v>45191</v>
      </c>
      <c r="L133" s="22" t="n">
        <v>329.9</v>
      </c>
      <c r="M133" s="8" t="s">
        <v>73</v>
      </c>
      <c r="N133" s="4" t="n">
        <v>16</v>
      </c>
      <c r="O133" s="6" t="n">
        <f aca="false">IF(C133="롱",(J133-E133)/E133,(E133-J133)/E133)</f>
        <v>-0.00567265778945476</v>
      </c>
    </row>
    <row r="134" customFormat="false" ht="17.15" hidden="false" customHeight="false" outlineLevel="0" collapsed="false">
      <c r="A134" s="4" t="n">
        <v>1</v>
      </c>
      <c r="B134" s="4" t="s">
        <v>12</v>
      </c>
      <c r="C134" s="8" t="s">
        <v>72</v>
      </c>
      <c r="D134" s="21" t="n">
        <v>45274</v>
      </c>
      <c r="E134" s="22" t="n">
        <v>341.33</v>
      </c>
      <c r="F134" s="21" t="n">
        <v>45275</v>
      </c>
      <c r="G134" s="22" t="n">
        <v>343.43</v>
      </c>
      <c r="H134" s="22" t="n">
        <v>323.77</v>
      </c>
      <c r="I134" s="21" t="n">
        <v>45296</v>
      </c>
      <c r="J134" s="22" t="n">
        <v>347.22</v>
      </c>
      <c r="K134" s="21" t="n">
        <v>45299</v>
      </c>
      <c r="L134" s="22" t="n">
        <v>348.17</v>
      </c>
      <c r="M134" s="8" t="s">
        <v>73</v>
      </c>
      <c r="N134" s="4" t="n">
        <v>13</v>
      </c>
      <c r="O134" s="6" t="n">
        <f aca="false">IF(C134="롱",(J134-E134)/E134,(E134-J134)/E134)</f>
        <v>0.0172560278908975</v>
      </c>
    </row>
    <row r="135" customFormat="false" ht="17.15" hidden="false" customHeight="false" outlineLevel="0" collapsed="false">
      <c r="A135" s="4" t="n">
        <v>1</v>
      </c>
      <c r="B135" s="4" t="s">
        <v>12</v>
      </c>
      <c r="C135" s="8" t="s">
        <v>72</v>
      </c>
      <c r="D135" s="21" t="n">
        <v>45322</v>
      </c>
      <c r="E135" s="22" t="n">
        <v>336.24</v>
      </c>
      <c r="F135" s="21" t="n">
        <v>45323</v>
      </c>
      <c r="G135" s="22" t="n">
        <v>335.89</v>
      </c>
      <c r="H135" s="22" t="n">
        <v>313.82</v>
      </c>
      <c r="I135" s="21" t="n">
        <v>45349</v>
      </c>
      <c r="J135" s="22" t="n">
        <v>352.76</v>
      </c>
      <c r="K135" s="21" t="n">
        <v>45350</v>
      </c>
      <c r="L135" s="22" t="n">
        <v>353.06</v>
      </c>
      <c r="M135" s="8" t="s">
        <v>73</v>
      </c>
      <c r="N135" s="4" t="n">
        <v>17</v>
      </c>
      <c r="O135" s="6" t="n">
        <f aca="false">IF(C135="롱",(J135-E135)/E135,(E135-J135)/E135)</f>
        <v>0.0491315726861765</v>
      </c>
    </row>
    <row r="136" customFormat="false" ht="17.15" hidden="false" customHeight="false" outlineLevel="0" collapsed="false">
      <c r="A136" s="4" t="n">
        <v>1</v>
      </c>
      <c r="B136" s="4" t="s">
        <v>12</v>
      </c>
      <c r="C136" s="8" t="s">
        <v>72</v>
      </c>
      <c r="D136" s="21" t="n">
        <v>45365</v>
      </c>
      <c r="E136" s="22" t="n">
        <v>366.68</v>
      </c>
      <c r="F136" s="21" t="n">
        <v>45366</v>
      </c>
      <c r="G136" s="22" t="n">
        <v>364.12</v>
      </c>
      <c r="H136" s="22" t="n">
        <v>344.08</v>
      </c>
      <c r="I136" s="21" t="n">
        <v>45366</v>
      </c>
      <c r="J136" s="22" t="n">
        <v>359.39</v>
      </c>
      <c r="K136" s="21" t="n">
        <v>45369</v>
      </c>
      <c r="L136" s="22" t="n">
        <v>360.74</v>
      </c>
      <c r="M136" s="8" t="s">
        <v>73</v>
      </c>
      <c r="N136" s="4" t="n">
        <v>1</v>
      </c>
      <c r="O136" s="6" t="n">
        <f aca="false">IF(C136="롱",(J136-E136)/E136,(E136-J136)/E136)</f>
        <v>-0.0198810952329007</v>
      </c>
    </row>
    <row r="137" customFormat="false" ht="17.15" hidden="false" customHeight="false" outlineLevel="0" collapsed="false">
      <c r="A137" s="4" t="n">
        <v>1</v>
      </c>
      <c r="B137" s="4" t="s">
        <v>12</v>
      </c>
      <c r="C137" s="8" t="s">
        <v>72</v>
      </c>
      <c r="D137" s="21" t="n">
        <v>45372</v>
      </c>
      <c r="E137" s="22" t="n">
        <v>373.66</v>
      </c>
      <c r="F137" s="21" t="n">
        <v>45373</v>
      </c>
      <c r="G137" s="22" t="n">
        <v>373.27</v>
      </c>
      <c r="H137" s="22" t="n">
        <v>349.02</v>
      </c>
      <c r="I137" s="21" t="n">
        <v>45385</v>
      </c>
      <c r="J137" s="22" t="n">
        <v>369.72</v>
      </c>
      <c r="K137" s="21" t="n">
        <v>45386</v>
      </c>
      <c r="L137" s="22" t="n">
        <v>374.45</v>
      </c>
      <c r="M137" s="8" t="s">
        <v>73</v>
      </c>
      <c r="N137" s="4" t="n">
        <v>9</v>
      </c>
      <c r="O137" s="6" t="n">
        <f aca="false">IF(C137="롱",(J137-E137)/E137,(E137-J137)/E137)</f>
        <v>-0.0105443451265857</v>
      </c>
    </row>
    <row r="138" customFormat="false" ht="17.15" hidden="false" customHeight="false" outlineLevel="0" collapsed="false">
      <c r="A138" s="4" t="n">
        <v>1</v>
      </c>
      <c r="B138" s="4" t="s">
        <v>12</v>
      </c>
      <c r="C138" s="8" t="s">
        <v>72</v>
      </c>
      <c r="D138" s="21" t="n">
        <v>45413</v>
      </c>
      <c r="E138" s="22" t="n">
        <v>365.13</v>
      </c>
      <c r="F138" s="21" t="n">
        <v>45414</v>
      </c>
      <c r="G138" s="22" t="n">
        <v>363.37</v>
      </c>
      <c r="H138" s="22" t="n">
        <v>334.72</v>
      </c>
      <c r="I138" s="21" t="n">
        <v>45436</v>
      </c>
      <c r="J138" s="22" t="n">
        <v>366.08</v>
      </c>
      <c r="K138" s="21" t="n">
        <v>45439</v>
      </c>
      <c r="L138" s="22" t="n">
        <v>366.98</v>
      </c>
      <c r="M138" s="8" t="s">
        <v>73</v>
      </c>
      <c r="N138" s="4" t="n">
        <v>15</v>
      </c>
      <c r="O138" s="6" t="n">
        <f aca="false">IF(C138="롱",(J138-E138)/E138,(E138-J138)/E138)</f>
        <v>0.00260181305288524</v>
      </c>
    </row>
    <row r="139" customFormat="false" ht="17.15" hidden="false" customHeight="false" outlineLevel="0" collapsed="false">
      <c r="A139" s="4" t="n">
        <v>1</v>
      </c>
      <c r="B139" s="4" t="s">
        <v>12</v>
      </c>
      <c r="C139" s="8" t="s">
        <v>72</v>
      </c>
      <c r="D139" s="21" t="n">
        <v>45455</v>
      </c>
      <c r="E139" s="22" t="n">
        <v>371.12</v>
      </c>
      <c r="F139" s="21" t="n">
        <v>45456</v>
      </c>
      <c r="G139" s="22" t="n">
        <v>376.93</v>
      </c>
      <c r="H139" s="22" t="n">
        <v>346.62</v>
      </c>
      <c r="I139" s="21" t="n">
        <v>45490</v>
      </c>
      <c r="J139" s="22" t="n">
        <v>391.55</v>
      </c>
      <c r="K139" s="21" t="n">
        <v>45491</v>
      </c>
      <c r="L139" s="22" t="n">
        <v>385.24</v>
      </c>
      <c r="M139" s="8" t="s">
        <v>73</v>
      </c>
      <c r="N139" s="4" t="n">
        <v>25</v>
      </c>
      <c r="O139" s="6" t="n">
        <f aca="false">IF(C139="롱",(J139-E139)/E139,(E139-J139)/E139)</f>
        <v>0.0550495796507868</v>
      </c>
    </row>
    <row r="140" customFormat="false" ht="17.15" hidden="false" customHeight="false" outlineLevel="0" collapsed="false">
      <c r="A140" s="4" t="n">
        <v>1</v>
      </c>
      <c r="B140" s="4" t="s">
        <v>12</v>
      </c>
      <c r="C140" s="8" t="s">
        <v>72</v>
      </c>
      <c r="D140" s="21" t="n">
        <v>45734</v>
      </c>
      <c r="E140" s="22" t="n">
        <v>347.84</v>
      </c>
      <c r="F140" s="21" t="n">
        <v>45735</v>
      </c>
      <c r="G140" s="22" t="n">
        <v>347.9</v>
      </c>
      <c r="H140" s="22" t="n">
        <v>321.26</v>
      </c>
      <c r="I140" s="21" t="n">
        <v>45744</v>
      </c>
      <c r="J140" s="22" t="n">
        <v>342.96</v>
      </c>
      <c r="K140" s="21" t="n">
        <v>45747</v>
      </c>
      <c r="L140" s="22" t="n">
        <v>336.95</v>
      </c>
      <c r="M140" s="8" t="s">
        <v>73</v>
      </c>
      <c r="N140" s="4" t="n">
        <v>8</v>
      </c>
      <c r="O140" s="6" t="n">
        <f aca="false">IF(C140="롱",(J140-E140)/E140,(E140-J140)/E140)</f>
        <v>-0.0140294388224471</v>
      </c>
    </row>
    <row r="141" customFormat="false" ht="17.15" hidden="false" customHeight="false" outlineLevel="0" collapsed="false">
      <c r="A141" s="4" t="n">
        <v>1</v>
      </c>
      <c r="B141" s="4" t="s">
        <v>12</v>
      </c>
      <c r="C141" s="8" t="s">
        <v>72</v>
      </c>
      <c r="D141" s="21" t="n">
        <v>45765</v>
      </c>
      <c r="E141" s="22" t="n">
        <v>328.35</v>
      </c>
      <c r="F141" s="21" t="n">
        <v>45768</v>
      </c>
      <c r="G141" s="22" t="n">
        <v>328.76</v>
      </c>
      <c r="H141" s="22" t="n">
        <v>295.52</v>
      </c>
      <c r="I141" s="21" t="n">
        <v>45840</v>
      </c>
      <c r="J141" s="22" t="n">
        <v>414.43</v>
      </c>
      <c r="K141" s="21" t="n">
        <v>45841</v>
      </c>
      <c r="L141" s="22" t="n">
        <v>418.31</v>
      </c>
      <c r="M141" s="8" t="s">
        <v>73</v>
      </c>
      <c r="N141" s="4" t="n">
        <v>48</v>
      </c>
      <c r="O141" s="6" t="n">
        <f aca="false">IF(C141="롱",(J141-E141)/E141,(E141-J141)/E141)</f>
        <v>0.262159281254759</v>
      </c>
    </row>
    <row r="142" customFormat="false" ht="17.15" hidden="false" customHeight="false" outlineLevel="0" collapsed="false">
      <c r="A142" s="4" t="n">
        <v>1</v>
      </c>
      <c r="B142" s="4" t="s">
        <v>12</v>
      </c>
      <c r="C142" s="8" t="s">
        <v>72</v>
      </c>
      <c r="D142" s="21" t="n">
        <v>45908</v>
      </c>
      <c r="E142" s="22" t="n">
        <v>434.85</v>
      </c>
      <c r="F142" s="21" t="n">
        <v>45909</v>
      </c>
      <c r="G142" s="22" t="n">
        <v>436.17</v>
      </c>
      <c r="H142" s="22" t="n">
        <v>408.98</v>
      </c>
      <c r="I142" s="21" t="n">
        <v>45930</v>
      </c>
      <c r="J142" s="22" t="n">
        <v>474.03</v>
      </c>
      <c r="K142" s="21" t="n">
        <v>45931</v>
      </c>
      <c r="L142" s="22" t="n">
        <v>477.16</v>
      </c>
      <c r="M142" s="8" t="s">
        <v>73</v>
      </c>
      <c r="N142" s="4" t="n">
        <v>16</v>
      </c>
      <c r="O142" s="6" t="n">
        <f aca="false">IF(C142="롱",(J142-E142)/E142,(E142-J142)/E142)</f>
        <v>0.0901000344946532</v>
      </c>
    </row>
    <row r="143" customFormat="false" ht="17.15" hidden="false" customHeight="false" outlineLevel="0" collapsed="false">
      <c r="A143" s="4" t="n">
        <v>1</v>
      </c>
      <c r="B143" s="4" t="s">
        <v>12</v>
      </c>
      <c r="C143" s="8" t="s">
        <v>72</v>
      </c>
      <c r="D143" s="21" t="n">
        <v>45932</v>
      </c>
      <c r="E143" s="22" t="n">
        <v>493.41</v>
      </c>
      <c r="F143" s="21" t="n">
        <v>45936</v>
      </c>
      <c r="G143" s="22" t="n">
        <v>491.25</v>
      </c>
      <c r="H143" s="22" t="n">
        <v>456.71</v>
      </c>
      <c r="I143" s="21" t="n">
        <v>45967</v>
      </c>
      <c r="J143" s="22" t="n">
        <v>568.38</v>
      </c>
      <c r="K143" s="21" t="n">
        <v>45968</v>
      </c>
      <c r="L143" s="22" t="n">
        <v>558.74</v>
      </c>
      <c r="M143" s="8" t="s">
        <v>73</v>
      </c>
      <c r="N143" s="4" t="n">
        <v>21</v>
      </c>
      <c r="O143" s="6" t="n">
        <f aca="false">IF(C143="롱",(J143-E143)/E143,(E143-J143)/E143)</f>
        <v>0.151942603514319</v>
      </c>
    </row>
    <row r="144" customFormat="false" ht="17.15" hidden="false" customHeight="false" outlineLevel="0" collapsed="false">
      <c r="A144" s="4" t="n">
        <v>1</v>
      </c>
      <c r="B144" s="4" t="s">
        <v>12</v>
      </c>
      <c r="C144" s="8" t="s">
        <v>72</v>
      </c>
      <c r="D144" s="21" t="n">
        <v>45996</v>
      </c>
      <c r="E144" s="22" t="n">
        <v>580.81</v>
      </c>
      <c r="F144" s="21" t="n">
        <v>45999</v>
      </c>
      <c r="G144" s="22" t="n">
        <v>581.89</v>
      </c>
      <c r="H144" s="22" t="n">
        <v>522.73</v>
      </c>
      <c r="I144" s="21" t="n">
        <v>46007</v>
      </c>
      <c r="J144" s="22" t="n">
        <v>561.52</v>
      </c>
      <c r="K144" s="21" t="n">
        <v>46008</v>
      </c>
      <c r="L144" s="22" t="n">
        <v>564.59</v>
      </c>
      <c r="M144" s="8" t="s">
        <v>73</v>
      </c>
      <c r="N144" s="4" t="n">
        <v>7</v>
      </c>
      <c r="O144" s="6" t="n">
        <f aca="false">IF(C144="롱",(J144-E144)/E144,(E144-J144)/E144)</f>
        <v>-0.0332122380813002</v>
      </c>
    </row>
    <row r="145" customFormat="false" ht="17.15" hidden="false" customHeight="false" outlineLevel="0" collapsed="false">
      <c r="A145" s="4" t="n">
        <v>1</v>
      </c>
      <c r="B145" s="4" t="s">
        <v>12</v>
      </c>
      <c r="C145" s="8" t="s">
        <v>72</v>
      </c>
      <c r="D145" s="21" t="n">
        <v>46017</v>
      </c>
      <c r="E145" s="22" t="n">
        <v>590.08</v>
      </c>
      <c r="F145" s="21" t="n">
        <v>46020</v>
      </c>
      <c r="G145" s="22" t="n">
        <v>594.65</v>
      </c>
      <c r="H145" s="22" t="n">
        <v>536.8</v>
      </c>
      <c r="I145" s="21" t="n">
        <v>46059</v>
      </c>
      <c r="J145" s="22" t="n">
        <v>748.1</v>
      </c>
      <c r="K145" s="21" t="n">
        <v>46062</v>
      </c>
      <c r="L145" s="22" t="n">
        <v>782.04</v>
      </c>
      <c r="M145" s="8" t="s">
        <v>73</v>
      </c>
      <c r="N145" s="4" t="n">
        <v>28</v>
      </c>
      <c r="O145" s="6" t="n">
        <f aca="false">IF(C145="롱",(J145-E145)/E145,(E145-J145)/E145)</f>
        <v>0.267794197396963</v>
      </c>
    </row>
    <row r="146" customFormat="false" ht="17.15" hidden="false" customHeight="false" outlineLevel="0" collapsed="false">
      <c r="A146" s="4" t="n">
        <v>1</v>
      </c>
      <c r="B146" s="4" t="s">
        <v>12</v>
      </c>
      <c r="C146" s="8" t="s">
        <v>72</v>
      </c>
      <c r="D146" s="21" t="n">
        <v>46065</v>
      </c>
      <c r="E146" s="22" t="n">
        <v>816.28</v>
      </c>
      <c r="F146" s="21" t="n">
        <v>46066</v>
      </c>
      <c r="G146" s="22" t="n">
        <v>815.97</v>
      </c>
      <c r="H146" s="22" t="n">
        <v>734.65</v>
      </c>
      <c r="I146" s="21" t="n">
        <v>46085</v>
      </c>
      <c r="J146" s="22" t="n">
        <v>756.79</v>
      </c>
      <c r="K146" s="21" t="n">
        <v>46086</v>
      </c>
      <c r="L146" s="22" t="n">
        <v>775.83</v>
      </c>
      <c r="M146" s="8" t="s">
        <v>73</v>
      </c>
      <c r="N146" s="4" t="n">
        <v>10</v>
      </c>
      <c r="O146" s="6" t="n">
        <f aca="false">IF(C146="롱",(J146-E146)/E146,(E146-J146)/E146)</f>
        <v>-0.0728794041260352</v>
      </c>
    </row>
    <row r="147" customFormat="false" ht="17.15" hidden="false" customHeight="false" outlineLevel="0" collapsed="false">
      <c r="A147" s="4" t="n">
        <v>1</v>
      </c>
      <c r="B147" s="4" t="s">
        <v>12</v>
      </c>
      <c r="C147" s="8" t="s">
        <v>72</v>
      </c>
      <c r="D147" s="21" t="n">
        <v>46120</v>
      </c>
      <c r="E147" s="22" t="n">
        <v>882.81</v>
      </c>
      <c r="F147" s="21" t="n">
        <v>46121</v>
      </c>
      <c r="G147" s="22" t="n">
        <v>874.49</v>
      </c>
      <c r="H147" s="22" t="n">
        <v>794.53</v>
      </c>
      <c r="I147" s="21" t="n">
        <v>46162</v>
      </c>
      <c r="J147" s="22" t="n">
        <v>1125.51</v>
      </c>
      <c r="K147" s="21" t="n">
        <v>46163</v>
      </c>
      <c r="L147" s="22" t="n">
        <v>1171.1</v>
      </c>
      <c r="M147" s="8" t="s">
        <v>73</v>
      </c>
      <c r="N147" s="4" t="n">
        <v>28</v>
      </c>
      <c r="O147" s="6" t="n">
        <f aca="false">IF(C147="롱",(J147-E147)/E147,(E147-J147)/E147)</f>
        <v>0.274917592686988</v>
      </c>
    </row>
    <row r="148" customFormat="false" ht="17.15" hidden="false" customHeight="false" outlineLevel="0" collapsed="false">
      <c r="A148" s="4" t="n">
        <v>1</v>
      </c>
      <c r="B148" s="4" t="s">
        <v>12</v>
      </c>
      <c r="C148" s="8" t="s">
        <v>72</v>
      </c>
      <c r="D148" s="21" t="n">
        <v>46168</v>
      </c>
      <c r="E148" s="22" t="n">
        <v>1260.53</v>
      </c>
      <c r="F148" s="21" t="n">
        <v>46169</v>
      </c>
      <c r="G148" s="22" t="n">
        <v>1296.31</v>
      </c>
      <c r="H148" s="22" t="n">
        <v>1134.48</v>
      </c>
      <c r="I148" s="21" t="n">
        <v>46181</v>
      </c>
      <c r="J148" s="22" t="n">
        <v>1186.54</v>
      </c>
      <c r="K148" s="21" t="n">
        <v>46182</v>
      </c>
      <c r="L148" s="22" t="n">
        <v>1221.75</v>
      </c>
      <c r="M148" s="8" t="s">
        <v>73</v>
      </c>
      <c r="N148" s="4" t="n">
        <v>8</v>
      </c>
      <c r="O148" s="6" t="n">
        <f aca="false">IF(C148="롱",(J148-E148)/E148,(E148-J148)/E148)</f>
        <v>-0.0586975319905119</v>
      </c>
    </row>
    <row r="149" customFormat="false" ht="17.15" hidden="false" customHeight="false" outlineLevel="0" collapsed="false">
      <c r="A149" s="4" t="n">
        <v>1</v>
      </c>
      <c r="B149" s="4" t="s">
        <v>12</v>
      </c>
      <c r="C149" s="8" t="s">
        <v>72</v>
      </c>
      <c r="D149" s="21" t="n">
        <v>46191</v>
      </c>
      <c r="E149" s="22" t="n">
        <v>1459.23</v>
      </c>
      <c r="F149" s="21" t="n">
        <v>46192</v>
      </c>
      <c r="G149" s="22" t="n">
        <v>1499.31</v>
      </c>
      <c r="H149" s="22" t="n">
        <v>1313.31</v>
      </c>
      <c r="I149" s="21" t="n">
        <v>46196</v>
      </c>
      <c r="J149" s="22" t="n">
        <v>1321.7</v>
      </c>
      <c r="K149" s="21" t="n">
        <v>46197</v>
      </c>
      <c r="L149" s="22" t="n">
        <v>1348.99</v>
      </c>
      <c r="M149" s="8" t="s">
        <v>73</v>
      </c>
      <c r="N149" s="4" t="n">
        <v>3</v>
      </c>
      <c r="O149" s="6" t="n">
        <f aca="false">IF(C149="롱",(J149-E149)/E149,(E149-J149)/E149)</f>
        <v>-0.0942483364514161</v>
      </c>
    </row>
    <row r="150" customFormat="false" ht="17.15" hidden="false" customHeight="false" outlineLevel="0" collapsed="false">
      <c r="A150" s="4" t="n">
        <v>1</v>
      </c>
      <c r="B150" s="4" t="s">
        <v>12</v>
      </c>
      <c r="C150" s="8" t="s">
        <v>72</v>
      </c>
      <c r="D150" s="21" t="n">
        <v>46239</v>
      </c>
      <c r="E150" s="22" t="n">
        <v>1038.59</v>
      </c>
      <c r="F150" s="21" t="n">
        <v>46240</v>
      </c>
      <c r="G150" s="22" t="n">
        <v>1016.93</v>
      </c>
      <c r="H150" s="22" t="n">
        <v>934.73</v>
      </c>
      <c r="I150" s="21" t="n">
        <v>46281</v>
      </c>
      <c r="J150" s="22" t="n">
        <v>1060.05</v>
      </c>
      <c r="K150" s="21" t="n">
        <v>46282</v>
      </c>
      <c r="L150" s="22" t="n">
        <v>1070.27</v>
      </c>
      <c r="M150" s="8" t="s">
        <v>73</v>
      </c>
      <c r="N150" s="4" t="n">
        <v>29</v>
      </c>
      <c r="O150" s="6" t="n">
        <f aca="false">IF(C150="롱",(J150-E150)/E150,(E150-J150)/E150)</f>
        <v>0.0206626291414322</v>
      </c>
    </row>
  </sheetData>
  <autoFilter ref="A4:O15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10" min="9" style="0" width="14"/>
    <col collapsed="false" customWidth="true" hidden="false" outlineLevel="0" max="11" min="11" style="0" width="16"/>
    <col collapsed="false" customWidth="true" hidden="false" outlineLevel="0" max="12" min="12" style="0" width="12"/>
    <col collapsed="false" customWidth="true" hidden="false" outlineLevel="0" max="13" min="13" style="0" width="16"/>
    <col collapsed="false" customWidth="true" hidden="false" outlineLevel="0" max="14" min="14" style="0" width="7"/>
    <col collapsed="false" customWidth="true" hidden="false" outlineLevel="0" max="15" min="15" style="0" width="16"/>
  </cols>
  <sheetData>
    <row r="1" customFormat="false" ht="19.4" hidden="false" customHeight="false" outlineLevel="0" collapsed="false">
      <c r="A1" s="1" t="s">
        <v>79</v>
      </c>
    </row>
    <row r="2" customFormat="false" ht="15" hidden="false" customHeight="false" outlineLevel="0" collapsed="false">
      <c r="A2" s="2" t="s">
        <v>58</v>
      </c>
    </row>
    <row r="4" customFormat="false" ht="31.5" hidden="false" customHeight="true" outlineLevel="0" collapsed="false">
      <c r="A4" s="19" t="s">
        <v>2</v>
      </c>
      <c r="B4" s="19" t="s">
        <v>3</v>
      </c>
      <c r="C4" s="19" t="s">
        <v>59</v>
      </c>
      <c r="D4" s="19" t="s">
        <v>60</v>
      </c>
      <c r="E4" s="19" t="s">
        <v>61</v>
      </c>
      <c r="F4" s="20" t="s">
        <v>62</v>
      </c>
      <c r="G4" s="19" t="s">
        <v>63</v>
      </c>
      <c r="H4" s="19" t="s">
        <v>64</v>
      </c>
      <c r="I4" s="19" t="s">
        <v>65</v>
      </c>
      <c r="J4" s="19" t="s">
        <v>66</v>
      </c>
      <c r="K4" s="20" t="s">
        <v>67</v>
      </c>
      <c r="L4" s="19" t="s">
        <v>68</v>
      </c>
      <c r="M4" s="19" t="s">
        <v>69</v>
      </c>
      <c r="N4" s="19" t="s">
        <v>70</v>
      </c>
      <c r="O4" s="19" t="s">
        <v>71</v>
      </c>
    </row>
    <row r="5" customFormat="false" ht="17.15" hidden="false" customHeight="false" outlineLevel="0" collapsed="false">
      <c r="A5" s="4" t="n">
        <v>2</v>
      </c>
      <c r="B5" s="4" t="s">
        <v>14</v>
      </c>
      <c r="C5" s="8" t="s">
        <v>72</v>
      </c>
      <c r="D5" s="21" t="n">
        <v>37426</v>
      </c>
      <c r="E5" s="22" t="n">
        <v>97.43</v>
      </c>
      <c r="F5" s="21" t="n">
        <v>37427</v>
      </c>
      <c r="G5" s="22" t="n">
        <v>96.63</v>
      </c>
      <c r="H5" s="22" t="n">
        <v>87.69</v>
      </c>
      <c r="I5" s="21" t="n">
        <v>37442</v>
      </c>
      <c r="J5" s="22" t="n">
        <v>99.34</v>
      </c>
      <c r="K5" s="21" t="n">
        <v>37445</v>
      </c>
      <c r="L5" s="22" t="n">
        <v>101.78</v>
      </c>
      <c r="M5" s="8" t="s">
        <v>73</v>
      </c>
      <c r="N5" s="4" t="n">
        <v>11</v>
      </c>
      <c r="O5" s="6" t="n">
        <f aca="false">IF(C5="롱",(J5-E5)/E5,(E5-J5)/E5)</f>
        <v>0.0196038181258339</v>
      </c>
    </row>
    <row r="6" customFormat="false" ht="17.15" hidden="false" customHeight="false" outlineLevel="0" collapsed="false">
      <c r="A6" s="4" t="n">
        <v>2</v>
      </c>
      <c r="B6" s="4" t="s">
        <v>14</v>
      </c>
      <c r="C6" s="8" t="s">
        <v>72</v>
      </c>
      <c r="D6" s="21" t="n">
        <v>37614</v>
      </c>
      <c r="E6" s="22" t="n">
        <v>86.31</v>
      </c>
      <c r="F6" s="21" t="n">
        <v>37616</v>
      </c>
      <c r="G6" s="22" t="n">
        <v>85.92</v>
      </c>
      <c r="H6" s="22" t="n">
        <v>77.68</v>
      </c>
      <c r="I6" s="21" t="n">
        <v>37645</v>
      </c>
      <c r="J6" s="22" t="n">
        <v>77.68</v>
      </c>
      <c r="K6" s="21" t="n">
        <v>37648</v>
      </c>
      <c r="L6" s="22" t="n">
        <v>76.07</v>
      </c>
      <c r="M6" s="8" t="s">
        <v>75</v>
      </c>
      <c r="N6" s="4" t="n">
        <v>20</v>
      </c>
      <c r="O6" s="6" t="n">
        <f aca="false">IF(C6="롱",(J6-E6)/E6,(E6-J6)/E6)</f>
        <v>-0.0999884138570269</v>
      </c>
    </row>
    <row r="7" customFormat="false" ht="17.15" hidden="false" customHeight="false" outlineLevel="0" collapsed="false">
      <c r="A7" s="4" t="n">
        <v>2</v>
      </c>
      <c r="B7" s="4" t="s">
        <v>14</v>
      </c>
      <c r="C7" s="8" t="s">
        <v>72</v>
      </c>
      <c r="D7" s="21" t="n">
        <v>37886</v>
      </c>
      <c r="E7" s="22" t="n">
        <v>91.78</v>
      </c>
      <c r="F7" s="21" t="n">
        <v>37887</v>
      </c>
      <c r="G7" s="22" t="n">
        <v>91.7</v>
      </c>
      <c r="H7" s="22" t="n">
        <v>83.66</v>
      </c>
      <c r="I7" s="21" t="n">
        <v>37903</v>
      </c>
      <c r="J7" s="22" t="n">
        <v>94.99</v>
      </c>
      <c r="K7" s="21" t="n">
        <v>37904</v>
      </c>
      <c r="L7" s="22" t="n">
        <v>94.81</v>
      </c>
      <c r="M7" s="8" t="s">
        <v>73</v>
      </c>
      <c r="N7" s="4" t="n">
        <v>12</v>
      </c>
      <c r="O7" s="6" t="n">
        <f aca="false">IF(C7="롱",(J7-E7)/E7,(E7-J7)/E7)</f>
        <v>0.0349749400740902</v>
      </c>
    </row>
    <row r="8" customFormat="false" ht="17.15" hidden="false" customHeight="false" outlineLevel="0" collapsed="false">
      <c r="A8" s="4" t="n">
        <v>2</v>
      </c>
      <c r="B8" s="4" t="s">
        <v>14</v>
      </c>
      <c r="C8" s="8" t="s">
        <v>72</v>
      </c>
      <c r="D8" s="21" t="n">
        <v>38058</v>
      </c>
      <c r="E8" s="22" t="n">
        <v>111.23</v>
      </c>
      <c r="F8" s="21" t="n">
        <v>38061</v>
      </c>
      <c r="G8" s="22" t="n">
        <v>112.23</v>
      </c>
      <c r="H8" s="22" t="n">
        <v>101.96</v>
      </c>
      <c r="I8" s="21" t="n">
        <v>38083</v>
      </c>
      <c r="J8" s="22" t="n">
        <v>119.57</v>
      </c>
      <c r="K8" s="21" t="n">
        <v>38084</v>
      </c>
      <c r="L8" s="22" t="n">
        <v>119.61</v>
      </c>
      <c r="M8" s="8" t="s">
        <v>73</v>
      </c>
      <c r="N8" s="4" t="n">
        <v>16</v>
      </c>
      <c r="O8" s="6" t="n">
        <f aca="false">IF(C8="롱",(J8-E8)/E8,(E8-J8)/E8)</f>
        <v>0.0749797716443405</v>
      </c>
    </row>
    <row r="9" customFormat="false" ht="17.15" hidden="false" customHeight="false" outlineLevel="0" collapsed="false">
      <c r="A9" s="4" t="n">
        <v>2</v>
      </c>
      <c r="B9" s="4" t="s">
        <v>14</v>
      </c>
      <c r="C9" s="8" t="s">
        <v>72</v>
      </c>
      <c r="D9" s="21" t="n">
        <v>38106</v>
      </c>
      <c r="E9" s="22" t="n">
        <v>114.01</v>
      </c>
      <c r="F9" s="21" t="n">
        <v>38107</v>
      </c>
      <c r="G9" s="22" t="n">
        <v>113.05</v>
      </c>
      <c r="H9" s="22" t="n">
        <v>103.48</v>
      </c>
      <c r="I9" s="21" t="n">
        <v>38117</v>
      </c>
      <c r="J9" s="22" t="n">
        <v>103.48</v>
      </c>
      <c r="K9" s="21" t="n">
        <v>38118</v>
      </c>
      <c r="L9" s="22" t="n">
        <v>102.85</v>
      </c>
      <c r="M9" s="8" t="s">
        <v>75</v>
      </c>
      <c r="N9" s="4" t="n">
        <v>6</v>
      </c>
      <c r="O9" s="6" t="n">
        <f aca="false">IF(C9="롱",(J9-E9)/E9,(E9-J9)/E9)</f>
        <v>-0.0923603192702395</v>
      </c>
    </row>
    <row r="10" customFormat="false" ht="17.15" hidden="false" customHeight="false" outlineLevel="0" collapsed="false">
      <c r="A10" s="4" t="n">
        <v>2</v>
      </c>
      <c r="B10" s="4" t="s">
        <v>14</v>
      </c>
      <c r="C10" s="8" t="s">
        <v>72</v>
      </c>
      <c r="D10" s="21" t="n">
        <v>38121</v>
      </c>
      <c r="E10" s="22" t="n">
        <v>99.11</v>
      </c>
      <c r="F10" s="21" t="n">
        <v>38124</v>
      </c>
      <c r="G10" s="22" t="n">
        <v>98.91</v>
      </c>
      <c r="H10" s="22" t="n">
        <v>89.2</v>
      </c>
      <c r="I10" s="21" t="n">
        <v>38135</v>
      </c>
      <c r="J10" s="22" t="n">
        <v>105.82</v>
      </c>
      <c r="K10" s="21" t="n">
        <v>38138</v>
      </c>
      <c r="L10" s="22" t="n">
        <v>105.24</v>
      </c>
      <c r="M10" s="8" t="s">
        <v>73</v>
      </c>
      <c r="N10" s="4" t="n">
        <v>9</v>
      </c>
      <c r="O10" s="6" t="n">
        <f aca="false">IF(C10="롱",(J10-E10)/E10,(E10-J10)/E10)</f>
        <v>0.0677025527192008</v>
      </c>
    </row>
    <row r="11" customFormat="false" ht="17.15" hidden="false" customHeight="false" outlineLevel="0" collapsed="false">
      <c r="A11" s="4" t="n">
        <v>2</v>
      </c>
      <c r="B11" s="4" t="s">
        <v>14</v>
      </c>
      <c r="C11" s="8" t="s">
        <v>72</v>
      </c>
      <c r="D11" s="21" t="n">
        <v>38281</v>
      </c>
      <c r="E11" s="22" t="n">
        <v>105.78</v>
      </c>
      <c r="F11" s="21" t="n">
        <v>38282</v>
      </c>
      <c r="G11" s="22" t="n">
        <v>106.25</v>
      </c>
      <c r="H11" s="22" t="n">
        <v>95.2</v>
      </c>
      <c r="I11" s="21" t="n">
        <v>38294</v>
      </c>
      <c r="J11" s="22" t="n">
        <v>111.58</v>
      </c>
      <c r="K11" s="21" t="n">
        <v>38295</v>
      </c>
      <c r="L11" s="22" t="n">
        <v>111.41</v>
      </c>
      <c r="M11" s="8" t="s">
        <v>73</v>
      </c>
      <c r="N11" s="4" t="n">
        <v>9</v>
      </c>
      <c r="O11" s="6" t="n">
        <f aca="false">IF(C11="롱",(J11-E11)/E11,(E11-J11)/E11)</f>
        <v>0.0548307808659482</v>
      </c>
    </row>
    <row r="12" customFormat="false" ht="17.15" hidden="false" customHeight="false" outlineLevel="0" collapsed="false">
      <c r="A12" s="4" t="n">
        <v>2</v>
      </c>
      <c r="B12" s="4" t="s">
        <v>14</v>
      </c>
      <c r="C12" s="8" t="s">
        <v>72</v>
      </c>
      <c r="D12" s="21" t="n">
        <v>38331</v>
      </c>
      <c r="E12" s="22" t="n">
        <v>108.57</v>
      </c>
      <c r="F12" s="21" t="n">
        <v>38334</v>
      </c>
      <c r="G12" s="22" t="n">
        <v>108.09</v>
      </c>
      <c r="H12" s="22" t="n">
        <v>97.89</v>
      </c>
      <c r="I12" s="21" t="n">
        <v>38342</v>
      </c>
      <c r="J12" s="22" t="n">
        <v>113.51</v>
      </c>
      <c r="K12" s="21" t="n">
        <v>38343</v>
      </c>
      <c r="L12" s="22" t="n">
        <v>114.28</v>
      </c>
      <c r="M12" s="8" t="s">
        <v>73</v>
      </c>
      <c r="N12" s="4" t="n">
        <v>7</v>
      </c>
      <c r="O12" s="6" t="n">
        <f aca="false">IF(C12="롱",(J12-E12)/E12,(E12-J12)/E12)</f>
        <v>0.0455005986920882</v>
      </c>
    </row>
    <row r="13" customFormat="false" ht="17.15" hidden="false" customHeight="false" outlineLevel="0" collapsed="false">
      <c r="A13" s="4" t="n">
        <v>2</v>
      </c>
      <c r="B13" s="4" t="s">
        <v>14</v>
      </c>
      <c r="C13" s="8" t="s">
        <v>72</v>
      </c>
      <c r="D13" s="21" t="n">
        <v>38435</v>
      </c>
      <c r="E13" s="22" t="n">
        <v>123.8</v>
      </c>
      <c r="F13" s="21" t="n">
        <v>38436</v>
      </c>
      <c r="G13" s="22" t="n">
        <v>124.38</v>
      </c>
      <c r="H13" s="22" t="n">
        <v>112.85</v>
      </c>
      <c r="I13" s="21" t="n">
        <v>38448</v>
      </c>
      <c r="J13" s="22" t="n">
        <v>127.85</v>
      </c>
      <c r="K13" s="21" t="n">
        <v>38449</v>
      </c>
      <c r="L13" s="22" t="n">
        <v>128.23</v>
      </c>
      <c r="M13" s="8" t="s">
        <v>73</v>
      </c>
      <c r="N13" s="4" t="n">
        <v>8</v>
      </c>
      <c r="O13" s="6" t="n">
        <f aca="false">IF(C13="롱",(J13-E13)/E13,(E13-J13)/E13)</f>
        <v>0.0327140549273021</v>
      </c>
    </row>
    <row r="14" customFormat="false" ht="17.15" hidden="false" customHeight="false" outlineLevel="0" collapsed="false">
      <c r="A14" s="4" t="n">
        <v>2</v>
      </c>
      <c r="B14" s="4" t="s">
        <v>14</v>
      </c>
      <c r="C14" s="8" t="s">
        <v>72</v>
      </c>
      <c r="D14" s="21" t="n">
        <v>38457</v>
      </c>
      <c r="E14" s="22" t="n">
        <v>122.41</v>
      </c>
      <c r="F14" s="21" t="n">
        <v>38460</v>
      </c>
      <c r="G14" s="22" t="n">
        <v>120.27</v>
      </c>
      <c r="H14" s="22" t="n">
        <v>113.06</v>
      </c>
      <c r="I14" s="21" t="n">
        <v>38491</v>
      </c>
      <c r="J14" s="22" t="n">
        <v>123.04</v>
      </c>
      <c r="K14" s="21" t="n">
        <v>38492</v>
      </c>
      <c r="L14" s="22" t="n">
        <v>123.35</v>
      </c>
      <c r="M14" s="8" t="s">
        <v>73</v>
      </c>
      <c r="N14" s="4" t="n">
        <v>23</v>
      </c>
      <c r="O14" s="6" t="n">
        <f aca="false">IF(C14="롱",(J14-E14)/E14,(E14-J14)/E14)</f>
        <v>0.0051466383465404</v>
      </c>
    </row>
    <row r="15" customFormat="false" ht="17.15" hidden="false" customHeight="false" outlineLevel="0" collapsed="false">
      <c r="A15" s="4" t="n">
        <v>2</v>
      </c>
      <c r="B15" s="4" t="s">
        <v>14</v>
      </c>
      <c r="C15" s="8" t="s">
        <v>72</v>
      </c>
      <c r="D15" s="21" t="n">
        <v>38593</v>
      </c>
      <c r="E15" s="22" t="n">
        <v>137.42</v>
      </c>
      <c r="F15" s="21" t="n">
        <v>38594</v>
      </c>
      <c r="G15" s="22" t="n">
        <v>138.93</v>
      </c>
      <c r="H15" s="22" t="n">
        <v>125.34</v>
      </c>
      <c r="I15" s="21" t="n">
        <v>38601</v>
      </c>
      <c r="J15" s="22" t="n">
        <v>145.21</v>
      </c>
      <c r="K15" s="21" t="n">
        <v>38602</v>
      </c>
      <c r="L15" s="22" t="n">
        <v>147.04</v>
      </c>
      <c r="M15" s="8" t="s">
        <v>73</v>
      </c>
      <c r="N15" s="4" t="n">
        <v>6</v>
      </c>
      <c r="O15" s="6" t="n">
        <f aca="false">IF(C15="롱",(J15-E15)/E15,(E15-J15)/E15)</f>
        <v>0.0566875272886044</v>
      </c>
    </row>
    <row r="16" customFormat="false" ht="17.15" hidden="false" customHeight="false" outlineLevel="0" collapsed="false">
      <c r="A16" s="4" t="n">
        <v>2</v>
      </c>
      <c r="B16" s="4" t="s">
        <v>14</v>
      </c>
      <c r="C16" s="8" t="s">
        <v>72</v>
      </c>
      <c r="D16" s="21" t="n">
        <v>38644</v>
      </c>
      <c r="E16" s="22" t="n">
        <v>148.11</v>
      </c>
      <c r="F16" s="21" t="n">
        <v>38645</v>
      </c>
      <c r="G16" s="22" t="n">
        <v>150.39</v>
      </c>
      <c r="H16" s="22" t="n">
        <v>133.3</v>
      </c>
      <c r="I16" s="21" t="n">
        <v>38658</v>
      </c>
      <c r="J16" s="22" t="n">
        <v>155.6</v>
      </c>
      <c r="K16" s="21" t="n">
        <v>38659</v>
      </c>
      <c r="L16" s="22" t="n">
        <v>157.21</v>
      </c>
      <c r="M16" s="8" t="s">
        <v>73</v>
      </c>
      <c r="N16" s="4" t="n">
        <v>10</v>
      </c>
      <c r="O16" s="6" t="n">
        <f aca="false">IF(C16="롱",(J16-E16)/E16,(E16-J16)/E16)</f>
        <v>0.0505705219093915</v>
      </c>
    </row>
    <row r="17" customFormat="false" ht="17.15" hidden="false" customHeight="false" outlineLevel="0" collapsed="false">
      <c r="A17" s="4" t="n">
        <v>2</v>
      </c>
      <c r="B17" s="4" t="s">
        <v>14</v>
      </c>
      <c r="C17" s="8" t="s">
        <v>72</v>
      </c>
      <c r="D17" s="21" t="n">
        <v>38737</v>
      </c>
      <c r="E17" s="22" t="n">
        <v>170.6</v>
      </c>
      <c r="F17" s="21" t="n">
        <v>38740</v>
      </c>
      <c r="G17" s="22" t="n">
        <v>168.55</v>
      </c>
      <c r="H17" s="22" t="n">
        <v>155.93</v>
      </c>
      <c r="I17" s="21" t="n">
        <v>38771</v>
      </c>
      <c r="J17" s="22" t="n">
        <v>176.18</v>
      </c>
      <c r="K17" s="21" t="n">
        <v>38772</v>
      </c>
      <c r="L17" s="22" t="n">
        <v>176.61</v>
      </c>
      <c r="M17" s="8" t="s">
        <v>73</v>
      </c>
      <c r="N17" s="4" t="n">
        <v>23</v>
      </c>
      <c r="O17" s="6" t="n">
        <f aca="false">IF(C17="롱",(J17-E17)/E17,(E17-J17)/E17)</f>
        <v>0.0327080890973037</v>
      </c>
    </row>
    <row r="18" customFormat="false" ht="17.15" hidden="false" customHeight="false" outlineLevel="0" collapsed="false">
      <c r="A18" s="4" t="n">
        <v>2</v>
      </c>
      <c r="B18" s="4" t="s">
        <v>14</v>
      </c>
      <c r="C18" s="8" t="s">
        <v>72</v>
      </c>
      <c r="D18" s="21" t="n">
        <v>38853</v>
      </c>
      <c r="E18" s="22" t="n">
        <v>179</v>
      </c>
      <c r="F18" s="21" t="n">
        <v>38854</v>
      </c>
      <c r="G18" s="22" t="n">
        <v>179.72</v>
      </c>
      <c r="H18" s="22" t="n">
        <v>163.13</v>
      </c>
      <c r="I18" s="21" t="n">
        <v>38876</v>
      </c>
      <c r="J18" s="22" t="n">
        <v>163.13</v>
      </c>
      <c r="K18" s="21" t="n">
        <v>38877</v>
      </c>
      <c r="L18" s="22" t="n">
        <v>159.92</v>
      </c>
      <c r="M18" s="8" t="s">
        <v>75</v>
      </c>
      <c r="N18" s="4" t="n">
        <v>15</v>
      </c>
      <c r="O18" s="6" t="n">
        <f aca="false">IF(C18="롱",(J18-E18)/E18,(E18-J18)/E18)</f>
        <v>-0.088659217877095</v>
      </c>
    </row>
    <row r="19" customFormat="false" ht="17.15" hidden="false" customHeight="false" outlineLevel="0" collapsed="false">
      <c r="A19" s="4" t="n">
        <v>2</v>
      </c>
      <c r="B19" s="4" t="s">
        <v>14</v>
      </c>
      <c r="C19" s="8" t="s">
        <v>72</v>
      </c>
      <c r="D19" s="21" t="n">
        <v>39059</v>
      </c>
      <c r="E19" s="22" t="n">
        <v>179.49</v>
      </c>
      <c r="F19" s="21" t="n">
        <v>39062</v>
      </c>
      <c r="G19" s="22" t="n">
        <v>179.45</v>
      </c>
      <c r="H19" s="22" t="n">
        <v>171.02</v>
      </c>
      <c r="I19" s="21" t="n">
        <v>39071</v>
      </c>
      <c r="J19" s="22" t="n">
        <v>186.54</v>
      </c>
      <c r="K19" s="21" t="n">
        <v>39072</v>
      </c>
      <c r="L19" s="22" t="n">
        <v>186.8</v>
      </c>
      <c r="M19" s="8" t="s">
        <v>73</v>
      </c>
      <c r="N19" s="4" t="n">
        <v>8</v>
      </c>
      <c r="O19" s="6" t="n">
        <f aca="false">IF(C19="롱",(J19-E19)/E19,(E19-J19)/E19)</f>
        <v>0.0392779542035767</v>
      </c>
    </row>
    <row r="20" customFormat="false" ht="17.15" hidden="false" customHeight="false" outlineLevel="0" collapsed="false">
      <c r="A20" s="4" t="n">
        <v>2</v>
      </c>
      <c r="B20" s="4" t="s">
        <v>14</v>
      </c>
      <c r="C20" s="8" t="s">
        <v>72</v>
      </c>
      <c r="D20" s="21" t="n">
        <v>39090</v>
      </c>
      <c r="E20" s="22" t="n">
        <v>177.08</v>
      </c>
      <c r="F20" s="21" t="n">
        <v>39091</v>
      </c>
      <c r="G20" s="22" t="n">
        <v>177.91</v>
      </c>
      <c r="H20" s="22" t="n">
        <v>165.42</v>
      </c>
      <c r="I20" s="21" t="n">
        <v>39115</v>
      </c>
      <c r="J20" s="22" t="n">
        <v>183.2</v>
      </c>
      <c r="K20" s="21" t="n">
        <v>39118</v>
      </c>
      <c r="L20" s="22" t="n">
        <v>183.21</v>
      </c>
      <c r="M20" s="8" t="s">
        <v>73</v>
      </c>
      <c r="N20" s="4" t="n">
        <v>19</v>
      </c>
      <c r="O20" s="6" t="n">
        <f aca="false">IF(C20="롱",(J20-E20)/E20,(E20-J20)/E20)</f>
        <v>0.034560650553422</v>
      </c>
    </row>
    <row r="21" customFormat="false" ht="17.15" hidden="false" customHeight="false" outlineLevel="0" collapsed="false">
      <c r="A21" s="4" t="n">
        <v>2</v>
      </c>
      <c r="B21" s="4" t="s">
        <v>14</v>
      </c>
      <c r="C21" s="8" t="s">
        <v>72</v>
      </c>
      <c r="D21" s="21" t="n">
        <v>39310</v>
      </c>
      <c r="E21" s="22" t="n">
        <v>215.67</v>
      </c>
      <c r="F21" s="21" t="n">
        <v>39311</v>
      </c>
      <c r="G21" s="22" t="n">
        <v>217.05</v>
      </c>
      <c r="H21" s="22" t="n">
        <v>194.1</v>
      </c>
      <c r="I21" s="21" t="n">
        <v>39324</v>
      </c>
      <c r="J21" s="22" t="n">
        <v>234.22</v>
      </c>
      <c r="K21" s="21" t="n">
        <v>39325</v>
      </c>
      <c r="L21" s="22" t="n">
        <v>234.38</v>
      </c>
      <c r="M21" s="8" t="s">
        <v>73</v>
      </c>
      <c r="N21" s="4" t="n">
        <v>10</v>
      </c>
      <c r="O21" s="6" t="n">
        <f aca="false">IF(C21="롱",(J21-E21)/E21,(E21-J21)/E21)</f>
        <v>0.0860110353781241</v>
      </c>
    </row>
    <row r="22" customFormat="false" ht="17.15" hidden="false" customHeight="false" outlineLevel="0" collapsed="false">
      <c r="A22" s="4" t="n">
        <v>2</v>
      </c>
      <c r="B22" s="4" t="s">
        <v>14</v>
      </c>
      <c r="C22" s="8" t="s">
        <v>72</v>
      </c>
      <c r="D22" s="21" t="n">
        <v>39406</v>
      </c>
      <c r="E22" s="22" t="n">
        <v>236.91</v>
      </c>
      <c r="F22" s="21" t="n">
        <v>39407</v>
      </c>
      <c r="G22" s="22" t="n">
        <v>235.96</v>
      </c>
      <c r="H22" s="22" t="n">
        <v>213.22</v>
      </c>
      <c r="I22" s="21" t="n">
        <v>39421</v>
      </c>
      <c r="J22" s="22" t="n">
        <v>247.03</v>
      </c>
      <c r="K22" s="21" t="n">
        <v>39422</v>
      </c>
      <c r="L22" s="22" t="n">
        <v>250.8</v>
      </c>
      <c r="M22" s="8" t="s">
        <v>73</v>
      </c>
      <c r="N22" s="4" t="n">
        <v>11</v>
      </c>
      <c r="O22" s="6" t="n">
        <f aca="false">IF(C22="롱",(J22-E22)/E22,(E22-J22)/E22)</f>
        <v>0.0427166434510996</v>
      </c>
    </row>
    <row r="23" customFormat="false" ht="17.15" hidden="false" customHeight="false" outlineLevel="0" collapsed="false">
      <c r="A23" s="4" t="n">
        <v>2</v>
      </c>
      <c r="B23" s="4" t="s">
        <v>14</v>
      </c>
      <c r="C23" s="8" t="s">
        <v>72</v>
      </c>
      <c r="D23" s="21" t="n">
        <v>39609</v>
      </c>
      <c r="E23" s="22" t="n">
        <v>226.56</v>
      </c>
      <c r="F23" s="21" t="n">
        <v>39610</v>
      </c>
      <c r="G23" s="22" t="n">
        <v>227.36</v>
      </c>
      <c r="H23" s="22" t="n">
        <v>205.79</v>
      </c>
      <c r="I23" s="21" t="n">
        <v>39632</v>
      </c>
      <c r="J23" s="22" t="n">
        <v>203.73</v>
      </c>
      <c r="K23" s="21" t="n">
        <v>39633</v>
      </c>
      <c r="L23" s="22" t="n">
        <v>205.45</v>
      </c>
      <c r="M23" s="8" t="s">
        <v>76</v>
      </c>
      <c r="N23" s="4" t="n">
        <v>17</v>
      </c>
      <c r="O23" s="6" t="n">
        <f aca="false">IF(C23="롱",(J23-E23)/E23,(E23-J23)/E23)</f>
        <v>-0.100768008474576</v>
      </c>
    </row>
    <row r="24" customFormat="false" ht="17.15" hidden="false" customHeight="false" outlineLevel="0" collapsed="false">
      <c r="A24" s="4" t="n">
        <v>2</v>
      </c>
      <c r="B24" s="4" t="s">
        <v>14</v>
      </c>
      <c r="C24" s="8" t="s">
        <v>72</v>
      </c>
      <c r="D24" s="21" t="n">
        <v>40115</v>
      </c>
      <c r="E24" s="22" t="n">
        <v>207.68</v>
      </c>
      <c r="F24" s="21" t="n">
        <v>40116</v>
      </c>
      <c r="G24" s="22" t="n">
        <v>210.3</v>
      </c>
      <c r="H24" s="22" t="n">
        <v>186.91</v>
      </c>
      <c r="I24" s="21" t="n">
        <v>40135</v>
      </c>
      <c r="J24" s="22" t="n">
        <v>211.56</v>
      </c>
      <c r="K24" s="21" t="n">
        <v>40136</v>
      </c>
      <c r="L24" s="22" t="n">
        <v>212.28</v>
      </c>
      <c r="M24" s="8" t="s">
        <v>73</v>
      </c>
      <c r="N24" s="4" t="n">
        <v>14</v>
      </c>
      <c r="O24" s="6" t="n">
        <f aca="false">IF(C24="롱",(J24-E24)/E24,(E24-J24)/E24)</f>
        <v>0.0186825885978428</v>
      </c>
    </row>
    <row r="25" customFormat="false" ht="17.15" hidden="false" customHeight="false" outlineLevel="0" collapsed="false">
      <c r="A25" s="4" t="n">
        <v>2</v>
      </c>
      <c r="B25" s="4" t="s">
        <v>14</v>
      </c>
      <c r="C25" s="8" t="s">
        <v>72</v>
      </c>
      <c r="D25" s="21" t="n">
        <v>40144</v>
      </c>
      <c r="E25" s="22" t="n">
        <v>200.73</v>
      </c>
      <c r="F25" s="21" t="n">
        <v>40147</v>
      </c>
      <c r="G25" s="22" t="n">
        <v>203.81</v>
      </c>
      <c r="H25" s="22" t="n">
        <v>182.47</v>
      </c>
      <c r="I25" s="21" t="n">
        <v>40154</v>
      </c>
      <c r="J25" s="22" t="n">
        <v>215.55</v>
      </c>
      <c r="K25" s="21" t="n">
        <v>40155</v>
      </c>
      <c r="L25" s="22" t="n">
        <v>215.24</v>
      </c>
      <c r="M25" s="8" t="s">
        <v>73</v>
      </c>
      <c r="N25" s="4" t="n">
        <v>6</v>
      </c>
      <c r="O25" s="6" t="n">
        <f aca="false">IF(C25="롱",(J25-E25)/E25,(E25-J25)/E25)</f>
        <v>0.0738305186070843</v>
      </c>
    </row>
    <row r="26" customFormat="false" ht="17.15" hidden="false" customHeight="false" outlineLevel="0" collapsed="false">
      <c r="A26" s="4" t="n">
        <v>2</v>
      </c>
      <c r="B26" s="4" t="s">
        <v>14</v>
      </c>
      <c r="C26" s="8" t="s">
        <v>72</v>
      </c>
      <c r="D26" s="21" t="n">
        <v>40204</v>
      </c>
      <c r="E26" s="22" t="n">
        <v>214.89</v>
      </c>
      <c r="F26" s="21" t="n">
        <v>40205</v>
      </c>
      <c r="G26" s="22" t="n">
        <v>215.38</v>
      </c>
      <c r="H26" s="22" t="n">
        <v>198.68</v>
      </c>
      <c r="I26" s="21" t="n">
        <v>40226</v>
      </c>
      <c r="J26" s="22" t="n">
        <v>213.44</v>
      </c>
      <c r="K26" s="21" t="n">
        <v>40227</v>
      </c>
      <c r="L26" s="22" t="n">
        <v>213.81</v>
      </c>
      <c r="M26" s="8" t="s">
        <v>73</v>
      </c>
      <c r="N26" s="4" t="n">
        <v>15</v>
      </c>
      <c r="O26" s="6" t="n">
        <f aca="false">IF(C26="롱",(J26-E26)/E26,(E26-J26)/E26)</f>
        <v>-0.00674763832658564</v>
      </c>
    </row>
    <row r="27" customFormat="false" ht="17.15" hidden="false" customHeight="false" outlineLevel="0" collapsed="false">
      <c r="A27" s="4" t="n">
        <v>2</v>
      </c>
      <c r="B27" s="4" t="s">
        <v>14</v>
      </c>
      <c r="C27" s="8" t="s">
        <v>72</v>
      </c>
      <c r="D27" s="21" t="n">
        <v>40304</v>
      </c>
      <c r="E27" s="22" t="n">
        <v>220.21</v>
      </c>
      <c r="F27" s="21" t="n">
        <v>40305</v>
      </c>
      <c r="G27" s="22" t="n">
        <v>213.33</v>
      </c>
      <c r="H27" s="22" t="n">
        <v>203.7</v>
      </c>
      <c r="I27" s="21" t="n">
        <v>40323</v>
      </c>
      <c r="J27" s="22" t="n">
        <v>203.7</v>
      </c>
      <c r="K27" s="21" t="n">
        <v>40324</v>
      </c>
      <c r="L27" s="22" t="n">
        <v>206.95</v>
      </c>
      <c r="M27" s="8" t="s">
        <v>75</v>
      </c>
      <c r="N27" s="4" t="n">
        <v>12</v>
      </c>
      <c r="O27" s="6" t="n">
        <f aca="false">IF(C27="롱",(J27-E27)/E27,(E27-J27)/E27)</f>
        <v>-0.0749738885609192</v>
      </c>
    </row>
    <row r="28" customFormat="false" ht="17.15" hidden="false" customHeight="false" outlineLevel="0" collapsed="false">
      <c r="A28" s="4" t="n">
        <v>2</v>
      </c>
      <c r="B28" s="4" t="s">
        <v>14</v>
      </c>
      <c r="C28" s="8" t="s">
        <v>72</v>
      </c>
      <c r="D28" s="21" t="n">
        <v>40583</v>
      </c>
      <c r="E28" s="22" t="n">
        <v>269.9</v>
      </c>
      <c r="F28" s="21" t="n">
        <v>40584</v>
      </c>
      <c r="G28" s="22" t="n">
        <v>269.21</v>
      </c>
      <c r="H28" s="22" t="n">
        <v>251.79</v>
      </c>
      <c r="I28" s="21" t="n">
        <v>40617</v>
      </c>
      <c r="J28" s="22" t="n">
        <v>251.79</v>
      </c>
      <c r="K28" s="21" t="n">
        <v>40618</v>
      </c>
      <c r="L28" s="22" t="n">
        <v>258.44</v>
      </c>
      <c r="M28" s="8" t="s">
        <v>75</v>
      </c>
      <c r="N28" s="4" t="n">
        <v>23</v>
      </c>
      <c r="O28" s="6" t="n">
        <f aca="false">IF(C28="롱",(J28-E28)/E28,(E28-J28)/E28)</f>
        <v>-0.0670989255279733</v>
      </c>
    </row>
    <row r="29" customFormat="false" ht="17.15" hidden="false" customHeight="false" outlineLevel="0" collapsed="false">
      <c r="A29" s="4" t="n">
        <v>2</v>
      </c>
      <c r="B29" s="4" t="s">
        <v>14</v>
      </c>
      <c r="C29" s="8" t="s">
        <v>72</v>
      </c>
      <c r="D29" s="21" t="n">
        <v>40679</v>
      </c>
      <c r="E29" s="22" t="n">
        <v>277.22</v>
      </c>
      <c r="F29" s="21" t="n">
        <v>40680</v>
      </c>
      <c r="G29" s="22" t="n">
        <v>277.13</v>
      </c>
      <c r="H29" s="22" t="n">
        <v>255.57</v>
      </c>
      <c r="I29" s="21" t="n">
        <v>40694</v>
      </c>
      <c r="J29" s="22" t="n">
        <v>282.76</v>
      </c>
      <c r="K29" s="21" t="n">
        <v>40695</v>
      </c>
      <c r="L29" s="22" t="n">
        <v>282.92</v>
      </c>
      <c r="M29" s="8" t="s">
        <v>73</v>
      </c>
      <c r="N29" s="4" t="n">
        <v>11</v>
      </c>
      <c r="O29" s="6" t="n">
        <f aca="false">IF(C29="롱",(J29-E29)/E29,(E29-J29)/E29)</f>
        <v>0.0199841281292835</v>
      </c>
    </row>
    <row r="30" customFormat="false" ht="17.15" hidden="false" customHeight="false" outlineLevel="0" collapsed="false">
      <c r="A30" s="4" t="n">
        <v>2</v>
      </c>
      <c r="B30" s="4" t="s">
        <v>14</v>
      </c>
      <c r="C30" s="8" t="s">
        <v>72</v>
      </c>
      <c r="D30" s="21" t="n">
        <v>40711</v>
      </c>
      <c r="E30" s="22" t="n">
        <v>266.22</v>
      </c>
      <c r="F30" s="21" t="n">
        <v>40714</v>
      </c>
      <c r="G30" s="22" t="n">
        <v>266.41</v>
      </c>
      <c r="H30" s="22" t="n">
        <v>240.46</v>
      </c>
      <c r="I30" s="21" t="n">
        <v>40725</v>
      </c>
      <c r="J30" s="22" t="n">
        <v>278.77</v>
      </c>
      <c r="K30" s="21" t="n">
        <v>40728</v>
      </c>
      <c r="L30" s="22" t="n">
        <v>281.28</v>
      </c>
      <c r="M30" s="8" t="s">
        <v>73</v>
      </c>
      <c r="N30" s="4" t="n">
        <v>10</v>
      </c>
      <c r="O30" s="6" t="n">
        <f aca="false">IF(C30="롱",(J30-E30)/E30,(E30-J30)/E30)</f>
        <v>0.047141461948764</v>
      </c>
    </row>
    <row r="31" customFormat="false" ht="17.15" hidden="false" customHeight="false" outlineLevel="0" collapsed="false">
      <c r="A31" s="4" t="n">
        <v>2</v>
      </c>
      <c r="B31" s="4" t="s">
        <v>14</v>
      </c>
      <c r="C31" s="8" t="s">
        <v>72</v>
      </c>
      <c r="D31" s="21" t="n">
        <v>41157</v>
      </c>
      <c r="E31" s="22" t="n">
        <v>245.75</v>
      </c>
      <c r="F31" s="21" t="n">
        <v>41158</v>
      </c>
      <c r="G31" s="22" t="n">
        <v>246.79</v>
      </c>
      <c r="H31" s="22" t="n">
        <v>229.22</v>
      </c>
      <c r="I31" s="21" t="n">
        <v>41164</v>
      </c>
      <c r="J31" s="22" t="n">
        <v>256.95</v>
      </c>
      <c r="K31" s="21" t="n">
        <v>41165</v>
      </c>
      <c r="L31" s="22" t="n">
        <v>256.68</v>
      </c>
      <c r="M31" s="8" t="s">
        <v>73</v>
      </c>
      <c r="N31" s="4" t="n">
        <v>5</v>
      </c>
      <c r="O31" s="6" t="n">
        <f aca="false">IF(C31="롱",(J31-E31)/E31,(E31-J31)/E31)</f>
        <v>0.0455747711088504</v>
      </c>
    </row>
    <row r="32" customFormat="false" ht="17.15" hidden="false" customHeight="false" outlineLevel="0" collapsed="false">
      <c r="A32" s="4" t="n">
        <v>2</v>
      </c>
      <c r="B32" s="4" t="s">
        <v>14</v>
      </c>
      <c r="C32" s="8" t="s">
        <v>72</v>
      </c>
      <c r="D32" s="21" t="n">
        <v>41206</v>
      </c>
      <c r="E32" s="22" t="n">
        <v>249.8</v>
      </c>
      <c r="F32" s="21" t="n">
        <v>41207</v>
      </c>
      <c r="G32" s="22" t="n">
        <v>248.68</v>
      </c>
      <c r="H32" s="22" t="n">
        <v>235.74</v>
      </c>
      <c r="I32" s="21" t="n">
        <v>41220</v>
      </c>
      <c r="J32" s="22" t="n">
        <v>253.7</v>
      </c>
      <c r="K32" s="21" t="n">
        <v>41221</v>
      </c>
      <c r="L32" s="22" t="n">
        <v>250.33</v>
      </c>
      <c r="M32" s="8" t="s">
        <v>73</v>
      </c>
      <c r="N32" s="4" t="n">
        <v>10</v>
      </c>
      <c r="O32" s="6" t="n">
        <f aca="false">IF(C32="롱",(J32-E32)/E32,(E32-J32)/E32)</f>
        <v>0.0156124899919935</v>
      </c>
    </row>
    <row r="33" customFormat="false" ht="17.15" hidden="false" customHeight="false" outlineLevel="0" collapsed="false">
      <c r="A33" s="4" t="n">
        <v>2</v>
      </c>
      <c r="B33" s="4" t="s">
        <v>14</v>
      </c>
      <c r="C33" s="8" t="s">
        <v>72</v>
      </c>
      <c r="D33" s="21" t="n">
        <v>41228</v>
      </c>
      <c r="E33" s="22" t="n">
        <v>244.64</v>
      </c>
      <c r="F33" s="21" t="n">
        <v>41229</v>
      </c>
      <c r="G33" s="22" t="n">
        <v>243.88</v>
      </c>
      <c r="H33" s="22" t="n">
        <v>228.22</v>
      </c>
      <c r="I33" s="21" t="n">
        <v>41236</v>
      </c>
      <c r="J33" s="22" t="n">
        <v>251.44</v>
      </c>
      <c r="K33" s="21" t="n">
        <v>41239</v>
      </c>
      <c r="L33" s="22" t="n">
        <v>252.26</v>
      </c>
      <c r="M33" s="8" t="s">
        <v>73</v>
      </c>
      <c r="N33" s="4" t="n">
        <v>6</v>
      </c>
      <c r="O33" s="6" t="n">
        <f aca="false">IF(C33="롱",(J33-E33)/E33,(E33-J33)/E33)</f>
        <v>0.0277959450621322</v>
      </c>
    </row>
    <row r="34" customFormat="false" ht="17.15" hidden="false" customHeight="false" outlineLevel="0" collapsed="false">
      <c r="A34" s="4" t="n">
        <v>2</v>
      </c>
      <c r="B34" s="4" t="s">
        <v>14</v>
      </c>
      <c r="C34" s="8" t="s">
        <v>72</v>
      </c>
      <c r="D34" s="21" t="n">
        <v>41299</v>
      </c>
      <c r="E34" s="22" t="n">
        <v>256.06</v>
      </c>
      <c r="F34" s="21" t="n">
        <v>41302</v>
      </c>
      <c r="G34" s="22" t="n">
        <v>255.01</v>
      </c>
      <c r="H34" s="22" t="n">
        <v>239.7</v>
      </c>
      <c r="I34" s="21" t="n">
        <v>41318</v>
      </c>
      <c r="J34" s="22" t="n">
        <v>260.92</v>
      </c>
      <c r="K34" s="21" t="n">
        <v>41319</v>
      </c>
      <c r="L34" s="22" t="n">
        <v>261.14</v>
      </c>
      <c r="M34" s="8" t="s">
        <v>73</v>
      </c>
      <c r="N34" s="4" t="n">
        <v>12</v>
      </c>
      <c r="O34" s="6" t="n">
        <f aca="false">IF(C34="롱",(J34-E34)/E34,(E34-J34)/E34)</f>
        <v>0.0189799265797079</v>
      </c>
    </row>
    <row r="35" customFormat="false" ht="17.15" hidden="false" customHeight="false" outlineLevel="0" collapsed="false">
      <c r="A35" s="4" t="n">
        <v>2</v>
      </c>
      <c r="B35" s="4" t="s">
        <v>14</v>
      </c>
      <c r="C35" s="8" t="s">
        <v>72</v>
      </c>
      <c r="D35" s="21" t="n">
        <v>41586</v>
      </c>
      <c r="E35" s="22" t="n">
        <v>260.53</v>
      </c>
      <c r="F35" s="21" t="n">
        <v>41589</v>
      </c>
      <c r="G35" s="22" t="n">
        <v>262.14</v>
      </c>
      <c r="H35" s="22" t="n">
        <v>247.91</v>
      </c>
      <c r="I35" s="21" t="n">
        <v>41597</v>
      </c>
      <c r="J35" s="22" t="n">
        <v>267.81</v>
      </c>
      <c r="K35" s="21" t="n">
        <v>41598</v>
      </c>
      <c r="L35" s="22" t="n">
        <v>267.23</v>
      </c>
      <c r="M35" s="8" t="s">
        <v>73</v>
      </c>
      <c r="N35" s="4" t="n">
        <v>7</v>
      </c>
      <c r="O35" s="6" t="n">
        <f aca="false">IF(C35="롱",(J35-E35)/E35,(E35-J35)/E35)</f>
        <v>0.0279430391893449</v>
      </c>
    </row>
    <row r="36" customFormat="false" ht="17.15" hidden="false" customHeight="false" outlineLevel="0" collapsed="false">
      <c r="A36" s="4" t="n">
        <v>2</v>
      </c>
      <c r="B36" s="4" t="s">
        <v>14</v>
      </c>
      <c r="C36" s="8" t="s">
        <v>72</v>
      </c>
      <c r="D36" s="21" t="n">
        <v>41758</v>
      </c>
      <c r="E36" s="22" t="n">
        <v>255.8</v>
      </c>
      <c r="F36" s="21" t="n">
        <v>41759</v>
      </c>
      <c r="G36" s="22" t="n">
        <v>257.16</v>
      </c>
      <c r="H36" s="22" t="n">
        <v>245.49</v>
      </c>
      <c r="I36" s="21" t="n">
        <v>41773</v>
      </c>
      <c r="J36" s="22" t="n">
        <v>262.43</v>
      </c>
      <c r="K36" s="21" t="n">
        <v>41774</v>
      </c>
      <c r="L36" s="22" t="n">
        <v>261.98</v>
      </c>
      <c r="M36" s="8" t="s">
        <v>73</v>
      </c>
      <c r="N36" s="4" t="n">
        <v>8</v>
      </c>
      <c r="O36" s="6" t="n">
        <f aca="false">IF(C36="롱",(J36-E36)/E36,(E36-J36)/E36)</f>
        <v>0.0259186864738076</v>
      </c>
    </row>
    <row r="37" customFormat="false" ht="17.15" hidden="false" customHeight="false" outlineLevel="0" collapsed="false">
      <c r="A37" s="4" t="n">
        <v>2</v>
      </c>
      <c r="B37" s="4" t="s">
        <v>14</v>
      </c>
      <c r="C37" s="8" t="s">
        <v>72</v>
      </c>
      <c r="D37" s="21" t="n">
        <v>41803</v>
      </c>
      <c r="E37" s="22" t="n">
        <v>258.75</v>
      </c>
      <c r="F37" s="21" t="n">
        <v>41806</v>
      </c>
      <c r="G37" s="22" t="n">
        <v>258.16</v>
      </c>
      <c r="H37" s="22" t="n">
        <v>246.81</v>
      </c>
      <c r="I37" s="21" t="n">
        <v>41822</v>
      </c>
      <c r="J37" s="22" t="n">
        <v>262.04</v>
      </c>
      <c r="K37" s="21" t="n">
        <v>41823</v>
      </c>
      <c r="L37" s="22" t="n">
        <v>262.03</v>
      </c>
      <c r="M37" s="8" t="s">
        <v>73</v>
      </c>
      <c r="N37" s="4" t="n">
        <v>13</v>
      </c>
      <c r="O37" s="6" t="n">
        <f aca="false">IF(C37="롱",(J37-E37)/E37,(E37-J37)/E37)</f>
        <v>0.0127149758454107</v>
      </c>
    </row>
    <row r="38" customFormat="false" ht="17.15" hidden="false" customHeight="false" outlineLevel="0" collapsed="false">
      <c r="A38" s="4" t="n">
        <v>2</v>
      </c>
      <c r="B38" s="4" t="s">
        <v>14</v>
      </c>
      <c r="C38" s="8" t="s">
        <v>72</v>
      </c>
      <c r="D38" s="21" t="n">
        <v>41893</v>
      </c>
      <c r="E38" s="22" t="n">
        <v>259.8</v>
      </c>
      <c r="F38" s="21" t="n">
        <v>41894</v>
      </c>
      <c r="G38" s="22" t="n">
        <v>261.01</v>
      </c>
      <c r="H38" s="22" t="n">
        <v>247.35</v>
      </c>
      <c r="I38" s="21" t="n">
        <v>41922</v>
      </c>
      <c r="J38" s="22" t="n">
        <v>246.48</v>
      </c>
      <c r="K38" s="21" t="n">
        <v>41925</v>
      </c>
      <c r="L38" s="22" t="n">
        <v>241.95</v>
      </c>
      <c r="M38" s="8" t="s">
        <v>76</v>
      </c>
      <c r="N38" s="4" t="n">
        <v>19</v>
      </c>
      <c r="O38" s="6" t="n">
        <f aca="false">IF(C38="롱",(J38-E38)/E38,(E38-J38)/E38)</f>
        <v>-0.0512702078521941</v>
      </c>
    </row>
    <row r="39" customFormat="false" ht="17.15" hidden="false" customHeight="false" outlineLevel="0" collapsed="false">
      <c r="A39" s="4" t="n">
        <v>2</v>
      </c>
      <c r="B39" s="4" t="s">
        <v>14</v>
      </c>
      <c r="C39" s="8" t="s">
        <v>72</v>
      </c>
      <c r="D39" s="21" t="n">
        <v>42156</v>
      </c>
      <c r="E39" s="22" t="n">
        <v>258.74</v>
      </c>
      <c r="F39" s="21" t="n">
        <v>42157</v>
      </c>
      <c r="G39" s="22" t="n">
        <v>258.8</v>
      </c>
      <c r="H39" s="22" t="n">
        <v>244.69</v>
      </c>
      <c r="I39" s="21" t="n">
        <v>42194</v>
      </c>
      <c r="J39" s="22" t="n">
        <v>243.17</v>
      </c>
      <c r="K39" s="21" t="n">
        <v>42195</v>
      </c>
      <c r="L39" s="22" t="n">
        <v>247.8</v>
      </c>
      <c r="M39" s="8" t="s">
        <v>76</v>
      </c>
      <c r="N39" s="4" t="n">
        <v>28</v>
      </c>
      <c r="O39" s="6" t="n">
        <f aca="false">IF(C39="롱",(J39-E39)/E39,(E39-J39)/E39)</f>
        <v>-0.0601762386952154</v>
      </c>
    </row>
    <row r="40" customFormat="false" ht="17.15" hidden="false" customHeight="false" outlineLevel="0" collapsed="false">
      <c r="A40" s="4" t="n">
        <v>2</v>
      </c>
      <c r="B40" s="4" t="s">
        <v>14</v>
      </c>
      <c r="C40" s="8" t="s">
        <v>72</v>
      </c>
      <c r="D40" s="21" t="n">
        <v>42321</v>
      </c>
      <c r="E40" s="22" t="n">
        <v>242.71</v>
      </c>
      <c r="F40" s="21" t="n">
        <v>42324</v>
      </c>
      <c r="G40" s="22" t="n">
        <v>239.41</v>
      </c>
      <c r="H40" s="22" t="n">
        <v>231.16</v>
      </c>
      <c r="I40" s="21" t="n">
        <v>42334</v>
      </c>
      <c r="J40" s="22" t="n">
        <v>249.43</v>
      </c>
      <c r="K40" s="21" t="n">
        <v>42335</v>
      </c>
      <c r="L40" s="22" t="n">
        <v>250.46</v>
      </c>
      <c r="M40" s="8" t="s">
        <v>73</v>
      </c>
      <c r="N40" s="4" t="n">
        <v>9</v>
      </c>
      <c r="O40" s="6" t="n">
        <f aca="false">IF(C40="롱",(J40-E40)/E40,(E40-J40)/E40)</f>
        <v>0.0276873635202505</v>
      </c>
    </row>
    <row r="41" customFormat="false" ht="17.15" hidden="false" customHeight="false" outlineLevel="0" collapsed="false">
      <c r="A41" s="4" t="n">
        <v>2</v>
      </c>
      <c r="B41" s="4" t="s">
        <v>14</v>
      </c>
      <c r="C41" s="8" t="s">
        <v>72</v>
      </c>
      <c r="D41" s="21" t="n">
        <v>42625</v>
      </c>
      <c r="E41" s="22" t="n">
        <v>250.53</v>
      </c>
      <c r="F41" s="21" t="n">
        <v>42626</v>
      </c>
      <c r="G41" s="22" t="n">
        <v>253.39</v>
      </c>
      <c r="H41" s="22" t="n">
        <v>238.6</v>
      </c>
      <c r="I41" s="21" t="n">
        <v>42642</v>
      </c>
      <c r="J41" s="22" t="n">
        <v>260.35</v>
      </c>
      <c r="K41" s="21" t="n">
        <v>42643</v>
      </c>
      <c r="L41" s="22" t="n">
        <v>258.3</v>
      </c>
      <c r="M41" s="8" t="s">
        <v>73</v>
      </c>
      <c r="N41" s="4" t="n">
        <v>10</v>
      </c>
      <c r="O41" s="6" t="n">
        <f aca="false">IF(C41="롱",(J41-E41)/E41,(E41-J41)/E41)</f>
        <v>0.039196902566559</v>
      </c>
    </row>
    <row r="42" customFormat="false" ht="17.15" hidden="false" customHeight="false" outlineLevel="0" collapsed="false">
      <c r="A42" s="4" t="n">
        <v>2</v>
      </c>
      <c r="B42" s="4" t="s">
        <v>14</v>
      </c>
      <c r="C42" s="8" t="s">
        <v>72</v>
      </c>
      <c r="D42" s="21" t="n">
        <v>42676</v>
      </c>
      <c r="E42" s="22" t="n">
        <v>252.83</v>
      </c>
      <c r="F42" s="21" t="n">
        <v>42677</v>
      </c>
      <c r="G42" s="22" t="n">
        <v>252.44</v>
      </c>
      <c r="H42" s="22" t="n">
        <v>240.59</v>
      </c>
      <c r="I42" s="21" t="n">
        <v>42710</v>
      </c>
      <c r="J42" s="22" t="n">
        <v>255.63</v>
      </c>
      <c r="K42" s="21" t="n">
        <v>42711</v>
      </c>
      <c r="L42" s="22" t="n">
        <v>256.57</v>
      </c>
      <c r="M42" s="8" t="s">
        <v>73</v>
      </c>
      <c r="N42" s="4" t="n">
        <v>24</v>
      </c>
      <c r="O42" s="6" t="n">
        <f aca="false">IF(C42="롱",(J42-E42)/E42,(E42-J42)/E42)</f>
        <v>0.0110746351303247</v>
      </c>
    </row>
    <row r="43" customFormat="false" ht="17.15" hidden="false" customHeight="false" outlineLevel="0" collapsed="false">
      <c r="A43" s="4" t="n">
        <v>2</v>
      </c>
      <c r="B43" s="4" t="s">
        <v>14</v>
      </c>
      <c r="C43" s="8" t="s">
        <v>72</v>
      </c>
      <c r="D43" s="21" t="n">
        <v>42836</v>
      </c>
      <c r="E43" s="22" t="n">
        <v>275.49</v>
      </c>
      <c r="F43" s="21" t="n">
        <v>42837</v>
      </c>
      <c r="G43" s="22" t="n">
        <v>276.11</v>
      </c>
      <c r="H43" s="22" t="n">
        <v>264.34</v>
      </c>
      <c r="I43" s="21" t="n">
        <v>42846</v>
      </c>
      <c r="J43" s="22" t="n">
        <v>280.05</v>
      </c>
      <c r="K43" s="21" t="n">
        <v>42849</v>
      </c>
      <c r="L43" s="22" t="n">
        <v>281.66</v>
      </c>
      <c r="M43" s="8" t="s">
        <v>73</v>
      </c>
      <c r="N43" s="4" t="n">
        <v>8</v>
      </c>
      <c r="O43" s="6" t="n">
        <f aca="false">IF(C43="롱",(J43-E43)/E43,(E43-J43)/E43)</f>
        <v>0.016552324948274</v>
      </c>
    </row>
    <row r="44" customFormat="false" ht="17.15" hidden="false" customHeight="false" outlineLevel="0" collapsed="false">
      <c r="A44" s="4" t="n">
        <v>2</v>
      </c>
      <c r="B44" s="4" t="s">
        <v>14</v>
      </c>
      <c r="C44" s="8" t="s">
        <v>72</v>
      </c>
      <c r="D44" s="21" t="n">
        <v>42956</v>
      </c>
      <c r="E44" s="22" t="n">
        <v>309.52</v>
      </c>
      <c r="F44" s="21" t="n">
        <v>42957</v>
      </c>
      <c r="G44" s="22" t="n">
        <v>308.3</v>
      </c>
      <c r="H44" s="22" t="n">
        <v>294.4</v>
      </c>
      <c r="I44" s="21" t="n">
        <v>42992</v>
      </c>
      <c r="J44" s="22" t="n">
        <v>312.52</v>
      </c>
      <c r="K44" s="21" t="n">
        <v>42993</v>
      </c>
      <c r="L44" s="22" t="n">
        <v>311.19</v>
      </c>
      <c r="M44" s="8" t="s">
        <v>73</v>
      </c>
      <c r="N44" s="4" t="n">
        <v>25</v>
      </c>
      <c r="O44" s="6" t="n">
        <f aca="false">IF(C44="롱",(J44-E44)/E44,(E44-J44)/E44)</f>
        <v>0.00969242698371672</v>
      </c>
    </row>
    <row r="45" customFormat="false" ht="17.15" hidden="false" customHeight="false" outlineLevel="0" collapsed="false">
      <c r="A45" s="4" t="n">
        <v>2</v>
      </c>
      <c r="B45" s="4" t="s">
        <v>14</v>
      </c>
      <c r="C45" s="8" t="s">
        <v>72</v>
      </c>
      <c r="D45" s="21" t="n">
        <v>43066</v>
      </c>
      <c r="E45" s="22" t="n">
        <v>329.53</v>
      </c>
      <c r="F45" s="21" t="n">
        <v>43067</v>
      </c>
      <c r="G45" s="22" t="n">
        <v>330.19</v>
      </c>
      <c r="H45" s="22" t="n">
        <v>313.24</v>
      </c>
      <c r="I45" s="21" t="n">
        <v>43108</v>
      </c>
      <c r="J45" s="22" t="n">
        <v>331.28</v>
      </c>
      <c r="K45" s="21" t="n">
        <v>43109</v>
      </c>
      <c r="L45" s="22" t="n">
        <v>330.67</v>
      </c>
      <c r="M45" s="8" t="s">
        <v>73</v>
      </c>
      <c r="N45" s="4" t="n">
        <v>27</v>
      </c>
      <c r="O45" s="6" t="n">
        <f aca="false">IF(C45="롱",(J45-E45)/E45,(E45-J45)/E45)</f>
        <v>0.00531059387612661</v>
      </c>
    </row>
    <row r="46" customFormat="false" ht="17.15" hidden="false" customHeight="false" outlineLevel="0" collapsed="false">
      <c r="A46" s="4" t="n">
        <v>2</v>
      </c>
      <c r="B46" s="4" t="s">
        <v>14</v>
      </c>
      <c r="C46" s="8" t="s">
        <v>72</v>
      </c>
      <c r="D46" s="21" t="n">
        <v>43802</v>
      </c>
      <c r="E46" s="22" t="n">
        <v>276.19</v>
      </c>
      <c r="F46" s="21" t="n">
        <v>43803</v>
      </c>
      <c r="G46" s="22" t="n">
        <v>274.36</v>
      </c>
      <c r="H46" s="22" t="n">
        <v>260.08</v>
      </c>
      <c r="I46" s="21" t="n">
        <v>43811</v>
      </c>
      <c r="J46" s="22" t="n">
        <v>285.11</v>
      </c>
      <c r="K46" s="21" t="n">
        <v>43812</v>
      </c>
      <c r="L46" s="22" t="n">
        <v>289.34</v>
      </c>
      <c r="M46" s="8" t="s">
        <v>73</v>
      </c>
      <c r="N46" s="4" t="n">
        <v>7</v>
      </c>
      <c r="O46" s="6" t="n">
        <f aca="false">IF(C46="롱",(J46-E46)/E46,(E46-J46)/E46)</f>
        <v>0.0322966074079439</v>
      </c>
    </row>
    <row r="47" customFormat="false" ht="17.15" hidden="false" customHeight="false" outlineLevel="0" collapsed="false">
      <c r="A47" s="4" t="n">
        <v>2</v>
      </c>
      <c r="B47" s="4" t="s">
        <v>14</v>
      </c>
      <c r="C47" s="8" t="s">
        <v>72</v>
      </c>
      <c r="D47" s="21" t="n">
        <v>43861</v>
      </c>
      <c r="E47" s="22" t="n">
        <v>284.53</v>
      </c>
      <c r="F47" s="21" t="n">
        <v>43864</v>
      </c>
      <c r="G47" s="22" t="n">
        <v>280.17</v>
      </c>
      <c r="H47" s="22" t="n">
        <v>261.19</v>
      </c>
      <c r="I47" s="21" t="n">
        <v>43873</v>
      </c>
      <c r="J47" s="22" t="n">
        <v>301.54</v>
      </c>
      <c r="K47" s="21" t="n">
        <v>43874</v>
      </c>
      <c r="L47" s="22" t="n">
        <v>302.79</v>
      </c>
      <c r="M47" s="8" t="s">
        <v>73</v>
      </c>
      <c r="N47" s="4" t="n">
        <v>8</v>
      </c>
      <c r="O47" s="6" t="n">
        <f aca="false">IF(C47="롱",(J47-E47)/E47,(E47-J47)/E47)</f>
        <v>0.0597827997047765</v>
      </c>
    </row>
    <row r="48" customFormat="false" ht="17.15" hidden="false" customHeight="false" outlineLevel="0" collapsed="false">
      <c r="A48" s="4" t="n">
        <v>2</v>
      </c>
      <c r="B48" s="4" t="s">
        <v>14</v>
      </c>
      <c r="C48" s="8" t="s">
        <v>72</v>
      </c>
      <c r="D48" s="21" t="n">
        <v>43888</v>
      </c>
      <c r="E48" s="22" t="n">
        <v>277.09</v>
      </c>
      <c r="F48" s="21" t="n">
        <v>43889</v>
      </c>
      <c r="G48" s="22" t="n">
        <v>272.33</v>
      </c>
      <c r="H48" s="22" t="n">
        <v>249.38</v>
      </c>
      <c r="I48" s="21" t="n">
        <v>43902</v>
      </c>
      <c r="J48" s="22" t="n">
        <v>249.38</v>
      </c>
      <c r="K48" s="21" t="n">
        <v>43903</v>
      </c>
      <c r="L48" s="22" t="n">
        <v>231.71</v>
      </c>
      <c r="M48" s="8" t="s">
        <v>75</v>
      </c>
      <c r="N48" s="4" t="n">
        <v>10</v>
      </c>
      <c r="O48" s="6" t="n">
        <f aca="false">IF(C48="롱",(J48-E48)/E48,(E48-J48)/E48)</f>
        <v>-0.100003608935725</v>
      </c>
    </row>
    <row r="49" customFormat="false" ht="17.15" hidden="false" customHeight="false" outlineLevel="0" collapsed="false">
      <c r="A49" s="4" t="n">
        <v>2</v>
      </c>
      <c r="B49" s="4" t="s">
        <v>14</v>
      </c>
      <c r="C49" s="8" t="s">
        <v>72</v>
      </c>
      <c r="D49" s="21" t="n">
        <v>44098</v>
      </c>
      <c r="E49" s="22" t="n">
        <v>302.48</v>
      </c>
      <c r="F49" s="21" t="n">
        <v>44099</v>
      </c>
      <c r="G49" s="22" t="n">
        <v>305.38</v>
      </c>
      <c r="H49" s="22" t="n">
        <v>275.86</v>
      </c>
      <c r="I49" s="21" t="n">
        <v>44140</v>
      </c>
      <c r="J49" s="22" t="n">
        <v>321.51</v>
      </c>
      <c r="K49" s="21" t="n">
        <v>44141</v>
      </c>
      <c r="L49" s="22" t="n">
        <v>322.72</v>
      </c>
      <c r="M49" s="8" t="s">
        <v>73</v>
      </c>
      <c r="N49" s="4" t="n">
        <v>26</v>
      </c>
      <c r="O49" s="6" t="n">
        <f aca="false">IF(C49="롱",(J49-E49)/E49,(E49-J49)/E49)</f>
        <v>0.0629132504628404</v>
      </c>
    </row>
    <row r="50" customFormat="false" ht="17.15" hidden="false" customHeight="false" outlineLevel="0" collapsed="false">
      <c r="A50" s="4" t="n">
        <v>2</v>
      </c>
      <c r="B50" s="4" t="s">
        <v>14</v>
      </c>
      <c r="C50" s="8" t="s">
        <v>72</v>
      </c>
      <c r="D50" s="21" t="n">
        <v>44264</v>
      </c>
      <c r="E50" s="22" t="n">
        <v>405.79</v>
      </c>
      <c r="F50" s="21" t="n">
        <v>44265</v>
      </c>
      <c r="G50" s="22" t="n">
        <v>406.37</v>
      </c>
      <c r="H50" s="22" t="n">
        <v>365.21</v>
      </c>
      <c r="I50" s="21" t="n">
        <v>44288</v>
      </c>
      <c r="J50" s="22" t="n">
        <v>423.74</v>
      </c>
      <c r="K50" s="21" t="n">
        <v>44291</v>
      </c>
      <c r="L50" s="22" t="n">
        <v>425.15</v>
      </c>
      <c r="M50" s="8" t="s">
        <v>73</v>
      </c>
      <c r="N50" s="4" t="n">
        <v>18</v>
      </c>
      <c r="O50" s="6" t="n">
        <f aca="false">IF(C50="롱",(J50-E50)/E50,(E50-J50)/E50)</f>
        <v>0.0442347026787254</v>
      </c>
    </row>
    <row r="51" customFormat="false" ht="17.15" hidden="false" customHeight="false" outlineLevel="0" collapsed="false">
      <c r="A51" s="4" t="n">
        <v>2</v>
      </c>
      <c r="B51" s="4" t="s">
        <v>14</v>
      </c>
      <c r="C51" s="8" t="s">
        <v>72</v>
      </c>
      <c r="D51" s="21" t="n">
        <v>44319</v>
      </c>
      <c r="E51" s="22" t="n">
        <v>420.36</v>
      </c>
      <c r="F51" s="21" t="n">
        <v>44320</v>
      </c>
      <c r="G51" s="22" t="n">
        <v>420.99</v>
      </c>
      <c r="H51" s="22" t="n">
        <v>397.39</v>
      </c>
      <c r="I51" s="21" t="n">
        <v>44326</v>
      </c>
      <c r="J51" s="22" t="n">
        <v>435.63</v>
      </c>
      <c r="K51" s="21" t="n">
        <v>44327</v>
      </c>
      <c r="L51" s="22" t="n">
        <v>434.14</v>
      </c>
      <c r="M51" s="8" t="s">
        <v>73</v>
      </c>
      <c r="N51" s="4" t="n">
        <v>4</v>
      </c>
      <c r="O51" s="6" t="n">
        <f aca="false">IF(C51="롱",(J51-E51)/E51,(E51-J51)/E51)</f>
        <v>0.0363260062803311</v>
      </c>
    </row>
    <row r="52" customFormat="false" ht="17.15" hidden="false" customHeight="false" outlineLevel="0" collapsed="false">
      <c r="A52" s="4" t="n">
        <v>2</v>
      </c>
      <c r="B52" s="4" t="s">
        <v>14</v>
      </c>
      <c r="C52" s="8" t="s">
        <v>72</v>
      </c>
      <c r="D52" s="21" t="n">
        <v>44329</v>
      </c>
      <c r="E52" s="22" t="n">
        <v>416.07</v>
      </c>
      <c r="F52" s="21" t="n">
        <v>44330</v>
      </c>
      <c r="G52" s="22" t="n">
        <v>417.5</v>
      </c>
      <c r="H52" s="22" t="n">
        <v>388.28</v>
      </c>
      <c r="I52" s="21" t="n">
        <v>44347</v>
      </c>
      <c r="J52" s="22" t="n">
        <v>427.91</v>
      </c>
      <c r="K52" s="21" t="n">
        <v>44348</v>
      </c>
      <c r="L52" s="22" t="n">
        <v>428.08</v>
      </c>
      <c r="M52" s="8" t="s">
        <v>73</v>
      </c>
      <c r="N52" s="4" t="n">
        <v>11</v>
      </c>
      <c r="O52" s="6" t="n">
        <f aca="false">IF(C52="롱",(J52-E52)/E52,(E52-J52)/E52)</f>
        <v>0.0284567500660947</v>
      </c>
    </row>
    <row r="53" customFormat="false" ht="17.15" hidden="false" customHeight="false" outlineLevel="0" collapsed="false">
      <c r="A53" s="4" t="n">
        <v>2</v>
      </c>
      <c r="B53" s="4" t="s">
        <v>14</v>
      </c>
      <c r="C53" s="8" t="s">
        <v>72</v>
      </c>
      <c r="D53" s="21" t="n">
        <v>44386</v>
      </c>
      <c r="E53" s="22" t="n">
        <v>427.84</v>
      </c>
      <c r="F53" s="21" t="n">
        <v>44389</v>
      </c>
      <c r="G53" s="22" t="n">
        <v>429.33</v>
      </c>
      <c r="H53" s="22" t="n">
        <v>409.4</v>
      </c>
      <c r="I53" s="21" t="n">
        <v>44412</v>
      </c>
      <c r="J53" s="22" t="n">
        <v>436.05</v>
      </c>
      <c r="K53" s="21" t="n">
        <v>44413</v>
      </c>
      <c r="L53" s="22" t="n">
        <v>436.46</v>
      </c>
      <c r="M53" s="8" t="s">
        <v>73</v>
      </c>
      <c r="N53" s="4" t="n">
        <v>18</v>
      </c>
      <c r="O53" s="6" t="n">
        <f aca="false">IF(C53="롱",(J53-E53)/E53,(E53-J53)/E53)</f>
        <v>0.0191894166043382</v>
      </c>
    </row>
    <row r="54" customFormat="false" ht="17.15" hidden="false" customHeight="false" outlineLevel="0" collapsed="false">
      <c r="A54" s="4" t="n">
        <v>2</v>
      </c>
      <c r="B54" s="4" t="s">
        <v>14</v>
      </c>
      <c r="C54" s="8" t="s">
        <v>72</v>
      </c>
      <c r="D54" s="21" t="n">
        <v>44420</v>
      </c>
      <c r="E54" s="22" t="n">
        <v>422.38</v>
      </c>
      <c r="F54" s="21" t="n">
        <v>44421</v>
      </c>
      <c r="G54" s="22" t="n">
        <v>421.38</v>
      </c>
      <c r="H54" s="22" t="n">
        <v>399.76</v>
      </c>
      <c r="I54" s="21" t="n">
        <v>44428</v>
      </c>
      <c r="J54" s="22" t="n">
        <v>399.76</v>
      </c>
      <c r="K54" s="21" t="n">
        <v>44431</v>
      </c>
      <c r="L54" s="22" t="n">
        <v>404.32</v>
      </c>
      <c r="M54" s="8" t="s">
        <v>75</v>
      </c>
      <c r="N54" s="4" t="n">
        <v>5</v>
      </c>
      <c r="O54" s="6" t="n">
        <f aca="false">IF(C54="롱",(J54-E54)/E54,(E54-J54)/E54)</f>
        <v>-0.053553672048866</v>
      </c>
    </row>
    <row r="55" customFormat="false" ht="17.15" hidden="false" customHeight="false" outlineLevel="0" collapsed="false">
      <c r="A55" s="4" t="n">
        <v>2</v>
      </c>
      <c r="B55" s="4" t="s">
        <v>14</v>
      </c>
      <c r="C55" s="8" t="s">
        <v>72</v>
      </c>
      <c r="D55" s="21" t="n">
        <v>45106</v>
      </c>
      <c r="E55" s="22" t="n">
        <v>336.39</v>
      </c>
      <c r="F55" s="21" t="n">
        <v>45107</v>
      </c>
      <c r="G55" s="22" t="n">
        <v>337.56</v>
      </c>
      <c r="H55" s="22" t="n">
        <v>320.23</v>
      </c>
      <c r="I55" s="21" t="n">
        <v>45121</v>
      </c>
      <c r="J55" s="22" t="n">
        <v>346.93</v>
      </c>
      <c r="K55" s="21" t="n">
        <v>45124</v>
      </c>
      <c r="L55" s="22" t="n">
        <v>345.38</v>
      </c>
      <c r="M55" s="8" t="s">
        <v>73</v>
      </c>
      <c r="N55" s="4" t="n">
        <v>11</v>
      </c>
      <c r="O55" s="6" t="n">
        <f aca="false">IF(C55="롱",(J55-E55)/E55,(E55-J55)/E55)</f>
        <v>0.031332679330539</v>
      </c>
    </row>
    <row r="56" customFormat="false" ht="17.15" hidden="false" customHeight="false" outlineLevel="0" collapsed="false">
      <c r="A56" s="4" t="n">
        <v>2</v>
      </c>
      <c r="B56" s="4" t="s">
        <v>14</v>
      </c>
      <c r="C56" s="8" t="s">
        <v>72</v>
      </c>
      <c r="D56" s="21" t="n">
        <v>45152</v>
      </c>
      <c r="E56" s="22" t="n">
        <v>336.33</v>
      </c>
      <c r="F56" s="21" t="n">
        <v>45154</v>
      </c>
      <c r="G56" s="22" t="n">
        <v>333.69</v>
      </c>
      <c r="H56" s="22" t="n">
        <v>314.71</v>
      </c>
      <c r="I56" s="21" t="n">
        <v>45168</v>
      </c>
      <c r="J56" s="22" t="n">
        <v>334.94</v>
      </c>
      <c r="K56" s="21" t="n">
        <v>45169</v>
      </c>
      <c r="L56" s="22" t="n">
        <v>335.38</v>
      </c>
      <c r="M56" s="8" t="s">
        <v>73</v>
      </c>
      <c r="N56" s="4" t="n">
        <v>11</v>
      </c>
      <c r="O56" s="6" t="n">
        <f aca="false">IF(C56="롱",(J56-E56)/E56,(E56-J56)/E56)</f>
        <v>-0.00413284571700409</v>
      </c>
    </row>
    <row r="57" customFormat="false" ht="17.15" hidden="false" customHeight="false" outlineLevel="0" collapsed="false">
      <c r="A57" s="4" t="n">
        <v>2</v>
      </c>
      <c r="B57" s="4" t="s">
        <v>14</v>
      </c>
      <c r="C57" s="8" t="s">
        <v>72</v>
      </c>
      <c r="D57" s="21" t="n">
        <v>45307</v>
      </c>
      <c r="E57" s="22" t="n">
        <v>334.73</v>
      </c>
      <c r="F57" s="21" t="n">
        <v>45308</v>
      </c>
      <c r="G57" s="22" t="n">
        <v>335.51</v>
      </c>
      <c r="H57" s="22" t="n">
        <v>313.3</v>
      </c>
      <c r="I57" s="21" t="n">
        <v>45323</v>
      </c>
      <c r="J57" s="22" t="n">
        <v>342.41</v>
      </c>
      <c r="K57" s="21" t="n">
        <v>45324</v>
      </c>
      <c r="L57" s="22" t="n">
        <v>345.1</v>
      </c>
      <c r="M57" s="8" t="s">
        <v>73</v>
      </c>
      <c r="N57" s="4" t="n">
        <v>12</v>
      </c>
      <c r="O57" s="6" t="n">
        <f aca="false">IF(C57="롱",(J57-E57)/E57,(E57-J57)/E57)</f>
        <v>0.0229438652047919</v>
      </c>
    </row>
    <row r="58" customFormat="false" ht="17.15" hidden="false" customHeight="false" outlineLevel="0" collapsed="false">
      <c r="A58" s="4" t="n">
        <v>2</v>
      </c>
      <c r="B58" s="4" t="s">
        <v>14</v>
      </c>
      <c r="C58" s="8" t="s">
        <v>72</v>
      </c>
      <c r="D58" s="21" t="n">
        <v>45399</v>
      </c>
      <c r="E58" s="22" t="n">
        <v>352.79</v>
      </c>
      <c r="F58" s="21" t="n">
        <v>45400</v>
      </c>
      <c r="G58" s="22" t="n">
        <v>354.25</v>
      </c>
      <c r="H58" s="22" t="n">
        <v>324.74</v>
      </c>
      <c r="I58" s="21" t="n">
        <v>45412</v>
      </c>
      <c r="J58" s="22" t="n">
        <v>365.13</v>
      </c>
      <c r="K58" s="21" t="n">
        <v>45413</v>
      </c>
      <c r="L58" s="22" t="n">
        <v>365.17</v>
      </c>
      <c r="M58" s="8" t="s">
        <v>73</v>
      </c>
      <c r="N58" s="4" t="n">
        <v>9</v>
      </c>
      <c r="O58" s="6" t="n">
        <f aca="false">IF(C58="롱",(J58-E58)/E58,(E58-J58)/E58)</f>
        <v>0.0349783157118965</v>
      </c>
    </row>
    <row r="59" customFormat="false" ht="17.15" hidden="false" customHeight="false" outlineLevel="0" collapsed="false">
      <c r="A59" s="4" t="n">
        <v>2</v>
      </c>
      <c r="B59" s="4" t="s">
        <v>14</v>
      </c>
      <c r="C59" s="8" t="s">
        <v>72</v>
      </c>
      <c r="D59" s="21" t="n">
        <v>45442</v>
      </c>
      <c r="E59" s="22" t="n">
        <v>358.7</v>
      </c>
      <c r="F59" s="21" t="n">
        <v>45443</v>
      </c>
      <c r="G59" s="22" t="n">
        <v>362.02</v>
      </c>
      <c r="H59" s="22" t="n">
        <v>334.96</v>
      </c>
      <c r="I59" s="21" t="n">
        <v>45456</v>
      </c>
      <c r="J59" s="22" t="n">
        <v>374.75</v>
      </c>
      <c r="K59" s="21" t="n">
        <v>45457</v>
      </c>
      <c r="L59" s="22" t="n">
        <v>375.76</v>
      </c>
      <c r="M59" s="8" t="s">
        <v>73</v>
      </c>
      <c r="N59" s="4" t="n">
        <v>9</v>
      </c>
      <c r="O59" s="6" t="n">
        <f aca="false">IF(C59="롱",(J59-E59)/E59,(E59-J59)/E59)</f>
        <v>0.0447449121828827</v>
      </c>
    </row>
    <row r="60" customFormat="false" ht="17.15" hidden="false" customHeight="false" outlineLevel="0" collapsed="false">
      <c r="A60" s="4" t="n">
        <v>2</v>
      </c>
      <c r="B60" s="4" t="s">
        <v>14</v>
      </c>
      <c r="C60" s="8" t="s">
        <v>72</v>
      </c>
      <c r="D60" s="21" t="n">
        <v>45498</v>
      </c>
      <c r="E60" s="22" t="n">
        <v>371.26</v>
      </c>
      <c r="F60" s="21" t="n">
        <v>45499</v>
      </c>
      <c r="G60" s="22" t="n">
        <v>373.44</v>
      </c>
      <c r="H60" s="22" t="n">
        <v>346.94</v>
      </c>
      <c r="I60" s="21" t="n">
        <v>45509</v>
      </c>
      <c r="J60" s="22" t="n">
        <v>346.94</v>
      </c>
      <c r="K60" s="21" t="n">
        <v>45510</v>
      </c>
      <c r="L60" s="22" t="n">
        <v>345.63</v>
      </c>
      <c r="M60" s="8" t="s">
        <v>75</v>
      </c>
      <c r="N60" s="4" t="n">
        <v>7</v>
      </c>
      <c r="O60" s="6" t="n">
        <f aca="false">IF(C60="롱",(J60-E60)/E60,(E60-J60)/E60)</f>
        <v>-0.0655066530194473</v>
      </c>
    </row>
    <row r="61" customFormat="false" ht="17.15" hidden="false" customHeight="false" outlineLevel="0" collapsed="false">
      <c r="A61" s="4" t="n">
        <v>2</v>
      </c>
      <c r="B61" s="4" t="s">
        <v>14</v>
      </c>
      <c r="C61" s="8" t="s">
        <v>72</v>
      </c>
      <c r="D61" s="21" t="n">
        <v>45982</v>
      </c>
      <c r="E61" s="22" t="n">
        <v>540.36</v>
      </c>
      <c r="F61" s="21" t="n">
        <v>45985</v>
      </c>
      <c r="G61" s="22" t="n">
        <v>550.52</v>
      </c>
      <c r="H61" s="22" t="n">
        <v>486.32</v>
      </c>
      <c r="I61" s="21" t="n">
        <v>45996</v>
      </c>
      <c r="J61" s="22" t="n">
        <v>580.81</v>
      </c>
      <c r="K61" s="21" t="n">
        <v>45999</v>
      </c>
      <c r="L61" s="22" t="n">
        <v>581.89</v>
      </c>
      <c r="M61" s="8" t="s">
        <v>73</v>
      </c>
      <c r="N61" s="4" t="n">
        <v>10</v>
      </c>
      <c r="O61" s="6" t="n">
        <f aca="false">IF(C61="롱",(J61-E61)/E61,(E61-J61)/E61)</f>
        <v>0.0748575024058034</v>
      </c>
    </row>
    <row r="62" customFormat="false" ht="17.15" hidden="false" customHeight="false" outlineLevel="0" collapsed="false">
      <c r="A62" s="4" t="n">
        <v>2</v>
      </c>
      <c r="B62" s="4" t="s">
        <v>14</v>
      </c>
      <c r="C62" s="8" t="s">
        <v>72</v>
      </c>
      <c r="D62" s="21" t="n">
        <v>46112</v>
      </c>
      <c r="E62" s="22" t="n">
        <v>744.57</v>
      </c>
      <c r="F62" s="21" t="n">
        <v>46113</v>
      </c>
      <c r="G62" s="22" t="n">
        <v>789.35</v>
      </c>
      <c r="H62" s="22" t="n">
        <v>670.11</v>
      </c>
      <c r="I62" s="21" t="n">
        <v>46120</v>
      </c>
      <c r="J62" s="22" t="n">
        <v>882.81</v>
      </c>
      <c r="K62" s="21" t="n">
        <v>46121</v>
      </c>
      <c r="L62" s="22" t="n">
        <v>874.49</v>
      </c>
      <c r="M62" s="8" t="s">
        <v>73</v>
      </c>
      <c r="N62" s="4" t="n">
        <v>6</v>
      </c>
      <c r="O62" s="6" t="n">
        <f aca="false">IF(C62="롱",(J62-E62)/E62,(E62-J62)/E62)</f>
        <v>0.185664208872235</v>
      </c>
    </row>
    <row r="63" customFormat="false" ht="17.15" hidden="false" customHeight="false" outlineLevel="0" collapsed="false">
      <c r="A63" s="4" t="n">
        <v>2</v>
      </c>
      <c r="B63" s="4" t="s">
        <v>14</v>
      </c>
      <c r="C63" s="8" t="s">
        <v>72</v>
      </c>
      <c r="D63" s="21" t="n">
        <v>46211</v>
      </c>
      <c r="E63" s="22" t="n">
        <v>1158.37</v>
      </c>
      <c r="F63" s="21" t="n">
        <v>46212</v>
      </c>
      <c r="G63" s="22" t="n">
        <v>1202.01</v>
      </c>
      <c r="H63" s="22" t="n">
        <v>1042.53</v>
      </c>
      <c r="I63" s="21" t="n">
        <v>46217</v>
      </c>
      <c r="J63" s="22" t="n">
        <v>1042.53</v>
      </c>
      <c r="K63" s="21" t="n">
        <v>46218</v>
      </c>
      <c r="L63" s="22" t="n">
        <v>1129.73</v>
      </c>
      <c r="M63" s="8" t="s">
        <v>75</v>
      </c>
      <c r="N63" s="4" t="n">
        <v>4</v>
      </c>
      <c r="O63" s="6" t="n">
        <f aca="false">IF(C63="롱",(J63-E63)/E63,(E63-J63)/E63)</f>
        <v>-0.100002589846077</v>
      </c>
    </row>
    <row r="64" customFormat="false" ht="17.15" hidden="false" customHeight="false" outlineLevel="0" collapsed="false">
      <c r="A64" s="4" t="n">
        <v>2</v>
      </c>
      <c r="B64" s="4" t="s">
        <v>14</v>
      </c>
      <c r="C64" s="8" t="s">
        <v>72</v>
      </c>
      <c r="D64" s="21" t="n">
        <v>46231</v>
      </c>
      <c r="E64" s="22" t="n">
        <v>945.69</v>
      </c>
      <c r="F64" s="21" t="n">
        <v>46232</v>
      </c>
      <c r="G64" s="22" t="n">
        <v>957.46</v>
      </c>
      <c r="H64" s="22" t="n">
        <v>851.12</v>
      </c>
      <c r="I64" s="21" t="n">
        <v>46232</v>
      </c>
      <c r="J64" s="22" t="n">
        <v>851.12</v>
      </c>
      <c r="K64" s="21" t="n">
        <v>46233</v>
      </c>
      <c r="L64" s="22" t="n">
        <v>891.08</v>
      </c>
      <c r="M64" s="8" t="s">
        <v>75</v>
      </c>
      <c r="N64" s="4" t="n">
        <v>1</v>
      </c>
      <c r="O64" s="6" t="n">
        <f aca="false">IF(C64="롱",(J64-E64)/E64,(E64-J64)/E64)</f>
        <v>-0.100001057428967</v>
      </c>
    </row>
  </sheetData>
  <autoFilter ref="A4:O6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10" min="9" style="0" width="14"/>
    <col collapsed="false" customWidth="true" hidden="false" outlineLevel="0" max="11" min="11" style="0" width="16"/>
    <col collapsed="false" customWidth="true" hidden="false" outlineLevel="0" max="12" min="12" style="0" width="12"/>
    <col collapsed="false" customWidth="true" hidden="false" outlineLevel="0" max="13" min="13" style="0" width="16"/>
    <col collapsed="false" customWidth="true" hidden="false" outlineLevel="0" max="14" min="14" style="0" width="7"/>
    <col collapsed="false" customWidth="true" hidden="false" outlineLevel="0" max="15" min="15" style="0" width="16"/>
  </cols>
  <sheetData>
    <row r="1" customFormat="false" ht="19.4" hidden="false" customHeight="false" outlineLevel="0" collapsed="false">
      <c r="A1" s="1" t="s">
        <v>80</v>
      </c>
    </row>
    <row r="2" customFormat="false" ht="15" hidden="false" customHeight="false" outlineLevel="0" collapsed="false">
      <c r="A2" s="2" t="s">
        <v>58</v>
      </c>
    </row>
    <row r="4" customFormat="false" ht="31.5" hidden="false" customHeight="true" outlineLevel="0" collapsed="false">
      <c r="A4" s="19" t="s">
        <v>2</v>
      </c>
      <c r="B4" s="19" t="s">
        <v>3</v>
      </c>
      <c r="C4" s="19" t="s">
        <v>59</v>
      </c>
      <c r="D4" s="19" t="s">
        <v>60</v>
      </c>
      <c r="E4" s="19" t="s">
        <v>61</v>
      </c>
      <c r="F4" s="20" t="s">
        <v>62</v>
      </c>
      <c r="G4" s="19" t="s">
        <v>63</v>
      </c>
      <c r="H4" s="19" t="s">
        <v>64</v>
      </c>
      <c r="I4" s="19" t="s">
        <v>65</v>
      </c>
      <c r="J4" s="19" t="s">
        <v>66</v>
      </c>
      <c r="K4" s="20" t="s">
        <v>67</v>
      </c>
      <c r="L4" s="19" t="s">
        <v>68</v>
      </c>
      <c r="M4" s="19" t="s">
        <v>69</v>
      </c>
      <c r="N4" s="19" t="s">
        <v>70</v>
      </c>
      <c r="O4" s="19" t="s">
        <v>71</v>
      </c>
    </row>
    <row r="5" customFormat="false" ht="17.15" hidden="false" customHeight="false" outlineLevel="0" collapsed="false">
      <c r="A5" s="4" t="n">
        <v>3</v>
      </c>
      <c r="B5" s="4" t="s">
        <v>16</v>
      </c>
      <c r="C5" s="8" t="s">
        <v>72</v>
      </c>
      <c r="D5" s="21" t="n">
        <v>37761</v>
      </c>
      <c r="E5" s="22" t="n">
        <v>76.4</v>
      </c>
      <c r="F5" s="21" t="n">
        <v>37762</v>
      </c>
      <c r="G5" s="22" t="n">
        <v>76.06</v>
      </c>
      <c r="H5" s="22" t="n">
        <v>68.76</v>
      </c>
      <c r="I5" s="21" t="n">
        <v>37886</v>
      </c>
      <c r="J5" s="22" t="n">
        <v>91.78</v>
      </c>
      <c r="K5" s="21" t="n">
        <v>37887</v>
      </c>
      <c r="L5" s="22" t="n">
        <v>91.7</v>
      </c>
      <c r="M5" s="8" t="s">
        <v>73</v>
      </c>
      <c r="N5" s="4" t="n">
        <v>83</v>
      </c>
      <c r="O5" s="6" t="n">
        <f aca="false">IF(C5="롱",(J5-E5)/E5,(E5-J5)/E5)</f>
        <v>0.20130890052356</v>
      </c>
    </row>
    <row r="6" customFormat="false" ht="17.15" hidden="false" customHeight="false" outlineLevel="0" collapsed="false">
      <c r="A6" s="4" t="n">
        <v>3</v>
      </c>
      <c r="B6" s="4" t="s">
        <v>16</v>
      </c>
      <c r="C6" s="8" t="s">
        <v>72</v>
      </c>
      <c r="D6" s="21" t="n">
        <v>37901</v>
      </c>
      <c r="E6" s="22" t="n">
        <v>93.65</v>
      </c>
      <c r="F6" s="21" t="n">
        <v>37902</v>
      </c>
      <c r="G6" s="22" t="n">
        <v>94.19</v>
      </c>
      <c r="H6" s="22" t="n">
        <v>84.29</v>
      </c>
      <c r="I6" s="21" t="n">
        <v>37949</v>
      </c>
      <c r="J6" s="22" t="n">
        <v>97.61</v>
      </c>
      <c r="K6" s="21" t="n">
        <v>37950</v>
      </c>
      <c r="L6" s="22" t="n">
        <v>99.6</v>
      </c>
      <c r="M6" s="8" t="s">
        <v>73</v>
      </c>
      <c r="N6" s="4" t="n">
        <v>34</v>
      </c>
      <c r="O6" s="6" t="n">
        <f aca="false">IF(C6="롱",(J6-E6)/E6,(E6-J6)/E6)</f>
        <v>0.0422851041110517</v>
      </c>
    </row>
    <row r="7" customFormat="false" ht="17.15" hidden="false" customHeight="false" outlineLevel="0" collapsed="false">
      <c r="A7" s="4" t="n">
        <v>3</v>
      </c>
      <c r="B7" s="4" t="s">
        <v>16</v>
      </c>
      <c r="C7" s="8" t="s">
        <v>72</v>
      </c>
      <c r="D7" s="21" t="n">
        <v>37951</v>
      </c>
      <c r="E7" s="22" t="n">
        <v>101.6</v>
      </c>
      <c r="F7" s="21" t="n">
        <v>37952</v>
      </c>
      <c r="G7" s="22" t="n">
        <v>101.63</v>
      </c>
      <c r="H7" s="22" t="n">
        <v>91.44</v>
      </c>
      <c r="I7" s="21" t="n">
        <v>38058</v>
      </c>
      <c r="J7" s="22" t="n">
        <v>111.23</v>
      </c>
      <c r="K7" s="21" t="n">
        <v>38061</v>
      </c>
      <c r="L7" s="22" t="n">
        <v>112.23</v>
      </c>
      <c r="M7" s="8" t="s">
        <v>73</v>
      </c>
      <c r="N7" s="4" t="n">
        <v>70</v>
      </c>
      <c r="O7" s="6" t="n">
        <f aca="false">IF(C7="롱",(J7-E7)/E7,(E7-J7)/E7)</f>
        <v>0.0947834645669292</v>
      </c>
    </row>
    <row r="8" customFormat="false" ht="17.15" hidden="false" customHeight="false" outlineLevel="0" collapsed="false">
      <c r="A8" s="4" t="n">
        <v>3</v>
      </c>
      <c r="B8" s="4" t="s">
        <v>16</v>
      </c>
      <c r="C8" s="8" t="s">
        <v>72</v>
      </c>
      <c r="D8" s="21" t="n">
        <v>38063</v>
      </c>
      <c r="E8" s="22" t="n">
        <v>114.55</v>
      </c>
      <c r="F8" s="21" t="n">
        <v>38064</v>
      </c>
      <c r="G8" s="22" t="n">
        <v>115.45</v>
      </c>
      <c r="H8" s="22" t="n">
        <v>104.78</v>
      </c>
      <c r="I8" s="21" t="n">
        <v>38071</v>
      </c>
      <c r="J8" s="22" t="n">
        <v>112.16</v>
      </c>
      <c r="K8" s="21" t="n">
        <v>38072</v>
      </c>
      <c r="L8" s="22" t="n">
        <v>113.89</v>
      </c>
      <c r="M8" s="8" t="s">
        <v>73</v>
      </c>
      <c r="N8" s="4" t="n">
        <v>6</v>
      </c>
      <c r="O8" s="6" t="n">
        <f aca="false">IF(C8="롱",(J8-E8)/E8,(E8-J8)/E8)</f>
        <v>-0.0208642514185945</v>
      </c>
    </row>
    <row r="9" customFormat="false" ht="17.15" hidden="false" customHeight="false" outlineLevel="0" collapsed="false">
      <c r="A9" s="4" t="n">
        <v>3</v>
      </c>
      <c r="B9" s="4" t="s">
        <v>16</v>
      </c>
      <c r="C9" s="8" t="s">
        <v>72</v>
      </c>
      <c r="D9" s="21" t="n">
        <v>38075</v>
      </c>
      <c r="E9" s="22" t="n">
        <v>115.1</v>
      </c>
      <c r="F9" s="21" t="n">
        <v>38076</v>
      </c>
      <c r="G9" s="22" t="n">
        <v>115.78</v>
      </c>
      <c r="H9" s="22" t="n">
        <v>104.28</v>
      </c>
      <c r="I9" s="21" t="n">
        <v>38106</v>
      </c>
      <c r="J9" s="22" t="n">
        <v>114.01</v>
      </c>
      <c r="K9" s="21" t="n">
        <v>38107</v>
      </c>
      <c r="L9" s="22" t="n">
        <v>113.05</v>
      </c>
      <c r="M9" s="8" t="s">
        <v>73</v>
      </c>
      <c r="N9" s="4" t="n">
        <v>21</v>
      </c>
      <c r="O9" s="6" t="n">
        <f aca="false">IF(C9="롱",(J9-E9)/E9,(E9-J9)/E9)</f>
        <v>-0.00947002606429183</v>
      </c>
    </row>
    <row r="10" customFormat="false" ht="17.15" hidden="false" customHeight="false" outlineLevel="0" collapsed="false">
      <c r="A10" s="4" t="n">
        <v>3</v>
      </c>
      <c r="B10" s="4" t="s">
        <v>16</v>
      </c>
      <c r="C10" s="8" t="s">
        <v>72</v>
      </c>
      <c r="D10" s="21" t="n">
        <v>38278</v>
      </c>
      <c r="E10" s="22" t="n">
        <v>109.24</v>
      </c>
      <c r="F10" s="21" t="n">
        <v>38279</v>
      </c>
      <c r="G10" s="22" t="n">
        <v>110.88</v>
      </c>
      <c r="H10" s="22" t="n">
        <v>98.82</v>
      </c>
      <c r="I10" s="21" t="n">
        <v>38280</v>
      </c>
      <c r="J10" s="22" t="n">
        <v>106.93</v>
      </c>
      <c r="K10" s="21" t="n">
        <v>38281</v>
      </c>
      <c r="L10" s="22" t="n">
        <v>107.2</v>
      </c>
      <c r="M10" s="8" t="s">
        <v>73</v>
      </c>
      <c r="N10" s="4" t="n">
        <v>2</v>
      </c>
      <c r="O10" s="6" t="n">
        <f aca="false">IF(C10="롱",(J10-E10)/E10,(E10-J10)/E10)</f>
        <v>-0.0211461003295495</v>
      </c>
    </row>
    <row r="11" customFormat="false" ht="17.15" hidden="false" customHeight="false" outlineLevel="0" collapsed="false">
      <c r="A11" s="4" t="n">
        <v>3</v>
      </c>
      <c r="B11" s="4" t="s">
        <v>16</v>
      </c>
      <c r="C11" s="8" t="s">
        <v>72</v>
      </c>
      <c r="D11" s="21" t="n">
        <v>38289</v>
      </c>
      <c r="E11" s="22" t="n">
        <v>107.99</v>
      </c>
      <c r="F11" s="21" t="n">
        <v>38292</v>
      </c>
      <c r="G11" s="22" t="n">
        <v>107.69</v>
      </c>
      <c r="H11" s="22" t="n">
        <v>97.19</v>
      </c>
      <c r="I11" s="21" t="n">
        <v>38331</v>
      </c>
      <c r="J11" s="22" t="n">
        <v>108.57</v>
      </c>
      <c r="K11" s="21" t="n">
        <v>38334</v>
      </c>
      <c r="L11" s="22" t="n">
        <v>108.09</v>
      </c>
      <c r="M11" s="8" t="s">
        <v>73</v>
      </c>
      <c r="N11" s="4" t="n">
        <v>30</v>
      </c>
      <c r="O11" s="6" t="n">
        <f aca="false">IF(C11="롱",(J11-E11)/E11,(E11-J11)/E11)</f>
        <v>0.00537086767293266</v>
      </c>
    </row>
    <row r="12" customFormat="false" ht="17.15" hidden="false" customHeight="false" outlineLevel="0" collapsed="false">
      <c r="A12" s="4" t="n">
        <v>3</v>
      </c>
      <c r="B12" s="4" t="s">
        <v>16</v>
      </c>
      <c r="C12" s="8" t="s">
        <v>72</v>
      </c>
      <c r="D12" s="21" t="n">
        <v>38336</v>
      </c>
      <c r="E12" s="22" t="n">
        <v>111.87</v>
      </c>
      <c r="F12" s="21" t="n">
        <v>38337</v>
      </c>
      <c r="G12" s="22" t="n">
        <v>112.04</v>
      </c>
      <c r="H12" s="22" t="n">
        <v>101.25</v>
      </c>
      <c r="I12" s="21" t="n">
        <v>38401</v>
      </c>
      <c r="J12" s="22" t="n">
        <v>127.43</v>
      </c>
      <c r="K12" s="21" t="n">
        <v>38404</v>
      </c>
      <c r="L12" s="22" t="n">
        <v>128.44</v>
      </c>
      <c r="M12" s="8" t="s">
        <v>73</v>
      </c>
      <c r="N12" s="4" t="n">
        <v>43</v>
      </c>
      <c r="O12" s="6" t="n">
        <f aca="false">IF(C12="롱",(J12-E12)/E12,(E12-J12)/E12)</f>
        <v>0.13909001519621</v>
      </c>
    </row>
    <row r="13" customFormat="false" ht="17.15" hidden="false" customHeight="false" outlineLevel="0" collapsed="false">
      <c r="A13" s="4" t="n">
        <v>3</v>
      </c>
      <c r="B13" s="4" t="s">
        <v>16</v>
      </c>
      <c r="C13" s="8" t="s">
        <v>72</v>
      </c>
      <c r="D13" s="21" t="n">
        <v>38439</v>
      </c>
      <c r="E13" s="22" t="n">
        <v>126.72</v>
      </c>
      <c r="F13" s="21" t="n">
        <v>38440</v>
      </c>
      <c r="G13" s="22" t="n">
        <v>126.65</v>
      </c>
      <c r="H13" s="22" t="n">
        <v>116.02</v>
      </c>
      <c r="I13" s="21" t="n">
        <v>38440</v>
      </c>
      <c r="J13" s="22" t="n">
        <v>124.13</v>
      </c>
      <c r="K13" s="21" t="n">
        <v>38441</v>
      </c>
      <c r="L13" s="22" t="n">
        <v>123.26</v>
      </c>
      <c r="M13" s="8" t="s">
        <v>73</v>
      </c>
      <c r="N13" s="4" t="n">
        <v>1</v>
      </c>
      <c r="O13" s="6" t="n">
        <f aca="false">IF(C13="롱",(J13-E13)/E13,(E13-J13)/E13)</f>
        <v>-0.0204387626262627</v>
      </c>
    </row>
    <row r="14" customFormat="false" ht="17.15" hidden="false" customHeight="false" outlineLevel="0" collapsed="false">
      <c r="A14" s="4" t="n">
        <v>3</v>
      </c>
      <c r="B14" s="4" t="s">
        <v>16</v>
      </c>
      <c r="C14" s="8" t="s">
        <v>72</v>
      </c>
      <c r="D14" s="21" t="n">
        <v>38443</v>
      </c>
      <c r="E14" s="22" t="n">
        <v>126.88</v>
      </c>
      <c r="F14" s="21" t="n">
        <v>38446</v>
      </c>
      <c r="G14" s="22" t="n">
        <v>126.77</v>
      </c>
      <c r="H14" s="22" t="n">
        <v>115.54</v>
      </c>
      <c r="I14" s="21" t="n">
        <v>38456</v>
      </c>
      <c r="J14" s="22" t="n">
        <v>123.29</v>
      </c>
      <c r="K14" s="21" t="n">
        <v>38457</v>
      </c>
      <c r="L14" s="22" t="n">
        <v>123.49</v>
      </c>
      <c r="M14" s="8" t="s">
        <v>73</v>
      </c>
      <c r="N14" s="4" t="n">
        <v>8</v>
      </c>
      <c r="O14" s="6" t="n">
        <f aca="false">IF(C14="롱",(J14-E14)/E14,(E14-J14)/E14)</f>
        <v>-0.0282944514501891</v>
      </c>
    </row>
    <row r="15" customFormat="false" ht="17.15" hidden="false" customHeight="false" outlineLevel="0" collapsed="false">
      <c r="A15" s="4" t="n">
        <v>3</v>
      </c>
      <c r="B15" s="4" t="s">
        <v>16</v>
      </c>
      <c r="C15" s="8" t="s">
        <v>72</v>
      </c>
      <c r="D15" s="21" t="n">
        <v>38596</v>
      </c>
      <c r="E15" s="22" t="n">
        <v>143.13</v>
      </c>
      <c r="F15" s="21" t="n">
        <v>38597</v>
      </c>
      <c r="G15" s="22" t="n">
        <v>143.59</v>
      </c>
      <c r="H15" s="22" t="n">
        <v>129.93</v>
      </c>
      <c r="I15" s="21" t="n">
        <v>38615</v>
      </c>
      <c r="J15" s="22" t="n">
        <v>154.69</v>
      </c>
      <c r="K15" s="21" t="n">
        <v>38616</v>
      </c>
      <c r="L15" s="22" t="n">
        <v>154.31</v>
      </c>
      <c r="M15" s="8" t="s">
        <v>73</v>
      </c>
      <c r="N15" s="4" t="n">
        <v>12</v>
      </c>
      <c r="O15" s="6" t="n">
        <f aca="false">IF(C15="롱",(J15-E15)/E15,(E15-J15)/E15)</f>
        <v>0.0807657374414868</v>
      </c>
    </row>
    <row r="16" customFormat="false" ht="17.15" hidden="false" customHeight="false" outlineLevel="0" collapsed="false">
      <c r="A16" s="4" t="n">
        <v>3</v>
      </c>
      <c r="B16" s="4" t="s">
        <v>16</v>
      </c>
      <c r="C16" s="8" t="s">
        <v>72</v>
      </c>
      <c r="D16" s="21" t="n">
        <v>38657</v>
      </c>
      <c r="E16" s="22" t="n">
        <v>152.98</v>
      </c>
      <c r="F16" s="21" t="n">
        <v>38658</v>
      </c>
      <c r="G16" s="22" t="n">
        <v>153.8</v>
      </c>
      <c r="H16" s="22" t="n">
        <v>137.68</v>
      </c>
      <c r="I16" s="21" t="n">
        <v>38713</v>
      </c>
      <c r="J16" s="22" t="n">
        <v>177.2</v>
      </c>
      <c r="K16" s="21" t="n">
        <v>38714</v>
      </c>
      <c r="L16" s="22" t="n">
        <v>174.94</v>
      </c>
      <c r="M16" s="8" t="s">
        <v>73</v>
      </c>
      <c r="N16" s="4" t="n">
        <v>40</v>
      </c>
      <c r="O16" s="6" t="n">
        <f aca="false">IF(C16="롱",(J16-E16)/E16,(E16-J16)/E16)</f>
        <v>0.158321349195973</v>
      </c>
    </row>
    <row r="17" customFormat="false" ht="17.15" hidden="false" customHeight="false" outlineLevel="0" collapsed="false">
      <c r="A17" s="4" t="n">
        <v>3</v>
      </c>
      <c r="B17" s="4" t="s">
        <v>16</v>
      </c>
      <c r="C17" s="8" t="s">
        <v>72</v>
      </c>
      <c r="D17" s="21" t="n">
        <v>38743</v>
      </c>
      <c r="E17" s="22" t="n">
        <v>174.71</v>
      </c>
      <c r="F17" s="21" t="n">
        <v>38744</v>
      </c>
      <c r="G17" s="22" t="n">
        <v>176.69</v>
      </c>
      <c r="H17" s="22" t="n">
        <v>158.1</v>
      </c>
      <c r="I17" s="21" t="n">
        <v>38755</v>
      </c>
      <c r="J17" s="22" t="n">
        <v>172.39</v>
      </c>
      <c r="K17" s="21" t="n">
        <v>38756</v>
      </c>
      <c r="L17" s="22" t="n">
        <v>171.5</v>
      </c>
      <c r="M17" s="8" t="s">
        <v>73</v>
      </c>
      <c r="N17" s="4" t="n">
        <v>7</v>
      </c>
      <c r="O17" s="6" t="n">
        <f aca="false">IF(C17="롱",(J17-E17)/E17,(E17-J17)/E17)</f>
        <v>-0.0132791483029021</v>
      </c>
    </row>
    <row r="18" customFormat="false" ht="17.15" hidden="false" customHeight="false" outlineLevel="0" collapsed="false">
      <c r="A18" s="4" t="n">
        <v>3</v>
      </c>
      <c r="B18" s="4" t="s">
        <v>16</v>
      </c>
      <c r="C18" s="8" t="s">
        <v>72</v>
      </c>
      <c r="D18" s="21" t="n">
        <v>38768</v>
      </c>
      <c r="E18" s="22" t="n">
        <v>174.28</v>
      </c>
      <c r="F18" s="21" t="n">
        <v>38769</v>
      </c>
      <c r="G18" s="22" t="n">
        <v>174.56</v>
      </c>
      <c r="H18" s="22" t="n">
        <v>156.85</v>
      </c>
      <c r="I18" s="21" t="n">
        <v>38779</v>
      </c>
      <c r="J18" s="22" t="n">
        <v>171.67</v>
      </c>
      <c r="K18" s="21" t="n">
        <v>38782</v>
      </c>
      <c r="L18" s="22" t="n">
        <v>172.23</v>
      </c>
      <c r="M18" s="8" t="s">
        <v>73</v>
      </c>
      <c r="N18" s="4" t="n">
        <v>8</v>
      </c>
      <c r="O18" s="6" t="n">
        <f aca="false">IF(C18="롱",(J18-E18)/E18,(E18-J18)/E18)</f>
        <v>-0.0149759008492083</v>
      </c>
    </row>
    <row r="19" customFormat="false" ht="17.15" hidden="false" customHeight="false" outlineLevel="0" collapsed="false">
      <c r="A19" s="4" t="n">
        <v>3</v>
      </c>
      <c r="B19" s="4" t="s">
        <v>16</v>
      </c>
      <c r="C19" s="8" t="s">
        <v>72</v>
      </c>
      <c r="D19" s="21" t="n">
        <v>38803</v>
      </c>
      <c r="E19" s="22" t="n">
        <v>172.44</v>
      </c>
      <c r="F19" s="21" t="n">
        <v>38804</v>
      </c>
      <c r="G19" s="22" t="n">
        <v>172.14</v>
      </c>
      <c r="H19" s="22" t="n">
        <v>158.16</v>
      </c>
      <c r="I19" s="21" t="n">
        <v>38853</v>
      </c>
      <c r="J19" s="22" t="n">
        <v>179</v>
      </c>
      <c r="K19" s="21" t="n">
        <v>38854</v>
      </c>
      <c r="L19" s="22" t="n">
        <v>179.72</v>
      </c>
      <c r="M19" s="8" t="s">
        <v>73</v>
      </c>
      <c r="N19" s="4" t="n">
        <v>34</v>
      </c>
      <c r="O19" s="6" t="n">
        <f aca="false">IF(C19="롱",(J19-E19)/E19,(E19-J19)/E19)</f>
        <v>0.0380422175829274</v>
      </c>
    </row>
    <row r="20" customFormat="false" ht="17.15" hidden="false" customHeight="false" outlineLevel="0" collapsed="false">
      <c r="A20" s="4" t="n">
        <v>3</v>
      </c>
      <c r="B20" s="4" t="s">
        <v>16</v>
      </c>
      <c r="C20" s="8" t="s">
        <v>72</v>
      </c>
      <c r="D20" s="21" t="n">
        <v>38973</v>
      </c>
      <c r="E20" s="22" t="n">
        <v>172.93</v>
      </c>
      <c r="F20" s="21" t="n">
        <v>38974</v>
      </c>
      <c r="G20" s="22" t="n">
        <v>172.96</v>
      </c>
      <c r="H20" s="22" t="n">
        <v>163.14</v>
      </c>
      <c r="I20" s="21" t="n">
        <v>38999</v>
      </c>
      <c r="J20" s="22" t="n">
        <v>171.78</v>
      </c>
      <c r="K20" s="21" t="n">
        <v>39000</v>
      </c>
      <c r="L20" s="22" t="n">
        <v>172.31</v>
      </c>
      <c r="M20" s="8" t="s">
        <v>73</v>
      </c>
      <c r="N20" s="4" t="n">
        <v>15</v>
      </c>
      <c r="O20" s="6" t="n">
        <f aca="false">IF(C20="롱",(J20-E20)/E20,(E20-J20)/E20)</f>
        <v>-0.00665008963164289</v>
      </c>
    </row>
    <row r="21" customFormat="false" ht="17.15" hidden="false" customHeight="false" outlineLevel="0" collapsed="false">
      <c r="A21" s="4" t="n">
        <v>3</v>
      </c>
      <c r="B21" s="4" t="s">
        <v>16</v>
      </c>
      <c r="C21" s="8" t="s">
        <v>72</v>
      </c>
      <c r="D21" s="21" t="n">
        <v>39003</v>
      </c>
      <c r="E21" s="22" t="n">
        <v>175.42</v>
      </c>
      <c r="F21" s="21" t="n">
        <v>39006</v>
      </c>
      <c r="G21" s="22" t="n">
        <v>176.47</v>
      </c>
      <c r="H21" s="22" t="n">
        <v>162.56</v>
      </c>
      <c r="I21" s="21" t="n">
        <v>39059</v>
      </c>
      <c r="J21" s="22" t="n">
        <v>179.49</v>
      </c>
      <c r="K21" s="21" t="n">
        <v>39062</v>
      </c>
      <c r="L21" s="22" t="n">
        <v>179.45</v>
      </c>
      <c r="M21" s="8" t="s">
        <v>73</v>
      </c>
      <c r="N21" s="4" t="n">
        <v>40</v>
      </c>
      <c r="O21" s="6" t="n">
        <f aca="false">IF(C21="롱",(J21-E21)/E21,(E21-J21)/E21)</f>
        <v>0.0232014593546917</v>
      </c>
    </row>
    <row r="22" customFormat="false" ht="17.15" hidden="false" customHeight="false" outlineLevel="0" collapsed="false">
      <c r="A22" s="4" t="n">
        <v>3</v>
      </c>
      <c r="B22" s="4" t="s">
        <v>16</v>
      </c>
      <c r="C22" s="8" t="s">
        <v>72</v>
      </c>
      <c r="D22" s="21" t="n">
        <v>39065</v>
      </c>
      <c r="E22" s="22" t="n">
        <v>183.57</v>
      </c>
      <c r="F22" s="21" t="n">
        <v>39066</v>
      </c>
      <c r="G22" s="22" t="n">
        <v>183.51</v>
      </c>
      <c r="H22" s="22" t="n">
        <v>173.71</v>
      </c>
      <c r="I22" s="21" t="n">
        <v>39086</v>
      </c>
      <c r="J22" s="22" t="n">
        <v>180.52</v>
      </c>
      <c r="K22" s="21" t="n">
        <v>39087</v>
      </c>
      <c r="L22" s="22" t="n">
        <v>180.71</v>
      </c>
      <c r="M22" s="8" t="s">
        <v>73</v>
      </c>
      <c r="N22" s="4" t="n">
        <v>12</v>
      </c>
      <c r="O22" s="6" t="n">
        <f aca="false">IF(C22="롱",(J22-E22)/E22,(E22-J22)/E22)</f>
        <v>-0.0166149152911695</v>
      </c>
    </row>
    <row r="23" customFormat="false" ht="17.15" hidden="false" customHeight="false" outlineLevel="0" collapsed="false">
      <c r="A23" s="4" t="n">
        <v>3</v>
      </c>
      <c r="B23" s="4" t="s">
        <v>16</v>
      </c>
      <c r="C23" s="8" t="s">
        <v>72</v>
      </c>
      <c r="D23" s="21" t="n">
        <v>39149</v>
      </c>
      <c r="E23" s="22" t="n">
        <v>183.94</v>
      </c>
      <c r="F23" s="21" t="n">
        <v>39150</v>
      </c>
      <c r="G23" s="22" t="n">
        <v>185.24</v>
      </c>
      <c r="H23" s="22" t="n">
        <v>170.79</v>
      </c>
      <c r="I23" s="21" t="n">
        <v>39212</v>
      </c>
      <c r="J23" s="22" t="n">
        <v>205.51</v>
      </c>
      <c r="K23" s="21" t="n">
        <v>39213</v>
      </c>
      <c r="L23" s="22" t="n">
        <v>204.14</v>
      </c>
      <c r="M23" s="8" t="s">
        <v>73</v>
      </c>
      <c r="N23" s="4" t="n">
        <v>44</v>
      </c>
      <c r="O23" s="6" t="n">
        <f aca="false">IF(C23="롱",(J23-E23)/E23,(E23-J23)/E23)</f>
        <v>0.117266499945634</v>
      </c>
    </row>
    <row r="24" customFormat="false" ht="17.15" hidden="false" customHeight="false" outlineLevel="0" collapsed="false">
      <c r="A24" s="4" t="n">
        <v>3</v>
      </c>
      <c r="B24" s="4" t="s">
        <v>16</v>
      </c>
      <c r="C24" s="8" t="s">
        <v>72</v>
      </c>
      <c r="D24" s="21" t="n">
        <v>39293</v>
      </c>
      <c r="E24" s="22" t="n">
        <v>241.39</v>
      </c>
      <c r="F24" s="21" t="n">
        <v>39294</v>
      </c>
      <c r="G24" s="22" t="n">
        <v>242.46</v>
      </c>
      <c r="H24" s="22" t="n">
        <v>217.25</v>
      </c>
      <c r="I24" s="21" t="n">
        <v>39296</v>
      </c>
      <c r="J24" s="22" t="n">
        <v>233.84</v>
      </c>
      <c r="K24" s="21" t="n">
        <v>39297</v>
      </c>
      <c r="L24" s="22" t="n">
        <v>236.57</v>
      </c>
      <c r="M24" s="8" t="s">
        <v>73</v>
      </c>
      <c r="N24" s="4" t="n">
        <v>3</v>
      </c>
      <c r="O24" s="6" t="n">
        <f aca="false">IF(C24="롱",(J24-E24)/E24,(E24-J24)/E24)</f>
        <v>-0.0312771862960354</v>
      </c>
    </row>
    <row r="25" customFormat="false" ht="17.15" hidden="false" customHeight="false" outlineLevel="0" collapsed="false">
      <c r="A25" s="4" t="n">
        <v>3</v>
      </c>
      <c r="B25" s="4" t="s">
        <v>16</v>
      </c>
      <c r="C25" s="8" t="s">
        <v>72</v>
      </c>
      <c r="D25" s="21" t="n">
        <v>39302</v>
      </c>
      <c r="E25" s="22" t="n">
        <v>240.07</v>
      </c>
      <c r="F25" s="21" t="n">
        <v>39303</v>
      </c>
      <c r="G25" s="22" t="n">
        <v>242.85</v>
      </c>
      <c r="H25" s="22" t="n">
        <v>216.06</v>
      </c>
      <c r="I25" s="21" t="n">
        <v>39304</v>
      </c>
      <c r="J25" s="22" t="n">
        <v>230.68</v>
      </c>
      <c r="K25" s="21" t="n">
        <v>39307</v>
      </c>
      <c r="L25" s="22" t="n">
        <v>232.19</v>
      </c>
      <c r="M25" s="8" t="s">
        <v>73</v>
      </c>
      <c r="N25" s="4" t="n">
        <v>2</v>
      </c>
      <c r="O25" s="6" t="n">
        <f aca="false">IF(C25="롱",(J25-E25)/E25,(E25-J25)/E25)</f>
        <v>-0.0391135918690381</v>
      </c>
    </row>
    <row r="26" customFormat="false" ht="17.15" hidden="false" customHeight="false" outlineLevel="0" collapsed="false">
      <c r="A26" s="4" t="n">
        <v>3</v>
      </c>
      <c r="B26" s="4" t="s">
        <v>16</v>
      </c>
      <c r="C26" s="8" t="s">
        <v>72</v>
      </c>
      <c r="D26" s="21" t="n">
        <v>39380</v>
      </c>
      <c r="E26" s="22" t="n">
        <v>248.8</v>
      </c>
      <c r="F26" s="21" t="n">
        <v>39381</v>
      </c>
      <c r="G26" s="22" t="n">
        <v>249.95</v>
      </c>
      <c r="H26" s="22" t="n">
        <v>223.92</v>
      </c>
      <c r="I26" s="21" t="n">
        <v>39398</v>
      </c>
      <c r="J26" s="22" t="n">
        <v>243.89</v>
      </c>
      <c r="K26" s="21" t="n">
        <v>39399</v>
      </c>
      <c r="L26" s="22" t="n">
        <v>244.21</v>
      </c>
      <c r="M26" s="8" t="s">
        <v>73</v>
      </c>
      <c r="N26" s="4" t="n">
        <v>12</v>
      </c>
      <c r="O26" s="6" t="n">
        <f aca="false">IF(C26="롱",(J26-E26)/E26,(E26-J26)/E26)</f>
        <v>-0.019734726688103</v>
      </c>
    </row>
    <row r="27" customFormat="false" ht="17.15" hidden="false" customHeight="false" outlineLevel="0" collapsed="false">
      <c r="A27" s="4" t="n">
        <v>3</v>
      </c>
      <c r="B27" s="4" t="s">
        <v>16</v>
      </c>
      <c r="C27" s="8" t="s">
        <v>72</v>
      </c>
      <c r="D27" s="21" t="n">
        <v>39595</v>
      </c>
      <c r="E27" s="22" t="n">
        <v>233.97</v>
      </c>
      <c r="F27" s="21" t="n">
        <v>39596</v>
      </c>
      <c r="G27" s="22" t="n">
        <v>235.43</v>
      </c>
      <c r="H27" s="22" t="n">
        <v>215.11</v>
      </c>
      <c r="I27" s="21" t="n">
        <v>39609</v>
      </c>
      <c r="J27" s="22" t="n">
        <v>226.56</v>
      </c>
      <c r="K27" s="21" t="n">
        <v>39610</v>
      </c>
      <c r="L27" s="22" t="n">
        <v>227.36</v>
      </c>
      <c r="M27" s="8" t="s">
        <v>73</v>
      </c>
      <c r="N27" s="4" t="n">
        <v>9</v>
      </c>
      <c r="O27" s="6" t="n">
        <f aca="false">IF(C27="롱",(J27-E27)/E27,(E27-J27)/E27)</f>
        <v>-0.0316707270162841</v>
      </c>
    </row>
    <row r="28" customFormat="false" ht="17.15" hidden="false" customHeight="false" outlineLevel="0" collapsed="false">
      <c r="A28" s="4" t="n">
        <v>3</v>
      </c>
      <c r="B28" s="4" t="s">
        <v>16</v>
      </c>
      <c r="C28" s="8" t="s">
        <v>72</v>
      </c>
      <c r="D28" s="21" t="n">
        <v>39961</v>
      </c>
      <c r="E28" s="22" t="n">
        <v>178.19</v>
      </c>
      <c r="F28" s="21" t="n">
        <v>39962</v>
      </c>
      <c r="G28" s="22" t="n">
        <v>178.16</v>
      </c>
      <c r="H28" s="22" t="n">
        <v>160.37</v>
      </c>
      <c r="I28" s="21" t="n">
        <v>39987</v>
      </c>
      <c r="J28" s="22" t="n">
        <v>174.32</v>
      </c>
      <c r="K28" s="21" t="n">
        <v>39988</v>
      </c>
      <c r="L28" s="22" t="n">
        <v>174.96</v>
      </c>
      <c r="M28" s="8" t="s">
        <v>73</v>
      </c>
      <c r="N28" s="4" t="n">
        <v>18</v>
      </c>
      <c r="O28" s="6" t="n">
        <f aca="false">IF(C28="롱",(J28-E28)/E28,(E28-J28)/E28)</f>
        <v>-0.0217183904820697</v>
      </c>
    </row>
    <row r="29" customFormat="false" ht="17.15" hidden="false" customHeight="false" outlineLevel="0" collapsed="false">
      <c r="A29" s="4" t="n">
        <v>3</v>
      </c>
      <c r="B29" s="4" t="s">
        <v>16</v>
      </c>
      <c r="C29" s="8" t="s">
        <v>72</v>
      </c>
      <c r="D29" s="21" t="n">
        <v>39989</v>
      </c>
      <c r="E29" s="22" t="n">
        <v>178.86</v>
      </c>
      <c r="F29" s="21" t="n">
        <v>39990</v>
      </c>
      <c r="G29" s="22" t="n">
        <v>180.04</v>
      </c>
      <c r="H29" s="22" t="n">
        <v>160.97</v>
      </c>
      <c r="I29" s="21" t="n">
        <v>40007</v>
      </c>
      <c r="J29" s="22" t="n">
        <v>178.15</v>
      </c>
      <c r="K29" s="21" t="n">
        <v>40008</v>
      </c>
      <c r="L29" s="22" t="n">
        <v>181.13</v>
      </c>
      <c r="M29" s="8" t="s">
        <v>73</v>
      </c>
      <c r="N29" s="4" t="n">
        <v>12</v>
      </c>
      <c r="O29" s="6" t="n">
        <f aca="false">IF(C29="롱",(J29-E29)/E29,(E29-J29)/E29)</f>
        <v>-0.003969585150397</v>
      </c>
    </row>
    <row r="30" customFormat="false" ht="17.15" hidden="false" customHeight="false" outlineLevel="0" collapsed="false">
      <c r="A30" s="4" t="n">
        <v>3</v>
      </c>
      <c r="B30" s="4" t="s">
        <v>16</v>
      </c>
      <c r="C30" s="8" t="s">
        <v>72</v>
      </c>
      <c r="D30" s="21" t="n">
        <v>40009</v>
      </c>
      <c r="E30" s="22" t="n">
        <v>184.26</v>
      </c>
      <c r="F30" s="21" t="n">
        <v>40010</v>
      </c>
      <c r="G30" s="22" t="n">
        <v>186.57</v>
      </c>
      <c r="H30" s="22" t="n">
        <v>167.13</v>
      </c>
      <c r="I30" s="21" t="n">
        <v>40021</v>
      </c>
      <c r="J30" s="22" t="n">
        <v>198.07</v>
      </c>
      <c r="K30" s="21" t="n">
        <v>40022</v>
      </c>
      <c r="L30" s="22" t="n">
        <v>197.69</v>
      </c>
      <c r="M30" s="8" t="s">
        <v>73</v>
      </c>
      <c r="N30" s="4" t="n">
        <v>8</v>
      </c>
      <c r="O30" s="6" t="n">
        <f aca="false">IF(C30="롱",(J30-E30)/E30,(E30-J30)/E30)</f>
        <v>0.074948442418322</v>
      </c>
    </row>
    <row r="31" customFormat="false" ht="17.15" hidden="false" customHeight="false" outlineLevel="0" collapsed="false">
      <c r="A31" s="4" t="n">
        <v>3</v>
      </c>
      <c r="B31" s="4" t="s">
        <v>16</v>
      </c>
      <c r="C31" s="8" t="s">
        <v>72</v>
      </c>
      <c r="D31" s="21" t="n">
        <v>40095</v>
      </c>
      <c r="E31" s="22" t="n">
        <v>215.57</v>
      </c>
      <c r="F31" s="21" t="n">
        <v>40098</v>
      </c>
      <c r="G31" s="22" t="n">
        <v>217.34</v>
      </c>
      <c r="H31" s="22" t="n">
        <v>195.6</v>
      </c>
      <c r="I31" s="21" t="n">
        <v>40114</v>
      </c>
      <c r="J31" s="22" t="n">
        <v>211.03</v>
      </c>
      <c r="K31" s="21" t="n">
        <v>40115</v>
      </c>
      <c r="L31" s="22" t="n">
        <v>207.5</v>
      </c>
      <c r="M31" s="8" t="s">
        <v>73</v>
      </c>
      <c r="N31" s="4" t="n">
        <v>13</v>
      </c>
      <c r="O31" s="6" t="n">
        <f aca="false">IF(C31="롱",(J31-E31)/E31,(E31-J31)/E31)</f>
        <v>-0.0210604444032101</v>
      </c>
    </row>
    <row r="32" customFormat="false" ht="17.15" hidden="false" customHeight="false" outlineLevel="0" collapsed="false">
      <c r="A32" s="4" t="n">
        <v>3</v>
      </c>
      <c r="B32" s="4" t="s">
        <v>16</v>
      </c>
      <c r="C32" s="8" t="s">
        <v>72</v>
      </c>
      <c r="D32" s="21" t="n">
        <v>40149</v>
      </c>
      <c r="E32" s="22" t="n">
        <v>210.25</v>
      </c>
      <c r="F32" s="21" t="n">
        <v>40150</v>
      </c>
      <c r="G32" s="22" t="n">
        <v>211.01</v>
      </c>
      <c r="H32" s="22" t="n">
        <v>191.29</v>
      </c>
      <c r="I32" s="21" t="n">
        <v>40204</v>
      </c>
      <c r="J32" s="22" t="n">
        <v>214.89</v>
      </c>
      <c r="K32" s="21" t="n">
        <v>40205</v>
      </c>
      <c r="L32" s="22" t="n">
        <v>215.38</v>
      </c>
      <c r="M32" s="8" t="s">
        <v>73</v>
      </c>
      <c r="N32" s="4" t="n">
        <v>36</v>
      </c>
      <c r="O32" s="6" t="n">
        <f aca="false">IF(C32="롱",(J32-E32)/E32,(E32-J32)/E32)</f>
        <v>0.0220689655172413</v>
      </c>
    </row>
    <row r="33" customFormat="false" ht="17.15" hidden="false" customHeight="false" outlineLevel="0" collapsed="false">
      <c r="A33" s="4" t="n">
        <v>3</v>
      </c>
      <c r="B33" s="4" t="s">
        <v>16</v>
      </c>
      <c r="C33" s="8" t="s">
        <v>72</v>
      </c>
      <c r="D33" s="21" t="n">
        <v>40367</v>
      </c>
      <c r="E33" s="22" t="n">
        <v>220.78</v>
      </c>
      <c r="F33" s="21" t="n">
        <v>40368</v>
      </c>
      <c r="G33" s="22" t="n">
        <v>222.07</v>
      </c>
      <c r="H33" s="22" t="n">
        <v>205.39</v>
      </c>
      <c r="I33" s="21" t="n">
        <v>40402</v>
      </c>
      <c r="J33" s="22" t="n">
        <v>223.96</v>
      </c>
      <c r="K33" s="21" t="n">
        <v>40403</v>
      </c>
      <c r="L33" s="22" t="n">
        <v>225.12</v>
      </c>
      <c r="M33" s="8" t="s">
        <v>73</v>
      </c>
      <c r="N33" s="4" t="n">
        <v>25</v>
      </c>
      <c r="O33" s="6" t="n">
        <f aca="false">IF(C33="롱",(J33-E33)/E33,(E33-J33)/E33)</f>
        <v>0.014403478575958</v>
      </c>
    </row>
    <row r="34" customFormat="false" ht="17.15" hidden="false" customHeight="false" outlineLevel="0" collapsed="false">
      <c r="A34" s="4" t="n">
        <v>3</v>
      </c>
      <c r="B34" s="4" t="s">
        <v>16</v>
      </c>
      <c r="C34" s="8" t="s">
        <v>72</v>
      </c>
      <c r="D34" s="21" t="n">
        <v>40408</v>
      </c>
      <c r="E34" s="22" t="n">
        <v>228.9</v>
      </c>
      <c r="F34" s="21" t="n">
        <v>40409</v>
      </c>
      <c r="G34" s="22" t="n">
        <v>229.2</v>
      </c>
      <c r="H34" s="22" t="n">
        <v>215.22</v>
      </c>
      <c r="I34" s="21" t="n">
        <v>40415</v>
      </c>
      <c r="J34" s="22" t="n">
        <v>225.99</v>
      </c>
      <c r="K34" s="21" t="n">
        <v>40416</v>
      </c>
      <c r="L34" s="22" t="n">
        <v>227.2</v>
      </c>
      <c r="M34" s="8" t="s">
        <v>73</v>
      </c>
      <c r="N34" s="4" t="n">
        <v>5</v>
      </c>
      <c r="O34" s="6" t="n">
        <f aca="false">IF(C34="롱",(J34-E34)/E34,(E34-J34)/E34)</f>
        <v>-0.0127129750982962</v>
      </c>
    </row>
    <row r="35" customFormat="false" ht="17.15" hidden="false" customHeight="false" outlineLevel="0" collapsed="false">
      <c r="A35" s="4" t="n">
        <v>3</v>
      </c>
      <c r="B35" s="4" t="s">
        <v>16</v>
      </c>
      <c r="C35" s="8" t="s">
        <v>72</v>
      </c>
      <c r="D35" s="21" t="n">
        <v>40420</v>
      </c>
      <c r="E35" s="22" t="n">
        <v>229.63</v>
      </c>
      <c r="F35" s="21" t="n">
        <v>40421</v>
      </c>
      <c r="G35" s="22" t="n">
        <v>227.88</v>
      </c>
      <c r="H35" s="22" t="n">
        <v>214.94</v>
      </c>
      <c r="I35" s="21" t="n">
        <v>40457</v>
      </c>
      <c r="J35" s="22" t="n">
        <v>247.7</v>
      </c>
      <c r="K35" s="21" t="n">
        <v>40458</v>
      </c>
      <c r="L35" s="22" t="n">
        <v>247.17</v>
      </c>
      <c r="M35" s="8" t="s">
        <v>73</v>
      </c>
      <c r="N35" s="4" t="n">
        <v>24</v>
      </c>
      <c r="O35" s="6" t="n">
        <f aca="false">IF(C35="롱",(J35-E35)/E35,(E35-J35)/E35)</f>
        <v>0.0786918085615991</v>
      </c>
    </row>
    <row r="36" customFormat="false" ht="17.15" hidden="false" customHeight="false" outlineLevel="0" collapsed="false">
      <c r="A36" s="4" t="n">
        <v>3</v>
      </c>
      <c r="B36" s="4" t="s">
        <v>16</v>
      </c>
      <c r="C36" s="8" t="s">
        <v>72</v>
      </c>
      <c r="D36" s="21" t="n">
        <v>40471</v>
      </c>
      <c r="E36" s="22" t="n">
        <v>241.79</v>
      </c>
      <c r="F36" s="21" t="n">
        <v>40472</v>
      </c>
      <c r="G36" s="22" t="n">
        <v>242.71</v>
      </c>
      <c r="H36" s="22" t="n">
        <v>228.21</v>
      </c>
      <c r="I36" s="21" t="n">
        <v>40533</v>
      </c>
      <c r="J36" s="22" t="n">
        <v>269.31</v>
      </c>
      <c r="K36" s="21" t="n">
        <v>40534</v>
      </c>
      <c r="L36" s="22" t="n">
        <v>269.52</v>
      </c>
      <c r="M36" s="8" t="s">
        <v>73</v>
      </c>
      <c r="N36" s="4" t="n">
        <v>44</v>
      </c>
      <c r="O36" s="6" t="n">
        <f aca="false">IF(C36="롱",(J36-E36)/E36,(E36-J36)/E36)</f>
        <v>0.113817775755821</v>
      </c>
    </row>
    <row r="37" customFormat="false" ht="17.15" hidden="false" customHeight="false" outlineLevel="0" collapsed="false">
      <c r="A37" s="4" t="n">
        <v>3</v>
      </c>
      <c r="B37" s="4" t="s">
        <v>16</v>
      </c>
      <c r="C37" s="8" t="s">
        <v>72</v>
      </c>
      <c r="D37" s="21" t="n">
        <v>40581</v>
      </c>
      <c r="E37" s="22" t="n">
        <v>274.9</v>
      </c>
      <c r="F37" s="21" t="n">
        <v>40582</v>
      </c>
      <c r="G37" s="22" t="n">
        <v>276.01</v>
      </c>
      <c r="H37" s="22" t="n">
        <v>257.4</v>
      </c>
      <c r="I37" s="21" t="n">
        <v>40583</v>
      </c>
      <c r="J37" s="22" t="n">
        <v>269.9</v>
      </c>
      <c r="K37" s="21" t="n">
        <v>40584</v>
      </c>
      <c r="L37" s="22" t="n">
        <v>269.21</v>
      </c>
      <c r="M37" s="8" t="s">
        <v>73</v>
      </c>
      <c r="N37" s="4" t="n">
        <v>2</v>
      </c>
      <c r="O37" s="6" t="n">
        <f aca="false">IF(C37="롱",(J37-E37)/E37,(E37-J37)/E37)</f>
        <v>-0.0181884321571481</v>
      </c>
    </row>
    <row r="38" customFormat="false" ht="17.15" hidden="false" customHeight="false" outlineLevel="0" collapsed="false">
      <c r="A38" s="4" t="n">
        <v>3</v>
      </c>
      <c r="B38" s="4" t="s">
        <v>16</v>
      </c>
      <c r="C38" s="8" t="s">
        <v>72</v>
      </c>
      <c r="D38" s="21" t="n">
        <v>40674</v>
      </c>
      <c r="E38" s="22" t="n">
        <v>286.3</v>
      </c>
      <c r="F38" s="21" t="n">
        <v>40675</v>
      </c>
      <c r="G38" s="22" t="n">
        <v>282.52</v>
      </c>
      <c r="H38" s="22" t="n">
        <v>264.39</v>
      </c>
      <c r="I38" s="21" t="n">
        <v>40675</v>
      </c>
      <c r="J38" s="22" t="n">
        <v>280.02</v>
      </c>
      <c r="K38" s="21" t="n">
        <v>40676</v>
      </c>
      <c r="L38" s="22" t="n">
        <v>281.27</v>
      </c>
      <c r="M38" s="8" t="s">
        <v>73</v>
      </c>
      <c r="N38" s="4" t="n">
        <v>1</v>
      </c>
      <c r="O38" s="6" t="n">
        <f aca="false">IF(C38="롱",(J38-E38)/E38,(E38-J38)/E38)</f>
        <v>-0.0219350331819771</v>
      </c>
    </row>
    <row r="39" customFormat="false" ht="17.15" hidden="false" customHeight="false" outlineLevel="0" collapsed="false">
      <c r="A39" s="4" t="n">
        <v>3</v>
      </c>
      <c r="B39" s="4" t="s">
        <v>16</v>
      </c>
      <c r="C39" s="8" t="s">
        <v>72</v>
      </c>
      <c r="D39" s="21" t="n">
        <v>40694</v>
      </c>
      <c r="E39" s="22" t="n">
        <v>282.76</v>
      </c>
      <c r="F39" s="21" t="n">
        <v>40695</v>
      </c>
      <c r="G39" s="22" t="n">
        <v>282.92</v>
      </c>
      <c r="H39" s="22" t="n">
        <v>257.41</v>
      </c>
      <c r="I39" s="21" t="n">
        <v>40702</v>
      </c>
      <c r="J39" s="22" t="n">
        <v>274.46</v>
      </c>
      <c r="K39" s="21" t="n">
        <v>40703</v>
      </c>
      <c r="L39" s="22" t="n">
        <v>273.55</v>
      </c>
      <c r="M39" s="8" t="s">
        <v>73</v>
      </c>
      <c r="N39" s="4" t="n">
        <v>5</v>
      </c>
      <c r="O39" s="6" t="n">
        <f aca="false">IF(C39="롱",(J39-E39)/E39,(E39-J39)/E39)</f>
        <v>-0.0293535153487057</v>
      </c>
    </row>
    <row r="40" customFormat="false" ht="17.15" hidden="false" customHeight="false" outlineLevel="0" collapsed="false">
      <c r="A40" s="4" t="n">
        <v>3</v>
      </c>
      <c r="B40" s="4" t="s">
        <v>16</v>
      </c>
      <c r="C40" s="8" t="s">
        <v>72</v>
      </c>
      <c r="D40" s="21" t="n">
        <v>40876</v>
      </c>
      <c r="E40" s="22" t="n">
        <v>242.5</v>
      </c>
      <c r="F40" s="21" t="n">
        <v>40877</v>
      </c>
      <c r="G40" s="22" t="n">
        <v>241.15</v>
      </c>
      <c r="H40" s="22" t="n">
        <v>218.25</v>
      </c>
      <c r="I40" s="21" t="n">
        <v>40892</v>
      </c>
      <c r="J40" s="22" t="n">
        <v>236.72</v>
      </c>
      <c r="K40" s="21" t="n">
        <v>40893</v>
      </c>
      <c r="L40" s="22" t="n">
        <v>237.85</v>
      </c>
      <c r="M40" s="8" t="s">
        <v>73</v>
      </c>
      <c r="N40" s="4" t="n">
        <v>12</v>
      </c>
      <c r="O40" s="6" t="n">
        <f aca="false">IF(C40="롱",(J40-E40)/E40,(E40-J40)/E40)</f>
        <v>-0.0238350515463918</v>
      </c>
    </row>
    <row r="41" customFormat="false" ht="17.15" hidden="false" customHeight="false" outlineLevel="0" collapsed="false">
      <c r="A41" s="4" t="n">
        <v>3</v>
      </c>
      <c r="B41" s="4" t="s">
        <v>16</v>
      </c>
      <c r="C41" s="8" t="s">
        <v>72</v>
      </c>
      <c r="D41" s="21" t="n">
        <v>40900</v>
      </c>
      <c r="E41" s="22" t="n">
        <v>244.22</v>
      </c>
      <c r="F41" s="21" t="n">
        <v>40903</v>
      </c>
      <c r="G41" s="22" t="n">
        <v>244.96</v>
      </c>
      <c r="H41" s="22" t="n">
        <v>220.24</v>
      </c>
      <c r="I41" s="21" t="n">
        <v>41011</v>
      </c>
      <c r="J41" s="22" t="n">
        <v>263.95</v>
      </c>
      <c r="K41" s="21" t="n">
        <v>41012</v>
      </c>
      <c r="L41" s="22" t="n">
        <v>265.95</v>
      </c>
      <c r="M41" s="8" t="s">
        <v>73</v>
      </c>
      <c r="N41" s="4" t="n">
        <v>74</v>
      </c>
      <c r="O41" s="6" t="n">
        <f aca="false">IF(C41="롱",(J41-E41)/E41,(E41-J41)/E41)</f>
        <v>0.0807878142658259</v>
      </c>
    </row>
    <row r="42" customFormat="false" ht="17.15" hidden="false" customHeight="false" outlineLevel="0" collapsed="false">
      <c r="A42" s="4" t="n">
        <v>3</v>
      </c>
      <c r="B42" s="4" t="s">
        <v>16</v>
      </c>
      <c r="C42" s="8" t="s">
        <v>72</v>
      </c>
      <c r="D42" s="21" t="n">
        <v>41012</v>
      </c>
      <c r="E42" s="22" t="n">
        <v>266.86</v>
      </c>
      <c r="F42" s="21" t="n">
        <v>41015</v>
      </c>
      <c r="G42" s="22" t="n">
        <v>263.58</v>
      </c>
      <c r="H42" s="22" t="n">
        <v>251.38</v>
      </c>
      <c r="I42" s="21" t="n">
        <v>41016</v>
      </c>
      <c r="J42" s="22" t="n">
        <v>263.32</v>
      </c>
      <c r="K42" s="21" t="n">
        <v>41017</v>
      </c>
      <c r="L42" s="22" t="n">
        <v>267.39</v>
      </c>
      <c r="M42" s="8" t="s">
        <v>73</v>
      </c>
      <c r="N42" s="4" t="n">
        <v>2</v>
      </c>
      <c r="O42" s="6" t="n">
        <f aca="false">IF(C42="롱",(J42-E42)/E42,(E42-J42)/E42)</f>
        <v>-0.0132653825976168</v>
      </c>
    </row>
    <row r="43" customFormat="false" ht="17.15" hidden="false" customHeight="false" outlineLevel="0" collapsed="false">
      <c r="A43" s="4" t="n">
        <v>3</v>
      </c>
      <c r="B43" s="4" t="s">
        <v>16</v>
      </c>
      <c r="C43" s="8" t="s">
        <v>72</v>
      </c>
      <c r="D43" s="21" t="n">
        <v>41159</v>
      </c>
      <c r="E43" s="22" t="n">
        <v>254.02</v>
      </c>
      <c r="F43" s="21" t="n">
        <v>41162</v>
      </c>
      <c r="G43" s="22" t="n">
        <v>254.8</v>
      </c>
      <c r="H43" s="22" t="n">
        <v>237.91</v>
      </c>
      <c r="I43" s="21" t="n">
        <v>41192</v>
      </c>
      <c r="J43" s="22" t="n">
        <v>255.15</v>
      </c>
      <c r="K43" s="21" t="n">
        <v>41193</v>
      </c>
      <c r="L43" s="22" t="n">
        <v>253.14</v>
      </c>
      <c r="M43" s="8" t="s">
        <v>73</v>
      </c>
      <c r="N43" s="4" t="n">
        <v>21</v>
      </c>
      <c r="O43" s="6" t="n">
        <f aca="false">IF(C43="롱",(J43-E43)/E43,(E43-J43)/E43)</f>
        <v>0.00444846862451774</v>
      </c>
    </row>
    <row r="44" customFormat="false" ht="17.15" hidden="false" customHeight="false" outlineLevel="0" collapsed="false">
      <c r="A44" s="4" t="n">
        <v>3</v>
      </c>
      <c r="B44" s="4" t="s">
        <v>16</v>
      </c>
      <c r="C44" s="8" t="s">
        <v>72</v>
      </c>
      <c r="D44" s="21" t="n">
        <v>41200</v>
      </c>
      <c r="E44" s="22" t="n">
        <v>257.27</v>
      </c>
      <c r="F44" s="21" t="n">
        <v>41201</v>
      </c>
      <c r="G44" s="22" t="n">
        <v>256.45</v>
      </c>
      <c r="H44" s="22" t="n">
        <v>243.72</v>
      </c>
      <c r="I44" s="21" t="n">
        <v>41204</v>
      </c>
      <c r="J44" s="22" t="n">
        <v>254.22</v>
      </c>
      <c r="K44" s="21" t="n">
        <v>41205</v>
      </c>
      <c r="L44" s="22" t="n">
        <v>254.41</v>
      </c>
      <c r="M44" s="8" t="s">
        <v>73</v>
      </c>
      <c r="N44" s="4" t="n">
        <v>2</v>
      </c>
      <c r="O44" s="6" t="n">
        <f aca="false">IF(C44="롱",(J44-E44)/E44,(E44-J44)/E44)</f>
        <v>-0.011855249348933</v>
      </c>
    </row>
    <row r="45" customFormat="false" ht="17.15" hidden="false" customHeight="false" outlineLevel="0" collapsed="false">
      <c r="A45" s="4" t="n">
        <v>3</v>
      </c>
      <c r="B45" s="4" t="s">
        <v>16</v>
      </c>
      <c r="C45" s="8" t="s">
        <v>72</v>
      </c>
      <c r="D45" s="21" t="n">
        <v>41296</v>
      </c>
      <c r="E45" s="22" t="n">
        <v>262.91</v>
      </c>
      <c r="F45" s="21" t="n">
        <v>41297</v>
      </c>
      <c r="G45" s="22" t="n">
        <v>264.04</v>
      </c>
      <c r="H45" s="22" t="n">
        <v>247.18</v>
      </c>
      <c r="I45" s="21" t="n">
        <v>41298</v>
      </c>
      <c r="J45" s="22" t="n">
        <v>258.74</v>
      </c>
      <c r="K45" s="21" t="n">
        <v>41299</v>
      </c>
      <c r="L45" s="22" t="n">
        <v>258.94</v>
      </c>
      <c r="M45" s="8" t="s">
        <v>73</v>
      </c>
      <c r="N45" s="4" t="n">
        <v>2</v>
      </c>
      <c r="O45" s="6" t="n">
        <f aca="false">IF(C45="롱",(J45-E45)/E45,(E45-J45)/E45)</f>
        <v>-0.0158609410064281</v>
      </c>
    </row>
    <row r="46" customFormat="false" ht="17.15" hidden="false" customHeight="false" outlineLevel="0" collapsed="false">
      <c r="A46" s="4" t="n">
        <v>3</v>
      </c>
      <c r="B46" s="4" t="s">
        <v>16</v>
      </c>
      <c r="C46" s="8" t="s">
        <v>72</v>
      </c>
      <c r="D46" s="21" t="n">
        <v>41347</v>
      </c>
      <c r="E46" s="22" t="n">
        <v>263.37</v>
      </c>
      <c r="F46" s="21" t="n">
        <v>41348</v>
      </c>
      <c r="G46" s="22" t="n">
        <v>264.44</v>
      </c>
      <c r="H46" s="22" t="n">
        <v>250.12</v>
      </c>
      <c r="I46" s="21" t="n">
        <v>41348</v>
      </c>
      <c r="J46" s="22" t="n">
        <v>260.84</v>
      </c>
      <c r="K46" s="21" t="n">
        <v>41351</v>
      </c>
      <c r="L46" s="22" t="n">
        <v>259.03</v>
      </c>
      <c r="M46" s="8" t="s">
        <v>73</v>
      </c>
      <c r="N46" s="4" t="n">
        <v>1</v>
      </c>
      <c r="O46" s="6" t="n">
        <f aca="false">IF(C46="롱",(J46-E46)/E46,(E46-J46)/E46)</f>
        <v>-0.00960625735657072</v>
      </c>
    </row>
    <row r="47" customFormat="false" ht="17.15" hidden="false" customHeight="false" outlineLevel="0" collapsed="false">
      <c r="A47" s="4" t="n">
        <v>3</v>
      </c>
      <c r="B47" s="4" t="s">
        <v>16</v>
      </c>
      <c r="C47" s="8" t="s">
        <v>72</v>
      </c>
      <c r="D47" s="21" t="n">
        <v>41360</v>
      </c>
      <c r="E47" s="22" t="n">
        <v>261.86</v>
      </c>
      <c r="F47" s="21" t="n">
        <v>41361</v>
      </c>
      <c r="G47" s="22" t="n">
        <v>261.44</v>
      </c>
      <c r="H47" s="22" t="n">
        <v>247.32</v>
      </c>
      <c r="I47" s="21" t="n">
        <v>41368</v>
      </c>
      <c r="J47" s="22" t="n">
        <v>257.05</v>
      </c>
      <c r="K47" s="21" t="n">
        <v>41369</v>
      </c>
      <c r="L47" s="22" t="n">
        <v>255.4</v>
      </c>
      <c r="M47" s="8" t="s">
        <v>73</v>
      </c>
      <c r="N47" s="4" t="n">
        <v>6</v>
      </c>
      <c r="O47" s="6" t="n">
        <f aca="false">IF(C47="롱",(J47-E47)/E47,(E47-J47)/E47)</f>
        <v>-0.0183685939051402</v>
      </c>
    </row>
    <row r="48" customFormat="false" ht="17.15" hidden="false" customHeight="false" outlineLevel="0" collapsed="false">
      <c r="A48" s="4" t="n">
        <v>3</v>
      </c>
      <c r="B48" s="4" t="s">
        <v>16</v>
      </c>
      <c r="C48" s="8" t="s">
        <v>72</v>
      </c>
      <c r="D48" s="21" t="n">
        <v>41593</v>
      </c>
      <c r="E48" s="22" t="n">
        <v>264.2</v>
      </c>
      <c r="F48" s="21" t="n">
        <v>41596</v>
      </c>
      <c r="G48" s="22" t="n">
        <v>265.38</v>
      </c>
      <c r="H48" s="22" t="n">
        <v>249.46</v>
      </c>
      <c r="I48" s="21" t="n">
        <v>41612</v>
      </c>
      <c r="J48" s="22" t="n">
        <v>261.48</v>
      </c>
      <c r="K48" s="21" t="n">
        <v>41613</v>
      </c>
      <c r="L48" s="22" t="n">
        <v>262.5</v>
      </c>
      <c r="M48" s="8" t="s">
        <v>73</v>
      </c>
      <c r="N48" s="4" t="n">
        <v>13</v>
      </c>
      <c r="O48" s="6" t="n">
        <f aca="false">IF(C48="롱",(J48-E48)/E48,(E48-J48)/E48)</f>
        <v>-0.0102952308856925</v>
      </c>
    </row>
    <row r="49" customFormat="false" ht="17.15" hidden="false" customHeight="false" outlineLevel="0" collapsed="false">
      <c r="A49" s="4" t="n">
        <v>3</v>
      </c>
      <c r="B49" s="4" t="s">
        <v>16</v>
      </c>
      <c r="C49" s="8" t="s">
        <v>72</v>
      </c>
      <c r="D49" s="21" t="n">
        <v>41772</v>
      </c>
      <c r="E49" s="22" t="n">
        <v>258.4</v>
      </c>
      <c r="F49" s="21" t="n">
        <v>41773</v>
      </c>
      <c r="G49" s="22" t="n">
        <v>259.63</v>
      </c>
      <c r="H49" s="22" t="n">
        <v>246.88</v>
      </c>
      <c r="I49" s="21" t="n">
        <v>41803</v>
      </c>
      <c r="J49" s="22" t="n">
        <v>258.75</v>
      </c>
      <c r="K49" s="21" t="n">
        <v>41806</v>
      </c>
      <c r="L49" s="22" t="n">
        <v>258.16</v>
      </c>
      <c r="M49" s="8" t="s">
        <v>73</v>
      </c>
      <c r="N49" s="4" t="n">
        <v>21</v>
      </c>
      <c r="O49" s="6" t="n">
        <f aca="false">IF(C49="롱",(J49-E49)/E49,(E49-J49)/E49)</f>
        <v>0.00135448916408678</v>
      </c>
    </row>
    <row r="50" customFormat="false" ht="17.15" hidden="false" customHeight="false" outlineLevel="0" collapsed="false">
      <c r="A50" s="4" t="n">
        <v>3</v>
      </c>
      <c r="B50" s="4" t="s">
        <v>16</v>
      </c>
      <c r="C50" s="8" t="s">
        <v>72</v>
      </c>
      <c r="D50" s="21" t="n">
        <v>41816</v>
      </c>
      <c r="E50" s="22" t="n">
        <v>260.03</v>
      </c>
      <c r="F50" s="21" t="n">
        <v>41817</v>
      </c>
      <c r="G50" s="22" t="n">
        <v>259.28</v>
      </c>
      <c r="H50" s="22" t="n">
        <v>247.38</v>
      </c>
      <c r="I50" s="21" t="n">
        <v>41831</v>
      </c>
      <c r="J50" s="22" t="n">
        <v>256.72</v>
      </c>
      <c r="K50" s="21" t="n">
        <v>41834</v>
      </c>
      <c r="L50" s="22" t="n">
        <v>258.11</v>
      </c>
      <c r="M50" s="8" t="s">
        <v>73</v>
      </c>
      <c r="N50" s="4" t="n">
        <v>11</v>
      </c>
      <c r="O50" s="6" t="n">
        <f aca="false">IF(C50="롱",(J50-E50)/E50,(E50-J50)/E50)</f>
        <v>-0.0127293004653307</v>
      </c>
    </row>
    <row r="51" customFormat="false" ht="17.15" hidden="false" customHeight="false" outlineLevel="0" collapsed="false">
      <c r="A51" s="4" t="n">
        <v>3</v>
      </c>
      <c r="B51" s="4" t="s">
        <v>16</v>
      </c>
      <c r="C51" s="8" t="s">
        <v>72</v>
      </c>
      <c r="D51" s="21" t="n">
        <v>41835</v>
      </c>
      <c r="E51" s="22" t="n">
        <v>260.4</v>
      </c>
      <c r="F51" s="21" t="n">
        <v>41836</v>
      </c>
      <c r="G51" s="22" t="n">
        <v>260.85</v>
      </c>
      <c r="H51" s="22" t="n">
        <v>249.26</v>
      </c>
      <c r="I51" s="21" t="n">
        <v>41850</v>
      </c>
      <c r="J51" s="22" t="n">
        <v>271.17</v>
      </c>
      <c r="K51" s="21" t="n">
        <v>41851</v>
      </c>
      <c r="L51" s="22" t="n">
        <v>270.93</v>
      </c>
      <c r="M51" s="8" t="s">
        <v>73</v>
      </c>
      <c r="N51" s="4" t="n">
        <v>11</v>
      </c>
      <c r="O51" s="6" t="n">
        <f aca="false">IF(C51="롱",(J51-E51)/E51,(E51-J51)/E51)</f>
        <v>0.0413594470046084</v>
      </c>
    </row>
    <row r="52" customFormat="false" ht="17.15" hidden="false" customHeight="false" outlineLevel="0" collapsed="false">
      <c r="A52" s="4" t="n">
        <v>3</v>
      </c>
      <c r="B52" s="4" t="s">
        <v>16</v>
      </c>
      <c r="C52" s="8" t="s">
        <v>72</v>
      </c>
      <c r="D52" s="21" t="n">
        <v>41864</v>
      </c>
      <c r="E52" s="22" t="n">
        <v>265.91</v>
      </c>
      <c r="F52" s="21" t="n">
        <v>41865</v>
      </c>
      <c r="G52" s="22" t="n">
        <v>266.47</v>
      </c>
      <c r="H52" s="22" t="n">
        <v>253.59</v>
      </c>
      <c r="I52" s="21" t="n">
        <v>41884</v>
      </c>
      <c r="J52" s="22" t="n">
        <v>262.61</v>
      </c>
      <c r="K52" s="21" t="n">
        <v>41885</v>
      </c>
      <c r="L52" s="22" t="n">
        <v>262.49</v>
      </c>
      <c r="M52" s="8" t="s">
        <v>73</v>
      </c>
      <c r="N52" s="4" t="n">
        <v>13</v>
      </c>
      <c r="O52" s="6" t="n">
        <f aca="false">IF(C52="롱",(J52-E52)/E52,(E52-J52)/E52)</f>
        <v>-0.0124102139821745</v>
      </c>
    </row>
    <row r="53" customFormat="false" ht="17.15" hidden="false" customHeight="false" outlineLevel="0" collapsed="false">
      <c r="A53" s="4" t="n">
        <v>3</v>
      </c>
      <c r="B53" s="4" t="s">
        <v>16</v>
      </c>
      <c r="C53" s="8" t="s">
        <v>72</v>
      </c>
      <c r="D53" s="21" t="n">
        <v>41899</v>
      </c>
      <c r="E53" s="22" t="n">
        <v>264.01</v>
      </c>
      <c r="F53" s="21" t="n">
        <v>41900</v>
      </c>
      <c r="G53" s="22" t="n">
        <v>263.35</v>
      </c>
      <c r="H53" s="22" t="n">
        <v>252.08</v>
      </c>
      <c r="I53" s="21" t="n">
        <v>41904</v>
      </c>
      <c r="J53" s="22" t="n">
        <v>260.15</v>
      </c>
      <c r="K53" s="21" t="n">
        <v>41905</v>
      </c>
      <c r="L53" s="22" t="n">
        <v>258.53</v>
      </c>
      <c r="M53" s="8" t="s">
        <v>73</v>
      </c>
      <c r="N53" s="4" t="n">
        <v>3</v>
      </c>
      <c r="O53" s="6" t="n">
        <f aca="false">IF(C53="롱",(J53-E53)/E53,(E53-J53)/E53)</f>
        <v>-0.0146206583083975</v>
      </c>
    </row>
    <row r="54" customFormat="false" ht="17.15" hidden="false" customHeight="false" outlineLevel="0" collapsed="false">
      <c r="A54" s="4" t="n">
        <v>3</v>
      </c>
      <c r="B54" s="4" t="s">
        <v>16</v>
      </c>
      <c r="C54" s="8" t="s">
        <v>72</v>
      </c>
      <c r="D54" s="21" t="n">
        <v>42048</v>
      </c>
      <c r="E54" s="22" t="n">
        <v>249.76</v>
      </c>
      <c r="F54" s="21" t="n">
        <v>42051</v>
      </c>
      <c r="G54" s="22" t="n">
        <v>250.17</v>
      </c>
      <c r="H54" s="22" t="n">
        <v>238.48</v>
      </c>
      <c r="I54" s="21" t="n">
        <v>42108</v>
      </c>
      <c r="J54" s="22" t="n">
        <v>265.57</v>
      </c>
      <c r="K54" s="21" t="n">
        <v>42109</v>
      </c>
      <c r="L54" s="22" t="n">
        <v>265.76</v>
      </c>
      <c r="M54" s="8" t="s">
        <v>73</v>
      </c>
      <c r="N54" s="4" t="n">
        <v>39</v>
      </c>
      <c r="O54" s="6" t="n">
        <f aca="false">IF(C54="롱",(J54-E54)/E54,(E54-J54)/E54)</f>
        <v>0.0633007687379885</v>
      </c>
    </row>
    <row r="55" customFormat="false" ht="17.15" hidden="false" customHeight="false" outlineLevel="0" collapsed="false">
      <c r="A55" s="4" t="n">
        <v>3</v>
      </c>
      <c r="B55" s="4" t="s">
        <v>16</v>
      </c>
      <c r="C55" s="8" t="s">
        <v>72</v>
      </c>
      <c r="D55" s="21" t="n">
        <v>42138</v>
      </c>
      <c r="E55" s="22" t="n">
        <v>263.69</v>
      </c>
      <c r="F55" s="21" t="n">
        <v>42139</v>
      </c>
      <c r="G55" s="22" t="n">
        <v>265.24</v>
      </c>
      <c r="H55" s="22" t="n">
        <v>250.1</v>
      </c>
      <c r="I55" s="21" t="n">
        <v>42139</v>
      </c>
      <c r="J55" s="22" t="n">
        <v>261.33</v>
      </c>
      <c r="K55" s="21" t="n">
        <v>42142</v>
      </c>
      <c r="L55" s="22" t="n">
        <v>261.28</v>
      </c>
      <c r="M55" s="8" t="s">
        <v>73</v>
      </c>
      <c r="N55" s="4" t="n">
        <v>1</v>
      </c>
      <c r="O55" s="6" t="n">
        <f aca="false">IF(C55="롱",(J55-E55)/E55,(E55-J55)/E55)</f>
        <v>-0.00894990329553648</v>
      </c>
    </row>
    <row r="56" customFormat="false" ht="17.15" hidden="false" customHeight="false" outlineLevel="0" collapsed="false">
      <c r="A56" s="4" t="n">
        <v>3</v>
      </c>
      <c r="B56" s="4" t="s">
        <v>16</v>
      </c>
      <c r="C56" s="8" t="s">
        <v>72</v>
      </c>
      <c r="D56" s="21" t="n">
        <v>42144</v>
      </c>
      <c r="E56" s="22" t="n">
        <v>265.36</v>
      </c>
      <c r="F56" s="21" t="n">
        <v>42145</v>
      </c>
      <c r="G56" s="22" t="n">
        <v>265.2</v>
      </c>
      <c r="H56" s="22" t="n">
        <v>250.9</v>
      </c>
      <c r="I56" s="21" t="n">
        <v>42151</v>
      </c>
      <c r="J56" s="22" t="n">
        <v>260.16</v>
      </c>
      <c r="K56" s="21" t="n">
        <v>42152</v>
      </c>
      <c r="L56" s="22" t="n">
        <v>261.13</v>
      </c>
      <c r="M56" s="8" t="s">
        <v>73</v>
      </c>
      <c r="N56" s="4" t="n">
        <v>4</v>
      </c>
      <c r="O56" s="6" t="n">
        <f aca="false">IF(C56="롱",(J56-E56)/E56,(E56-J56)/E56)</f>
        <v>-0.0195960205004522</v>
      </c>
    </row>
    <row r="57" customFormat="false" ht="17.15" hidden="false" customHeight="false" outlineLevel="0" collapsed="false">
      <c r="A57" s="4" t="n">
        <v>3</v>
      </c>
      <c r="B57" s="4" t="s">
        <v>16</v>
      </c>
      <c r="C57" s="8" t="s">
        <v>72</v>
      </c>
      <c r="D57" s="21" t="n">
        <v>42331</v>
      </c>
      <c r="E57" s="22" t="n">
        <v>245.92</v>
      </c>
      <c r="F57" s="21" t="n">
        <v>42332</v>
      </c>
      <c r="G57" s="22" t="n">
        <v>245.96</v>
      </c>
      <c r="H57" s="22" t="n">
        <v>233.9</v>
      </c>
      <c r="I57" s="21" t="n">
        <v>42342</v>
      </c>
      <c r="J57" s="22" t="n">
        <v>242.15</v>
      </c>
      <c r="K57" s="21" t="n">
        <v>42345</v>
      </c>
      <c r="L57" s="22" t="n">
        <v>243.76</v>
      </c>
      <c r="M57" s="8" t="s">
        <v>73</v>
      </c>
      <c r="N57" s="4" t="n">
        <v>9</v>
      </c>
      <c r="O57" s="6" t="n">
        <f aca="false">IF(C57="롱",(J57-E57)/E57,(E57-J57)/E57)</f>
        <v>-0.0153301886792452</v>
      </c>
    </row>
    <row r="58" customFormat="false" ht="17.15" hidden="false" customHeight="false" outlineLevel="0" collapsed="false">
      <c r="A58" s="4" t="n">
        <v>3</v>
      </c>
      <c r="B58" s="4" t="s">
        <v>16</v>
      </c>
      <c r="C58" s="8" t="s">
        <v>72</v>
      </c>
      <c r="D58" s="21" t="n">
        <v>42354</v>
      </c>
      <c r="E58" s="22" t="n">
        <v>243.49</v>
      </c>
      <c r="F58" s="21" t="n">
        <v>42355</v>
      </c>
      <c r="G58" s="22" t="n">
        <v>245.2</v>
      </c>
      <c r="H58" s="22" t="n">
        <v>229.36</v>
      </c>
      <c r="I58" s="21" t="n">
        <v>42367</v>
      </c>
      <c r="J58" s="22" t="n">
        <v>241.22</v>
      </c>
      <c r="K58" s="21" t="n">
        <v>42368</v>
      </c>
      <c r="L58" s="22" t="n">
        <v>242.13</v>
      </c>
      <c r="M58" s="8" t="s">
        <v>73</v>
      </c>
      <c r="N58" s="4" t="n">
        <v>8</v>
      </c>
      <c r="O58" s="6" t="n">
        <f aca="false">IF(C58="롱",(J58-E58)/E58,(E58-J58)/E58)</f>
        <v>-0.00932276479526884</v>
      </c>
    </row>
    <row r="59" customFormat="false" ht="17.15" hidden="false" customHeight="false" outlineLevel="0" collapsed="false">
      <c r="A59" s="4" t="n">
        <v>3</v>
      </c>
      <c r="B59" s="4" t="s">
        <v>16</v>
      </c>
      <c r="C59" s="8" t="s">
        <v>72</v>
      </c>
      <c r="D59" s="21" t="n">
        <v>42466</v>
      </c>
      <c r="E59" s="22" t="n">
        <v>241.99</v>
      </c>
      <c r="F59" s="21" t="n">
        <v>42467</v>
      </c>
      <c r="G59" s="22" t="n">
        <v>243.05</v>
      </c>
      <c r="H59" s="22" t="n">
        <v>231.34</v>
      </c>
      <c r="I59" s="21" t="n">
        <v>42492</v>
      </c>
      <c r="J59" s="22" t="n">
        <v>243.47</v>
      </c>
      <c r="K59" s="21" t="n">
        <v>42493</v>
      </c>
      <c r="L59" s="22" t="n">
        <v>244.88</v>
      </c>
      <c r="M59" s="8" t="s">
        <v>73</v>
      </c>
      <c r="N59" s="4" t="n">
        <v>17</v>
      </c>
      <c r="O59" s="6" t="n">
        <f aca="false">IF(C59="롱",(J59-E59)/E59,(E59-J59)/E59)</f>
        <v>0.00611595520476049</v>
      </c>
    </row>
    <row r="60" customFormat="false" ht="17.15" hidden="false" customHeight="false" outlineLevel="0" collapsed="false">
      <c r="A60" s="4" t="n">
        <v>3</v>
      </c>
      <c r="B60" s="4" t="s">
        <v>16</v>
      </c>
      <c r="C60" s="8" t="s">
        <v>72</v>
      </c>
      <c r="D60" s="21" t="n">
        <v>42541</v>
      </c>
      <c r="E60" s="22" t="n">
        <v>245.17</v>
      </c>
      <c r="F60" s="21" t="n">
        <v>42542</v>
      </c>
      <c r="G60" s="22" t="n">
        <v>244.6</v>
      </c>
      <c r="H60" s="22" t="n">
        <v>232.39</v>
      </c>
      <c r="I60" s="21" t="n">
        <v>42545</v>
      </c>
      <c r="J60" s="22" t="n">
        <v>239.21</v>
      </c>
      <c r="K60" s="21" t="n">
        <v>42548</v>
      </c>
      <c r="L60" s="22" t="n">
        <v>236.79</v>
      </c>
      <c r="M60" s="8" t="s">
        <v>73</v>
      </c>
      <c r="N60" s="4" t="n">
        <v>4</v>
      </c>
      <c r="O60" s="6" t="n">
        <f aca="false">IF(C60="롱",(J60-E60)/E60,(E60-J60)/E60)</f>
        <v>-0.0243096626830362</v>
      </c>
    </row>
    <row r="61" customFormat="false" ht="17.15" hidden="false" customHeight="false" outlineLevel="0" collapsed="false">
      <c r="A61" s="4" t="n">
        <v>3</v>
      </c>
      <c r="B61" s="4" t="s">
        <v>16</v>
      </c>
      <c r="C61" s="8" t="s">
        <v>72</v>
      </c>
      <c r="D61" s="21" t="n">
        <v>42551</v>
      </c>
      <c r="E61" s="22" t="n">
        <v>244.14</v>
      </c>
      <c r="F61" s="21" t="n">
        <v>42552</v>
      </c>
      <c r="G61" s="22" t="n">
        <v>244.96</v>
      </c>
      <c r="H61" s="22" t="n">
        <v>228.41</v>
      </c>
      <c r="I61" s="21" t="n">
        <v>42625</v>
      </c>
      <c r="J61" s="22" t="n">
        <v>250.53</v>
      </c>
      <c r="K61" s="21" t="n">
        <v>42626</v>
      </c>
      <c r="L61" s="22" t="n">
        <v>253.39</v>
      </c>
      <c r="M61" s="8" t="s">
        <v>73</v>
      </c>
      <c r="N61" s="4" t="n">
        <v>51</v>
      </c>
      <c r="O61" s="6" t="n">
        <f aca="false">IF(C61="롱",(J61-E61)/E61,(E61-J61)/E61)</f>
        <v>0.026173507004178</v>
      </c>
    </row>
    <row r="62" customFormat="false" ht="17.15" hidden="false" customHeight="false" outlineLevel="0" collapsed="false">
      <c r="A62" s="4" t="n">
        <v>3</v>
      </c>
      <c r="B62" s="4" t="s">
        <v>16</v>
      </c>
      <c r="C62" s="8" t="s">
        <v>72</v>
      </c>
      <c r="D62" s="21" t="n">
        <v>42634</v>
      </c>
      <c r="E62" s="22" t="n">
        <v>256.52</v>
      </c>
      <c r="F62" s="21" t="n">
        <v>42635</v>
      </c>
      <c r="G62" s="22" t="n">
        <v>258.46</v>
      </c>
      <c r="H62" s="22" t="n">
        <v>243.94</v>
      </c>
      <c r="I62" s="21" t="n">
        <v>42656</v>
      </c>
      <c r="J62" s="22" t="n">
        <v>253.93</v>
      </c>
      <c r="K62" s="21" t="n">
        <v>42657</v>
      </c>
      <c r="L62" s="22" t="n">
        <v>254.7</v>
      </c>
      <c r="M62" s="8" t="s">
        <v>73</v>
      </c>
      <c r="N62" s="4" t="n">
        <v>15</v>
      </c>
      <c r="O62" s="6" t="n">
        <f aca="false">IF(C62="롱",(J62-E62)/E62,(E62-J62)/E62)</f>
        <v>-0.0100966786215499</v>
      </c>
    </row>
    <row r="63" customFormat="false" ht="17.15" hidden="false" customHeight="false" outlineLevel="0" collapsed="false">
      <c r="A63" s="4" t="n">
        <v>3</v>
      </c>
      <c r="B63" s="4" t="s">
        <v>16</v>
      </c>
      <c r="C63" s="8" t="s">
        <v>72</v>
      </c>
      <c r="D63" s="21" t="n">
        <v>42661</v>
      </c>
      <c r="E63" s="22" t="n">
        <v>257.98</v>
      </c>
      <c r="F63" s="21" t="n">
        <v>42662</v>
      </c>
      <c r="G63" s="22" t="n">
        <v>257.25</v>
      </c>
      <c r="H63" s="22" t="n">
        <v>244.8</v>
      </c>
      <c r="I63" s="21" t="n">
        <v>42676</v>
      </c>
      <c r="J63" s="22" t="n">
        <v>252.83</v>
      </c>
      <c r="K63" s="21" t="n">
        <v>42677</v>
      </c>
      <c r="L63" s="22" t="n">
        <v>252.44</v>
      </c>
      <c r="M63" s="8" t="s">
        <v>73</v>
      </c>
      <c r="N63" s="4" t="n">
        <v>11</v>
      </c>
      <c r="O63" s="6" t="n">
        <f aca="false">IF(C63="롱",(J63-E63)/E63,(E63-J63)/E63)</f>
        <v>-0.0199627878130088</v>
      </c>
    </row>
    <row r="64" customFormat="false" ht="17.15" hidden="false" customHeight="false" outlineLevel="0" collapsed="false">
      <c r="A64" s="4" t="n">
        <v>3</v>
      </c>
      <c r="B64" s="4" t="s">
        <v>16</v>
      </c>
      <c r="C64" s="8" t="s">
        <v>72</v>
      </c>
      <c r="D64" s="21" t="n">
        <v>42838</v>
      </c>
      <c r="E64" s="22" t="n">
        <v>279.12</v>
      </c>
      <c r="F64" s="21" t="n">
        <v>42839</v>
      </c>
      <c r="G64" s="22" t="n">
        <v>277.59</v>
      </c>
      <c r="H64" s="22" t="n">
        <v>268.05</v>
      </c>
      <c r="I64" s="21" t="n">
        <v>42859</v>
      </c>
      <c r="J64" s="22" t="n">
        <v>292.47</v>
      </c>
      <c r="K64" s="21" t="n">
        <v>42863</v>
      </c>
      <c r="L64" s="22" t="n">
        <v>292.95</v>
      </c>
      <c r="M64" s="8" t="s">
        <v>73</v>
      </c>
      <c r="N64" s="4" t="n">
        <v>13</v>
      </c>
      <c r="O64" s="6" t="n">
        <f aca="false">IF(C64="롱",(J64-E64)/E64,(E64-J64)/E64)</f>
        <v>0.0478288907996561</v>
      </c>
    </row>
    <row r="65" customFormat="false" ht="17.15" hidden="false" customHeight="false" outlineLevel="0" collapsed="false">
      <c r="A65" s="4" t="n">
        <v>3</v>
      </c>
      <c r="B65" s="4" t="s">
        <v>16</v>
      </c>
      <c r="C65" s="8" t="s">
        <v>72</v>
      </c>
      <c r="D65" s="21" t="n">
        <v>42948</v>
      </c>
      <c r="E65" s="22" t="n">
        <v>317.04</v>
      </c>
      <c r="F65" s="21" t="n">
        <v>42949</v>
      </c>
      <c r="G65" s="22" t="n">
        <v>318.58</v>
      </c>
      <c r="H65" s="22" t="n">
        <v>304.52</v>
      </c>
      <c r="I65" s="21" t="n">
        <v>42950</v>
      </c>
      <c r="J65" s="22" t="n">
        <v>312.29</v>
      </c>
      <c r="K65" s="21" t="n">
        <v>42951</v>
      </c>
      <c r="L65" s="22" t="n">
        <v>312.8</v>
      </c>
      <c r="M65" s="8" t="s">
        <v>73</v>
      </c>
      <c r="N65" s="4" t="n">
        <v>2</v>
      </c>
      <c r="O65" s="6" t="n">
        <f aca="false">IF(C65="롱",(J65-E65)/E65,(E65-J65)/E65)</f>
        <v>-0.0149823366136765</v>
      </c>
    </row>
    <row r="66" customFormat="false" ht="17.15" hidden="false" customHeight="false" outlineLevel="0" collapsed="false">
      <c r="A66" s="4" t="n">
        <v>3</v>
      </c>
      <c r="B66" s="4" t="s">
        <v>16</v>
      </c>
      <c r="C66" s="8" t="s">
        <v>72</v>
      </c>
      <c r="D66" s="21" t="n">
        <v>43545</v>
      </c>
      <c r="E66" s="22" t="n">
        <v>282.38</v>
      </c>
      <c r="F66" s="21" t="n">
        <v>43546</v>
      </c>
      <c r="G66" s="22" t="n">
        <v>283.92</v>
      </c>
      <c r="H66" s="22" t="n">
        <v>267.01</v>
      </c>
      <c r="I66" s="21" t="n">
        <v>43549</v>
      </c>
      <c r="J66" s="22" t="n">
        <v>277.45</v>
      </c>
      <c r="K66" s="21" t="n">
        <v>43550</v>
      </c>
      <c r="L66" s="22" t="n">
        <v>278.43</v>
      </c>
      <c r="M66" s="8" t="s">
        <v>73</v>
      </c>
      <c r="N66" s="4" t="n">
        <v>2</v>
      </c>
      <c r="O66" s="6" t="n">
        <f aca="false">IF(C66="롱",(J66-E66)/E66,(E66-J66)/E66)</f>
        <v>-0.0174587435370777</v>
      </c>
    </row>
    <row r="67" customFormat="false" ht="17.15" hidden="false" customHeight="false" outlineLevel="0" collapsed="false">
      <c r="A67" s="4" t="n">
        <v>3</v>
      </c>
      <c r="B67" s="4" t="s">
        <v>16</v>
      </c>
      <c r="C67" s="8" t="s">
        <v>72</v>
      </c>
      <c r="D67" s="21" t="n">
        <v>43556</v>
      </c>
      <c r="E67" s="22" t="n">
        <v>280.32</v>
      </c>
      <c r="F67" s="21" t="n">
        <v>43557</v>
      </c>
      <c r="G67" s="22" t="n">
        <v>281.67</v>
      </c>
      <c r="H67" s="22" t="n">
        <v>264.27</v>
      </c>
      <c r="I67" s="21" t="n">
        <v>43580</v>
      </c>
      <c r="J67" s="22" t="n">
        <v>282.83</v>
      </c>
      <c r="K67" s="21" t="n">
        <v>43581</v>
      </c>
      <c r="L67" s="22" t="n">
        <v>280.86</v>
      </c>
      <c r="M67" s="8" t="s">
        <v>73</v>
      </c>
      <c r="N67" s="4" t="n">
        <v>18</v>
      </c>
      <c r="O67" s="6" t="n">
        <f aca="false">IF(C67="롱",(J67-E67)/E67,(E67-J67)/E67)</f>
        <v>0.00895405251141549</v>
      </c>
    </row>
    <row r="68" customFormat="false" ht="17.15" hidden="false" customHeight="false" outlineLevel="0" collapsed="false">
      <c r="A68" s="4" t="n">
        <v>3</v>
      </c>
      <c r="B68" s="4" t="s">
        <v>16</v>
      </c>
      <c r="C68" s="8" t="s">
        <v>72</v>
      </c>
      <c r="D68" s="21" t="n">
        <v>43584</v>
      </c>
      <c r="E68" s="22" t="n">
        <v>286.79</v>
      </c>
      <c r="F68" s="21" t="n">
        <v>43585</v>
      </c>
      <c r="G68" s="22" t="n">
        <v>286.25</v>
      </c>
      <c r="H68" s="22" t="n">
        <v>272.07</v>
      </c>
      <c r="I68" s="21" t="n">
        <v>43592</v>
      </c>
      <c r="J68" s="22" t="n">
        <v>281.31</v>
      </c>
      <c r="K68" s="21" t="n">
        <v>43593</v>
      </c>
      <c r="L68" s="22" t="n">
        <v>277.85</v>
      </c>
      <c r="M68" s="8" t="s">
        <v>73</v>
      </c>
      <c r="N68" s="4" t="n">
        <v>4</v>
      </c>
      <c r="O68" s="6" t="n">
        <f aca="false">IF(C68="롱",(J68-E68)/E68,(E68-J68)/E68)</f>
        <v>-0.0191080581610238</v>
      </c>
    </row>
    <row r="69" customFormat="false" ht="17.15" hidden="false" customHeight="false" outlineLevel="0" collapsed="false">
      <c r="A69" s="4" t="n">
        <v>3</v>
      </c>
      <c r="B69" s="4" t="s">
        <v>16</v>
      </c>
      <c r="C69" s="8" t="s">
        <v>72</v>
      </c>
      <c r="D69" s="21" t="n">
        <v>43794</v>
      </c>
      <c r="E69" s="22" t="n">
        <v>282.19</v>
      </c>
      <c r="F69" s="21" t="n">
        <v>43795</v>
      </c>
      <c r="G69" s="22" t="n">
        <v>283.09</v>
      </c>
      <c r="H69" s="22" t="n">
        <v>266.41</v>
      </c>
      <c r="I69" s="21" t="n">
        <v>43798</v>
      </c>
      <c r="J69" s="22" t="n">
        <v>276.78</v>
      </c>
      <c r="K69" s="21" t="n">
        <v>43801</v>
      </c>
      <c r="L69" s="22" t="n">
        <v>278.27</v>
      </c>
      <c r="M69" s="8" t="s">
        <v>73</v>
      </c>
      <c r="N69" s="4" t="n">
        <v>4</v>
      </c>
      <c r="O69" s="6" t="n">
        <f aca="false">IF(C69="롱",(J69-E69)/E69,(E69-J69)/E69)</f>
        <v>-0.0191714802083703</v>
      </c>
    </row>
    <row r="70" customFormat="false" ht="17.15" hidden="false" customHeight="false" outlineLevel="0" collapsed="false">
      <c r="A70" s="4" t="n">
        <v>3</v>
      </c>
      <c r="B70" s="4" t="s">
        <v>16</v>
      </c>
      <c r="C70" s="8" t="s">
        <v>72</v>
      </c>
      <c r="D70" s="21" t="n">
        <v>43809</v>
      </c>
      <c r="E70" s="22" t="n">
        <v>279.31</v>
      </c>
      <c r="F70" s="21" t="n">
        <v>43810</v>
      </c>
      <c r="G70" s="22" t="n">
        <v>279.19</v>
      </c>
      <c r="H70" s="22" t="n">
        <v>262.46</v>
      </c>
      <c r="I70" s="21" t="n">
        <v>43860</v>
      </c>
      <c r="J70" s="22" t="n">
        <v>288.37</v>
      </c>
      <c r="K70" s="21" t="n">
        <v>43861</v>
      </c>
      <c r="L70" s="22" t="n">
        <v>290.24</v>
      </c>
      <c r="M70" s="8" t="s">
        <v>73</v>
      </c>
      <c r="N70" s="4" t="n">
        <v>32</v>
      </c>
      <c r="O70" s="6" t="n">
        <f aca="false">IF(C70="롱",(J70-E70)/E70,(E70-J70)/E70)</f>
        <v>0.0324370770828112</v>
      </c>
    </row>
    <row r="71" customFormat="false" ht="17.15" hidden="false" customHeight="false" outlineLevel="0" collapsed="false">
      <c r="A71" s="4" t="n">
        <v>3</v>
      </c>
      <c r="B71" s="4" t="s">
        <v>16</v>
      </c>
      <c r="C71" s="8" t="s">
        <v>72</v>
      </c>
      <c r="D71" s="21" t="n">
        <v>43867</v>
      </c>
      <c r="E71" s="22" t="n">
        <v>300.65</v>
      </c>
      <c r="F71" s="21" t="n">
        <v>43868</v>
      </c>
      <c r="G71" s="22" t="n">
        <v>299.59</v>
      </c>
      <c r="H71" s="22" t="n">
        <v>275.27</v>
      </c>
      <c r="I71" s="21" t="n">
        <v>43882</v>
      </c>
      <c r="J71" s="22" t="n">
        <v>292.42</v>
      </c>
      <c r="K71" s="21" t="n">
        <v>43885</v>
      </c>
      <c r="L71" s="22" t="n">
        <v>285.51</v>
      </c>
      <c r="M71" s="8" t="s">
        <v>73</v>
      </c>
      <c r="N71" s="4" t="n">
        <v>11</v>
      </c>
      <c r="O71" s="6" t="n">
        <f aca="false">IF(C71="롱",(J71-E71)/E71,(E71-J71)/E71)</f>
        <v>-0.0273740229502743</v>
      </c>
    </row>
    <row r="72" customFormat="false" ht="17.15" hidden="false" customHeight="false" outlineLevel="0" collapsed="false">
      <c r="A72" s="4" t="n">
        <v>3</v>
      </c>
      <c r="B72" s="4" t="s">
        <v>16</v>
      </c>
      <c r="C72" s="8" t="s">
        <v>72</v>
      </c>
      <c r="D72" s="21" t="n">
        <v>43998</v>
      </c>
      <c r="E72" s="22" t="n">
        <v>282.59</v>
      </c>
      <c r="F72" s="21" t="n">
        <v>43999</v>
      </c>
      <c r="G72" s="22" t="n">
        <v>282.08</v>
      </c>
      <c r="H72" s="22" t="n">
        <v>254.33</v>
      </c>
      <c r="I72" s="21" t="n">
        <v>44053</v>
      </c>
      <c r="J72" s="22" t="n">
        <v>316.77</v>
      </c>
      <c r="K72" s="21" t="n">
        <v>44054</v>
      </c>
      <c r="L72" s="22" t="n">
        <v>317.63</v>
      </c>
      <c r="M72" s="8" t="s">
        <v>73</v>
      </c>
      <c r="N72" s="4" t="n">
        <v>39</v>
      </c>
      <c r="O72" s="6" t="n">
        <f aca="false">IF(C72="롱",(J72-E72)/E72,(E72-J72)/E72)</f>
        <v>0.120952616865423</v>
      </c>
    </row>
    <row r="73" customFormat="false" ht="17.15" hidden="false" customHeight="false" outlineLevel="0" collapsed="false">
      <c r="A73" s="4" t="n">
        <v>3</v>
      </c>
      <c r="B73" s="4" t="s">
        <v>16</v>
      </c>
      <c r="C73" s="8" t="s">
        <v>72</v>
      </c>
      <c r="D73" s="21" t="n">
        <v>44064</v>
      </c>
      <c r="E73" s="22" t="n">
        <v>306.16</v>
      </c>
      <c r="F73" s="21" t="n">
        <v>44067</v>
      </c>
      <c r="G73" s="22" t="n">
        <v>306.86</v>
      </c>
      <c r="H73" s="22" t="n">
        <v>277.36</v>
      </c>
      <c r="I73" s="21" t="n">
        <v>44096</v>
      </c>
      <c r="J73" s="22" t="n">
        <v>308.82</v>
      </c>
      <c r="K73" s="21" t="n">
        <v>44097</v>
      </c>
      <c r="L73" s="22" t="n">
        <v>311.5</v>
      </c>
      <c r="M73" s="8" t="s">
        <v>73</v>
      </c>
      <c r="N73" s="4" t="n">
        <v>22</v>
      </c>
      <c r="O73" s="6" t="n">
        <f aca="false">IF(C73="롱",(J73-E73)/E73,(E73-J73)/E73)</f>
        <v>0.008688267572511</v>
      </c>
    </row>
    <row r="74" customFormat="false" ht="17.15" hidden="false" customHeight="false" outlineLevel="0" collapsed="false">
      <c r="A74" s="4" t="n">
        <v>3</v>
      </c>
      <c r="B74" s="4" t="s">
        <v>16</v>
      </c>
      <c r="C74" s="8" t="s">
        <v>72</v>
      </c>
      <c r="D74" s="21" t="n">
        <v>44109</v>
      </c>
      <c r="E74" s="22" t="n">
        <v>313.51</v>
      </c>
      <c r="F74" s="21" t="n">
        <v>44110</v>
      </c>
      <c r="G74" s="22" t="n">
        <v>315.13</v>
      </c>
      <c r="H74" s="22" t="n">
        <v>287.9</v>
      </c>
      <c r="I74" s="21" t="n">
        <v>44133</v>
      </c>
      <c r="J74" s="22" t="n">
        <v>309.94</v>
      </c>
      <c r="K74" s="21" t="n">
        <v>44134</v>
      </c>
      <c r="L74" s="22" t="n">
        <v>308.91</v>
      </c>
      <c r="M74" s="8" t="s">
        <v>73</v>
      </c>
      <c r="N74" s="4" t="n">
        <v>17</v>
      </c>
      <c r="O74" s="6" t="n">
        <f aca="false">IF(C74="롱",(J74-E74)/E74,(E74-J74)/E74)</f>
        <v>-0.0113871965806513</v>
      </c>
    </row>
    <row r="75" customFormat="false" ht="17.15" hidden="false" customHeight="false" outlineLevel="0" collapsed="false">
      <c r="A75" s="4" t="n">
        <v>3</v>
      </c>
      <c r="B75" s="4" t="s">
        <v>16</v>
      </c>
      <c r="C75" s="8" t="s">
        <v>72</v>
      </c>
      <c r="D75" s="21" t="n">
        <v>44138</v>
      </c>
      <c r="E75" s="22" t="n">
        <v>312.07</v>
      </c>
      <c r="F75" s="21" t="n">
        <v>44139</v>
      </c>
      <c r="G75" s="22" t="n">
        <v>314.31</v>
      </c>
      <c r="H75" s="22" t="n">
        <v>289.74</v>
      </c>
      <c r="I75" s="21" t="n">
        <v>44158</v>
      </c>
      <c r="J75" s="22" t="n">
        <v>348.46</v>
      </c>
      <c r="K75" s="21" t="n">
        <v>44159</v>
      </c>
      <c r="L75" s="22" t="n">
        <v>350.3</v>
      </c>
      <c r="M75" s="8" t="s">
        <v>73</v>
      </c>
      <c r="N75" s="4" t="n">
        <v>14</v>
      </c>
      <c r="O75" s="6" t="n">
        <f aca="false">IF(C75="롱",(J75-E75)/E75,(E75-J75)/E75)</f>
        <v>0.116608453231647</v>
      </c>
    </row>
    <row r="76" customFormat="false" ht="17.15" hidden="false" customHeight="false" outlineLevel="0" collapsed="false">
      <c r="A76" s="4" t="n">
        <v>3</v>
      </c>
      <c r="B76" s="4" t="s">
        <v>16</v>
      </c>
      <c r="C76" s="8" t="s">
        <v>72</v>
      </c>
      <c r="D76" s="21" t="n">
        <v>44228</v>
      </c>
      <c r="E76" s="22" t="n">
        <v>415.45</v>
      </c>
      <c r="F76" s="21" t="n">
        <v>44229</v>
      </c>
      <c r="G76" s="22" t="n">
        <v>416.77</v>
      </c>
      <c r="H76" s="22" t="n">
        <v>373.9</v>
      </c>
      <c r="I76" s="21" t="n">
        <v>44251</v>
      </c>
      <c r="J76" s="22" t="n">
        <v>407.16</v>
      </c>
      <c r="K76" s="21" t="n">
        <v>44252</v>
      </c>
      <c r="L76" s="22" t="n">
        <v>412.05</v>
      </c>
      <c r="M76" s="8" t="s">
        <v>73</v>
      </c>
      <c r="N76" s="4" t="n">
        <v>15</v>
      </c>
      <c r="O76" s="6" t="n">
        <f aca="false">IF(C76="롱",(J76-E76)/E76,(E76-J76)/E76)</f>
        <v>-0.0199542664580574</v>
      </c>
    </row>
    <row r="77" customFormat="false" ht="17.15" hidden="false" customHeight="false" outlineLevel="0" collapsed="false">
      <c r="A77" s="4" t="n">
        <v>3</v>
      </c>
      <c r="B77" s="4" t="s">
        <v>16</v>
      </c>
      <c r="C77" s="8" t="s">
        <v>72</v>
      </c>
      <c r="D77" s="21" t="n">
        <v>44252</v>
      </c>
      <c r="E77" s="22" t="n">
        <v>422.52</v>
      </c>
      <c r="F77" s="21" t="n">
        <v>44253</v>
      </c>
      <c r="G77" s="22" t="n">
        <v>421.19</v>
      </c>
      <c r="H77" s="22" t="n">
        <v>380.27</v>
      </c>
      <c r="I77" s="21" t="n">
        <v>44264</v>
      </c>
      <c r="J77" s="22" t="n">
        <v>405.79</v>
      </c>
      <c r="K77" s="21" t="n">
        <v>44265</v>
      </c>
      <c r="L77" s="22" t="n">
        <v>406.37</v>
      </c>
      <c r="M77" s="8" t="s">
        <v>73</v>
      </c>
      <c r="N77" s="4" t="n">
        <v>7</v>
      </c>
      <c r="O77" s="6" t="n">
        <f aca="false">IF(C77="롱",(J77-E77)/E77,(E77-J77)/E77)</f>
        <v>-0.0395957587806493</v>
      </c>
    </row>
    <row r="78" customFormat="false" ht="17.15" hidden="false" customHeight="false" outlineLevel="0" collapsed="false">
      <c r="A78" s="4" t="n">
        <v>3</v>
      </c>
      <c r="B78" s="4" t="s">
        <v>16</v>
      </c>
      <c r="C78" s="8" t="s">
        <v>72</v>
      </c>
      <c r="D78" s="21" t="n">
        <v>44267</v>
      </c>
      <c r="E78" s="22" t="n">
        <v>416.13</v>
      </c>
      <c r="F78" s="21" t="n">
        <v>44270</v>
      </c>
      <c r="G78" s="22" t="n">
        <v>416.58</v>
      </c>
      <c r="H78" s="22" t="n">
        <v>374.52</v>
      </c>
      <c r="I78" s="21" t="n">
        <v>44279</v>
      </c>
      <c r="J78" s="22" t="n">
        <v>407.1</v>
      </c>
      <c r="K78" s="21" t="n">
        <v>44280</v>
      </c>
      <c r="L78" s="22" t="n">
        <v>407.03</v>
      </c>
      <c r="M78" s="8" t="s">
        <v>73</v>
      </c>
      <c r="N78" s="4" t="n">
        <v>8</v>
      </c>
      <c r="O78" s="6" t="n">
        <f aca="false">IF(C78="롱",(J78-E78)/E78,(E78-J78)/E78)</f>
        <v>-0.021699949535001</v>
      </c>
    </row>
    <row r="79" customFormat="false" ht="17.15" hidden="false" customHeight="false" outlineLevel="0" collapsed="false">
      <c r="A79" s="4" t="n">
        <v>3</v>
      </c>
      <c r="B79" s="4" t="s">
        <v>16</v>
      </c>
      <c r="C79" s="8" t="s">
        <v>72</v>
      </c>
      <c r="D79" s="21" t="n">
        <v>44281</v>
      </c>
      <c r="E79" s="22" t="n">
        <v>412.89</v>
      </c>
      <c r="F79" s="21" t="n">
        <v>44284</v>
      </c>
      <c r="G79" s="22" t="n">
        <v>413.9</v>
      </c>
      <c r="H79" s="22" t="n">
        <v>374.97</v>
      </c>
      <c r="I79" s="21" t="n">
        <v>44319</v>
      </c>
      <c r="J79" s="22" t="n">
        <v>420.36</v>
      </c>
      <c r="K79" s="21" t="n">
        <v>44320</v>
      </c>
      <c r="L79" s="22" t="n">
        <v>420.99</v>
      </c>
      <c r="M79" s="8" t="s">
        <v>73</v>
      </c>
      <c r="N79" s="4" t="n">
        <v>26</v>
      </c>
      <c r="O79" s="6" t="n">
        <f aca="false">IF(C79="롱",(J79-E79)/E79,(E79-J79)/E79)</f>
        <v>0.0180919857589189</v>
      </c>
    </row>
    <row r="80" customFormat="false" ht="17.15" hidden="false" customHeight="false" outlineLevel="0" collapsed="false">
      <c r="A80" s="4" t="n">
        <v>3</v>
      </c>
      <c r="B80" s="4" t="s">
        <v>16</v>
      </c>
      <c r="C80" s="8" t="s">
        <v>72</v>
      </c>
      <c r="D80" s="21" t="n">
        <v>44322</v>
      </c>
      <c r="E80" s="22" t="n">
        <v>426.64</v>
      </c>
      <c r="F80" s="21" t="n">
        <v>44323</v>
      </c>
      <c r="G80" s="22" t="n">
        <v>426.51</v>
      </c>
      <c r="H80" s="22" t="n">
        <v>403</v>
      </c>
      <c r="I80" s="21" t="n">
        <v>44329</v>
      </c>
      <c r="J80" s="22" t="n">
        <v>416.07</v>
      </c>
      <c r="K80" s="21" t="n">
        <v>44330</v>
      </c>
      <c r="L80" s="22" t="n">
        <v>417.5</v>
      </c>
      <c r="M80" s="8" t="s">
        <v>73</v>
      </c>
      <c r="N80" s="4" t="n">
        <v>5</v>
      </c>
      <c r="O80" s="6" t="n">
        <f aca="false">IF(C80="롱",(J80-E80)/E80,(E80-J80)/E80)</f>
        <v>-0.024774985936621</v>
      </c>
    </row>
    <row r="81" customFormat="false" ht="17.15" hidden="false" customHeight="false" outlineLevel="0" collapsed="false">
      <c r="A81" s="4" t="n">
        <v>3</v>
      </c>
      <c r="B81" s="4" t="s">
        <v>16</v>
      </c>
      <c r="C81" s="8" t="s">
        <v>72</v>
      </c>
      <c r="D81" s="21" t="n">
        <v>44341</v>
      </c>
      <c r="E81" s="22" t="n">
        <v>424.35</v>
      </c>
      <c r="F81" s="21" t="n">
        <v>44342</v>
      </c>
      <c r="G81" s="22" t="n">
        <v>424.46</v>
      </c>
      <c r="H81" s="22" t="n">
        <v>395.2</v>
      </c>
      <c r="I81" s="21" t="n">
        <v>44386</v>
      </c>
      <c r="J81" s="22" t="n">
        <v>427.84</v>
      </c>
      <c r="K81" s="21" t="n">
        <v>44389</v>
      </c>
      <c r="L81" s="22" t="n">
        <v>429.33</v>
      </c>
      <c r="M81" s="8" t="s">
        <v>73</v>
      </c>
      <c r="N81" s="4" t="n">
        <v>33</v>
      </c>
      <c r="O81" s="6" t="n">
        <f aca="false">IF(C81="롱",(J81-E81)/E81,(E81-J81)/E81)</f>
        <v>0.00822434311299623</v>
      </c>
    </row>
    <row r="82" customFormat="false" ht="17.15" hidden="false" customHeight="false" outlineLevel="0" collapsed="false">
      <c r="A82" s="4" t="n">
        <v>3</v>
      </c>
      <c r="B82" s="4" t="s">
        <v>16</v>
      </c>
      <c r="C82" s="8" t="s">
        <v>72</v>
      </c>
      <c r="D82" s="21" t="n">
        <v>44390</v>
      </c>
      <c r="E82" s="22" t="n">
        <v>434.71</v>
      </c>
      <c r="F82" s="21" t="n">
        <v>44391</v>
      </c>
      <c r="G82" s="22" t="n">
        <v>434.47</v>
      </c>
      <c r="H82" s="22" t="n">
        <v>415.45</v>
      </c>
      <c r="I82" s="21" t="n">
        <v>44396</v>
      </c>
      <c r="J82" s="22" t="n">
        <v>429.89</v>
      </c>
      <c r="K82" s="21" t="n">
        <v>44397</v>
      </c>
      <c r="L82" s="22" t="n">
        <v>427.14</v>
      </c>
      <c r="M82" s="8" t="s">
        <v>73</v>
      </c>
      <c r="N82" s="4" t="n">
        <v>4</v>
      </c>
      <c r="O82" s="6" t="n">
        <f aca="false">IF(C82="롱",(J82-E82)/E82,(E82-J82)/E82)</f>
        <v>-0.0110878516712291</v>
      </c>
    </row>
    <row r="83" customFormat="false" ht="17.15" hidden="false" customHeight="false" outlineLevel="0" collapsed="false">
      <c r="A83" s="4" t="n">
        <v>3</v>
      </c>
      <c r="B83" s="4" t="s">
        <v>16</v>
      </c>
      <c r="C83" s="8" t="s">
        <v>72</v>
      </c>
      <c r="D83" s="21" t="n">
        <v>44973</v>
      </c>
      <c r="E83" s="22" t="n">
        <v>324.1</v>
      </c>
      <c r="F83" s="21" t="n">
        <v>44974</v>
      </c>
      <c r="G83" s="22" t="n">
        <v>320.15</v>
      </c>
      <c r="H83" s="22" t="n">
        <v>299.76</v>
      </c>
      <c r="I83" s="21" t="n">
        <v>44984</v>
      </c>
      <c r="J83" s="22" t="n">
        <v>313.94</v>
      </c>
      <c r="K83" s="21" t="n">
        <v>44985</v>
      </c>
      <c r="L83" s="22" t="n">
        <v>315.75</v>
      </c>
      <c r="M83" s="8" t="s">
        <v>73</v>
      </c>
      <c r="N83" s="4" t="n">
        <v>7</v>
      </c>
      <c r="O83" s="6" t="n">
        <f aca="false">IF(C83="롱",(J83-E83)/E83,(E83-J83)/E83)</f>
        <v>-0.0313483492749152</v>
      </c>
    </row>
    <row r="84" customFormat="false" ht="17.15" hidden="false" customHeight="false" outlineLevel="0" collapsed="false">
      <c r="A84" s="4" t="n">
        <v>3</v>
      </c>
      <c r="B84" s="4" t="s">
        <v>16</v>
      </c>
      <c r="C84" s="8" t="s">
        <v>72</v>
      </c>
      <c r="D84" s="21" t="n">
        <v>44991</v>
      </c>
      <c r="E84" s="22" t="n">
        <v>320.94</v>
      </c>
      <c r="F84" s="21" t="n">
        <v>44992</v>
      </c>
      <c r="G84" s="22" t="n">
        <v>320.04</v>
      </c>
      <c r="H84" s="22" t="n">
        <v>297.81</v>
      </c>
      <c r="I84" s="21" t="n">
        <v>44994</v>
      </c>
      <c r="J84" s="22" t="n">
        <v>314.04</v>
      </c>
      <c r="K84" s="21" t="n">
        <v>44995</v>
      </c>
      <c r="L84" s="22" t="n">
        <v>310.15</v>
      </c>
      <c r="M84" s="8" t="s">
        <v>73</v>
      </c>
      <c r="N84" s="4" t="n">
        <v>3</v>
      </c>
      <c r="O84" s="6" t="n">
        <f aca="false">IF(C84="롱",(J84-E84)/E84,(E84-J84)/E84)</f>
        <v>-0.0214993456720882</v>
      </c>
    </row>
    <row r="85" customFormat="false" ht="17.15" hidden="false" customHeight="false" outlineLevel="0" collapsed="false">
      <c r="A85" s="4" t="n">
        <v>3</v>
      </c>
      <c r="B85" s="4" t="s">
        <v>16</v>
      </c>
      <c r="C85" s="8" t="s">
        <v>72</v>
      </c>
      <c r="D85" s="21" t="n">
        <v>45044</v>
      </c>
      <c r="E85" s="22" t="n">
        <v>326.46</v>
      </c>
      <c r="F85" s="21" t="n">
        <v>45048</v>
      </c>
      <c r="G85" s="22" t="n">
        <v>326.99</v>
      </c>
      <c r="H85" s="22" t="n">
        <v>307.78</v>
      </c>
      <c r="I85" s="21" t="n">
        <v>45106</v>
      </c>
      <c r="J85" s="22" t="n">
        <v>336.39</v>
      </c>
      <c r="K85" s="21" t="n">
        <v>45107</v>
      </c>
      <c r="L85" s="22" t="n">
        <v>337.56</v>
      </c>
      <c r="M85" s="8" t="s">
        <v>73</v>
      </c>
      <c r="N85" s="4" t="n">
        <v>40</v>
      </c>
      <c r="O85" s="6" t="n">
        <f aca="false">IF(C85="롱",(J85-E85)/E85,(E85-J85)/E85)</f>
        <v>0.0304172027200882</v>
      </c>
    </row>
    <row r="86" customFormat="false" ht="17.15" hidden="false" customHeight="false" outlineLevel="0" collapsed="false">
      <c r="A86" s="4" t="n">
        <v>3</v>
      </c>
      <c r="B86" s="4" t="s">
        <v>16</v>
      </c>
      <c r="C86" s="8" t="s">
        <v>72</v>
      </c>
      <c r="D86" s="21" t="n">
        <v>45110</v>
      </c>
      <c r="E86" s="22" t="n">
        <v>343.08</v>
      </c>
      <c r="F86" s="21" t="n">
        <v>45111</v>
      </c>
      <c r="G86" s="22" t="n">
        <v>343.54</v>
      </c>
      <c r="H86" s="22" t="n">
        <v>326.28</v>
      </c>
      <c r="I86" s="21" t="n">
        <v>45113</v>
      </c>
      <c r="J86" s="22" t="n">
        <v>336.2</v>
      </c>
      <c r="K86" s="21" t="n">
        <v>45114</v>
      </c>
      <c r="L86" s="22" t="n">
        <v>334.79</v>
      </c>
      <c r="M86" s="8" t="s">
        <v>73</v>
      </c>
      <c r="N86" s="4" t="n">
        <v>3</v>
      </c>
      <c r="O86" s="6" t="n">
        <f aca="false">IF(C86="롱",(J86-E86)/E86,(E86-J86)/E86)</f>
        <v>-0.0200536318059928</v>
      </c>
    </row>
    <row r="87" customFormat="false" ht="17.15" hidden="false" customHeight="false" outlineLevel="0" collapsed="false">
      <c r="A87" s="4" t="n">
        <v>3</v>
      </c>
      <c r="B87" s="4" t="s">
        <v>16</v>
      </c>
      <c r="C87" s="8" t="s">
        <v>72</v>
      </c>
      <c r="D87" s="21" t="n">
        <v>45119</v>
      </c>
      <c r="E87" s="22" t="n">
        <v>339.46</v>
      </c>
      <c r="F87" s="21" t="n">
        <v>45120</v>
      </c>
      <c r="G87" s="22" t="n">
        <v>341.6</v>
      </c>
      <c r="H87" s="22" t="n">
        <v>321.27</v>
      </c>
      <c r="I87" s="21" t="n">
        <v>45146</v>
      </c>
      <c r="J87" s="22" t="n">
        <v>337.95</v>
      </c>
      <c r="K87" s="21" t="n">
        <v>45147</v>
      </c>
      <c r="L87" s="22" t="n">
        <v>339</v>
      </c>
      <c r="M87" s="8" t="s">
        <v>73</v>
      </c>
      <c r="N87" s="4" t="n">
        <v>19</v>
      </c>
      <c r="O87" s="6" t="n">
        <f aca="false">IF(C87="롱",(J87-E87)/E87,(E87-J87)/E87)</f>
        <v>-0.00444824132445646</v>
      </c>
    </row>
    <row r="88" customFormat="false" ht="17.15" hidden="false" customHeight="false" outlineLevel="0" collapsed="false">
      <c r="A88" s="4" t="n">
        <v>3</v>
      </c>
      <c r="B88" s="4" t="s">
        <v>16</v>
      </c>
      <c r="C88" s="8" t="s">
        <v>72</v>
      </c>
      <c r="D88" s="21" t="n">
        <v>45406</v>
      </c>
      <c r="E88" s="22" t="n">
        <v>363.6</v>
      </c>
      <c r="F88" s="21" t="n">
        <v>45407</v>
      </c>
      <c r="G88" s="22" t="n">
        <v>359.05</v>
      </c>
      <c r="H88" s="22" t="n">
        <v>335.12</v>
      </c>
      <c r="I88" s="21" t="n">
        <v>45407</v>
      </c>
      <c r="J88" s="22" t="n">
        <v>356.51</v>
      </c>
      <c r="K88" s="21" t="n">
        <v>45408</v>
      </c>
      <c r="L88" s="22" t="n">
        <v>360.18</v>
      </c>
      <c r="M88" s="8" t="s">
        <v>73</v>
      </c>
      <c r="N88" s="4" t="n">
        <v>1</v>
      </c>
      <c r="O88" s="6" t="n">
        <f aca="false">IF(C88="롱",(J88-E88)/E88,(E88-J88)/E88)</f>
        <v>-0.0194994499449946</v>
      </c>
    </row>
    <row r="89" customFormat="false" ht="17.15" hidden="false" customHeight="false" outlineLevel="0" collapsed="false">
      <c r="A89" s="4" t="n">
        <v>3</v>
      </c>
      <c r="B89" s="4" t="s">
        <v>16</v>
      </c>
      <c r="C89" s="8" t="s">
        <v>72</v>
      </c>
      <c r="D89" s="21" t="n">
        <v>45411</v>
      </c>
      <c r="E89" s="22" t="n">
        <v>364.48</v>
      </c>
      <c r="F89" s="21" t="n">
        <v>45412</v>
      </c>
      <c r="G89" s="22" t="n">
        <v>365.17</v>
      </c>
      <c r="H89" s="22" t="n">
        <v>333.96</v>
      </c>
      <c r="I89" s="21" t="n">
        <v>45442</v>
      </c>
      <c r="J89" s="22" t="n">
        <v>358.7</v>
      </c>
      <c r="K89" s="21" t="n">
        <v>45443</v>
      </c>
      <c r="L89" s="22" t="n">
        <v>362.02</v>
      </c>
      <c r="M89" s="8" t="s">
        <v>73</v>
      </c>
      <c r="N89" s="4" t="n">
        <v>21</v>
      </c>
      <c r="O89" s="6" t="n">
        <f aca="false">IF(C89="롱",(J89-E89)/E89,(E89-J89)/E89)</f>
        <v>-0.015858208955224</v>
      </c>
    </row>
    <row r="90" customFormat="false" ht="17.15" hidden="false" customHeight="false" outlineLevel="0" collapsed="false">
      <c r="A90" s="4" t="n">
        <v>3</v>
      </c>
      <c r="B90" s="4" t="s">
        <v>16</v>
      </c>
      <c r="C90" s="8" t="s">
        <v>72</v>
      </c>
      <c r="D90" s="21" t="n">
        <v>45450</v>
      </c>
      <c r="E90" s="22" t="n">
        <v>371.39</v>
      </c>
      <c r="F90" s="21" t="n">
        <v>45453</v>
      </c>
      <c r="G90" s="22" t="n">
        <v>367.76</v>
      </c>
      <c r="H90" s="22" t="n">
        <v>346.1</v>
      </c>
      <c r="I90" s="21" t="n">
        <v>45495</v>
      </c>
      <c r="J90" s="22" t="n">
        <v>379.84</v>
      </c>
      <c r="K90" s="21" t="n">
        <v>45496</v>
      </c>
      <c r="L90" s="22" t="n">
        <v>383.8</v>
      </c>
      <c r="M90" s="8" t="s">
        <v>73</v>
      </c>
      <c r="N90" s="4" t="n">
        <v>31</v>
      </c>
      <c r="O90" s="6" t="n">
        <f aca="false">IF(C90="롱",(J90-E90)/E90,(E90-J90)/E90)</f>
        <v>0.022752362745362</v>
      </c>
    </row>
    <row r="91" customFormat="false" ht="17.15" hidden="false" customHeight="false" outlineLevel="0" collapsed="false">
      <c r="A91" s="4" t="n">
        <v>3</v>
      </c>
      <c r="B91" s="4" t="s">
        <v>16</v>
      </c>
      <c r="C91" s="8" t="s">
        <v>72</v>
      </c>
      <c r="D91" s="21" t="n">
        <v>45722</v>
      </c>
      <c r="E91" s="22" t="n">
        <v>340.31</v>
      </c>
      <c r="F91" s="21" t="n">
        <v>45723</v>
      </c>
      <c r="G91" s="22" t="n">
        <v>336.91</v>
      </c>
      <c r="H91" s="22" t="n">
        <v>317.78</v>
      </c>
      <c r="I91" s="21" t="n">
        <v>45727</v>
      </c>
      <c r="J91" s="22" t="n">
        <v>334.96</v>
      </c>
      <c r="K91" s="21" t="n">
        <v>45728</v>
      </c>
      <c r="L91" s="22" t="n">
        <v>337.02</v>
      </c>
      <c r="M91" s="8" t="s">
        <v>73</v>
      </c>
      <c r="N91" s="4" t="n">
        <v>3</v>
      </c>
      <c r="O91" s="6" t="n">
        <f aca="false">IF(C91="롱",(J91-E91)/E91,(E91-J91)/E91)</f>
        <v>-0.0157209603009022</v>
      </c>
    </row>
    <row r="92" customFormat="false" ht="17.15" hidden="false" customHeight="false" outlineLevel="0" collapsed="false">
      <c r="A92" s="4" t="n">
        <v>3</v>
      </c>
      <c r="B92" s="4" t="s">
        <v>16</v>
      </c>
      <c r="C92" s="8" t="s">
        <v>72</v>
      </c>
      <c r="D92" s="21" t="n">
        <v>45728</v>
      </c>
      <c r="E92" s="22" t="n">
        <v>340.89</v>
      </c>
      <c r="F92" s="21" t="n">
        <v>45729</v>
      </c>
      <c r="G92" s="22" t="n">
        <v>344.28</v>
      </c>
      <c r="H92" s="22" t="n">
        <v>316.29</v>
      </c>
      <c r="I92" s="21" t="n">
        <v>45747</v>
      </c>
      <c r="J92" s="22" t="n">
        <v>332.4</v>
      </c>
      <c r="K92" s="21" t="n">
        <v>45748</v>
      </c>
      <c r="L92" s="22" t="n">
        <v>336.72</v>
      </c>
      <c r="M92" s="8" t="s">
        <v>73</v>
      </c>
      <c r="N92" s="4" t="n">
        <v>13</v>
      </c>
      <c r="O92" s="6" t="n">
        <f aca="false">IF(C92="롱",(J92-E92)/E92,(E92-J92)/E92)</f>
        <v>-0.0249053947021033</v>
      </c>
    </row>
    <row r="93" customFormat="false" ht="17.15" hidden="false" customHeight="false" outlineLevel="0" collapsed="false">
      <c r="A93" s="4" t="n">
        <v>3</v>
      </c>
      <c r="B93" s="4" t="s">
        <v>16</v>
      </c>
      <c r="C93" s="8" t="s">
        <v>72</v>
      </c>
      <c r="D93" s="21" t="n">
        <v>45873</v>
      </c>
      <c r="E93" s="22" t="n">
        <v>424.79</v>
      </c>
      <c r="F93" s="21" t="n">
        <v>45874</v>
      </c>
      <c r="G93" s="22" t="n">
        <v>430.62</v>
      </c>
      <c r="H93" s="22" t="n">
        <v>389.29</v>
      </c>
      <c r="I93" s="21" t="n">
        <v>45901</v>
      </c>
      <c r="J93" s="22" t="n">
        <v>423.33</v>
      </c>
      <c r="K93" s="21" t="n">
        <v>45902</v>
      </c>
      <c r="L93" s="22" t="n">
        <v>424.98</v>
      </c>
      <c r="M93" s="8" t="s">
        <v>73</v>
      </c>
      <c r="N93" s="4" t="n">
        <v>19</v>
      </c>
      <c r="O93" s="6" t="n">
        <f aca="false">IF(C93="롱",(J93-E93)/E93,(E93-J93)/E93)</f>
        <v>-0.00343699239624294</v>
      </c>
    </row>
    <row r="94" customFormat="false" ht="17.15" hidden="false" customHeight="false" outlineLevel="0" collapsed="false">
      <c r="A94" s="4" t="n">
        <v>3</v>
      </c>
      <c r="B94" s="4" t="s">
        <v>16</v>
      </c>
      <c r="C94" s="8" t="s">
        <v>72</v>
      </c>
      <c r="D94" s="21" t="n">
        <v>45903</v>
      </c>
      <c r="E94" s="22" t="n">
        <v>430.37</v>
      </c>
      <c r="F94" s="21" t="n">
        <v>45904</v>
      </c>
      <c r="G94" s="22" t="n">
        <v>430.42</v>
      </c>
      <c r="H94" s="22" t="n">
        <v>403.38</v>
      </c>
      <c r="I94" s="21" t="n">
        <v>45912</v>
      </c>
      <c r="J94" s="22" t="n">
        <v>462.74</v>
      </c>
      <c r="K94" s="21" t="n">
        <v>45915</v>
      </c>
      <c r="L94" s="22" t="n">
        <v>465.3</v>
      </c>
      <c r="M94" s="8" t="s">
        <v>73</v>
      </c>
      <c r="N94" s="4" t="n">
        <v>7</v>
      </c>
      <c r="O94" s="6" t="n">
        <f aca="false">IF(C94="롱",(J94-E94)/E94,(E94-J94)/E94)</f>
        <v>0.0752143504426424</v>
      </c>
    </row>
    <row r="95" customFormat="false" ht="17.15" hidden="false" customHeight="false" outlineLevel="0" collapsed="false">
      <c r="A95" s="4" t="n">
        <v>3</v>
      </c>
      <c r="B95" s="4" t="s">
        <v>16</v>
      </c>
      <c r="C95" s="8" t="s">
        <v>72</v>
      </c>
      <c r="D95" s="21" t="n">
        <v>45987</v>
      </c>
      <c r="E95" s="22" t="n">
        <v>559.37</v>
      </c>
      <c r="F95" s="21" t="n">
        <v>45988</v>
      </c>
      <c r="G95" s="22" t="n">
        <v>564.24</v>
      </c>
      <c r="H95" s="22" t="n">
        <v>503.43</v>
      </c>
      <c r="I95" s="21" t="n">
        <v>46027</v>
      </c>
      <c r="J95" s="22" t="n">
        <v>648.74</v>
      </c>
      <c r="K95" s="21" t="n">
        <v>46028</v>
      </c>
      <c r="L95" s="22" t="n">
        <v>645.59</v>
      </c>
      <c r="M95" s="8" t="s">
        <v>73</v>
      </c>
      <c r="N95" s="4" t="n">
        <v>25</v>
      </c>
      <c r="O95" s="6" t="n">
        <f aca="false">IF(C95="롱",(J95-E95)/E95,(E95-J95)/E95)</f>
        <v>0.159769025868388</v>
      </c>
    </row>
    <row r="96" customFormat="false" ht="17.15" hidden="false" customHeight="false" outlineLevel="0" collapsed="false">
      <c r="A96" s="4" t="n">
        <v>3</v>
      </c>
      <c r="B96" s="4" t="s">
        <v>16</v>
      </c>
      <c r="C96" s="8" t="s">
        <v>72</v>
      </c>
      <c r="D96" s="21" t="n">
        <v>46086</v>
      </c>
      <c r="E96" s="22" t="n">
        <v>831.22</v>
      </c>
      <c r="F96" s="21" t="n">
        <v>46087</v>
      </c>
      <c r="G96" s="22" t="n">
        <v>815.04</v>
      </c>
      <c r="H96" s="22" t="n">
        <v>748.1</v>
      </c>
      <c r="I96" s="21" t="n">
        <v>46111</v>
      </c>
      <c r="J96" s="22" t="n">
        <v>780.32</v>
      </c>
      <c r="K96" s="21" t="n">
        <v>46112</v>
      </c>
      <c r="L96" s="22" t="n">
        <v>757.62</v>
      </c>
      <c r="M96" s="8" t="s">
        <v>73</v>
      </c>
      <c r="N96" s="4" t="n">
        <v>17</v>
      </c>
      <c r="O96" s="6" t="n">
        <f aca="false">IF(C96="롱",(J96-E96)/E96,(E96-J96)/E96)</f>
        <v>-0.061235292702293</v>
      </c>
    </row>
    <row r="97" customFormat="false" ht="17.15" hidden="false" customHeight="false" outlineLevel="0" collapsed="false">
      <c r="A97" s="4" t="n">
        <v>3</v>
      </c>
      <c r="B97" s="4" t="s">
        <v>16</v>
      </c>
      <c r="C97" s="8" t="s">
        <v>72</v>
      </c>
      <c r="D97" s="21" t="n">
        <v>46113</v>
      </c>
      <c r="E97" s="22" t="n">
        <v>813.84</v>
      </c>
      <c r="F97" s="21" t="n">
        <v>46114</v>
      </c>
      <c r="G97" s="22" t="n">
        <v>825.52</v>
      </c>
      <c r="H97" s="22" t="n">
        <v>732.46</v>
      </c>
      <c r="I97" s="21" t="n">
        <v>46148</v>
      </c>
      <c r="J97" s="22" t="n">
        <v>1129.63</v>
      </c>
      <c r="K97" s="21" t="n">
        <v>46149</v>
      </c>
      <c r="L97" s="22" t="n">
        <v>1150.18</v>
      </c>
      <c r="M97" s="8" t="s">
        <v>73</v>
      </c>
      <c r="N97" s="4" t="n">
        <v>23</v>
      </c>
      <c r="O97" s="6" t="n">
        <f aca="false">IF(C97="롱",(J97-E97)/E97,(E97-J97)/E97)</f>
        <v>0.388024673154428</v>
      </c>
    </row>
    <row r="98" customFormat="false" ht="17.15" hidden="false" customHeight="false" outlineLevel="0" collapsed="false">
      <c r="A98" s="4" t="n">
        <v>3</v>
      </c>
      <c r="B98" s="4" t="s">
        <v>16</v>
      </c>
      <c r="C98" s="8" t="s">
        <v>72</v>
      </c>
      <c r="D98" s="21" t="n">
        <v>46182</v>
      </c>
      <c r="E98" s="22" t="n">
        <v>1293.4</v>
      </c>
      <c r="F98" s="21" t="n">
        <v>46183</v>
      </c>
      <c r="G98" s="22" t="n">
        <v>1258.44</v>
      </c>
      <c r="H98" s="22" t="n">
        <v>1164.06</v>
      </c>
      <c r="I98" s="21" t="n">
        <v>46205</v>
      </c>
      <c r="J98" s="22" t="n">
        <v>1219.62</v>
      </c>
      <c r="K98" s="21" t="n">
        <v>46206</v>
      </c>
      <c r="L98" s="22" t="n">
        <v>1235.2</v>
      </c>
      <c r="M98" s="8" t="s">
        <v>73</v>
      </c>
      <c r="N98" s="4" t="n">
        <v>17</v>
      </c>
      <c r="O98" s="6" t="n">
        <f aca="false">IF(C98="롱",(J98-E98)/E98,(E98-J98)/E98)</f>
        <v>-0.0570434513684863</v>
      </c>
    </row>
  </sheetData>
  <autoFilter ref="A4:O9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10" min="9" style="0" width="14"/>
    <col collapsed="false" customWidth="true" hidden="false" outlineLevel="0" max="11" min="11" style="0" width="16"/>
    <col collapsed="false" customWidth="true" hidden="false" outlineLevel="0" max="12" min="12" style="0" width="12"/>
    <col collapsed="false" customWidth="true" hidden="false" outlineLevel="0" max="13" min="13" style="0" width="16"/>
    <col collapsed="false" customWidth="true" hidden="false" outlineLevel="0" max="14" min="14" style="0" width="7"/>
    <col collapsed="false" customWidth="true" hidden="false" outlineLevel="0" max="15" min="15" style="0" width="16"/>
  </cols>
  <sheetData>
    <row r="1" customFormat="false" ht="19.4" hidden="false" customHeight="false" outlineLevel="0" collapsed="false">
      <c r="A1" s="1" t="s">
        <v>81</v>
      </c>
    </row>
    <row r="2" customFormat="false" ht="15" hidden="false" customHeight="false" outlineLevel="0" collapsed="false">
      <c r="A2" s="2" t="s">
        <v>58</v>
      </c>
    </row>
    <row r="4" customFormat="false" ht="31.5" hidden="false" customHeight="true" outlineLevel="0" collapsed="false">
      <c r="A4" s="19" t="s">
        <v>2</v>
      </c>
      <c r="B4" s="19" t="s">
        <v>3</v>
      </c>
      <c r="C4" s="19" t="s">
        <v>59</v>
      </c>
      <c r="D4" s="19" t="s">
        <v>60</v>
      </c>
      <c r="E4" s="19" t="s">
        <v>61</v>
      </c>
      <c r="F4" s="20" t="s">
        <v>62</v>
      </c>
      <c r="G4" s="19" t="s">
        <v>63</v>
      </c>
      <c r="H4" s="19" t="s">
        <v>64</v>
      </c>
      <c r="I4" s="19" t="s">
        <v>65</v>
      </c>
      <c r="J4" s="19" t="s">
        <v>66</v>
      </c>
      <c r="K4" s="20" t="s">
        <v>67</v>
      </c>
      <c r="L4" s="19" t="s">
        <v>68</v>
      </c>
      <c r="M4" s="19" t="s">
        <v>69</v>
      </c>
      <c r="N4" s="19" t="s">
        <v>70</v>
      </c>
      <c r="O4" s="19" t="s">
        <v>71</v>
      </c>
    </row>
    <row r="5" customFormat="false" ht="17.15" hidden="false" customHeight="false" outlineLevel="0" collapsed="false">
      <c r="A5" s="4" t="n">
        <v>4</v>
      </c>
      <c r="B5" s="4" t="s">
        <v>18</v>
      </c>
      <c r="C5" s="8" t="s">
        <v>72</v>
      </c>
      <c r="D5" s="21" t="n">
        <v>37767</v>
      </c>
      <c r="E5" s="22" t="n">
        <v>78.39</v>
      </c>
      <c r="F5" s="21" t="n">
        <v>37768</v>
      </c>
      <c r="G5" s="22" t="n">
        <v>78.66</v>
      </c>
      <c r="H5" s="22" t="n">
        <v>70.55</v>
      </c>
      <c r="I5" s="21" t="n">
        <v>37844</v>
      </c>
      <c r="J5" s="22" t="n">
        <v>90.39</v>
      </c>
      <c r="K5" s="21" t="n">
        <v>37845</v>
      </c>
      <c r="L5" s="22" t="n">
        <v>90.71</v>
      </c>
      <c r="M5" s="8" t="s">
        <v>73</v>
      </c>
      <c r="N5" s="4" t="n">
        <v>53</v>
      </c>
      <c r="O5" s="6" t="n">
        <f aca="false">IF(C5="롱",(J5-E5)/E5,(E5-J5)/E5)</f>
        <v>0.153080750095675</v>
      </c>
    </row>
    <row r="6" customFormat="false" ht="17.15" hidden="false" customHeight="false" outlineLevel="0" collapsed="false">
      <c r="A6" s="4" t="n">
        <v>4</v>
      </c>
      <c r="B6" s="4" t="s">
        <v>18</v>
      </c>
      <c r="C6" s="8" t="s">
        <v>72</v>
      </c>
      <c r="D6" s="21" t="n">
        <v>37851</v>
      </c>
      <c r="E6" s="22" t="n">
        <v>93.73</v>
      </c>
      <c r="F6" s="21" t="n">
        <v>37852</v>
      </c>
      <c r="G6" s="22" t="n">
        <v>95.81</v>
      </c>
      <c r="H6" s="22" t="n">
        <v>86.55</v>
      </c>
      <c r="I6" s="21" t="n">
        <v>37886</v>
      </c>
      <c r="J6" s="22" t="n">
        <v>91.78</v>
      </c>
      <c r="K6" s="21" t="n">
        <v>37887</v>
      </c>
      <c r="L6" s="22" t="n">
        <v>91.7</v>
      </c>
      <c r="M6" s="8" t="s">
        <v>73</v>
      </c>
      <c r="N6" s="4" t="n">
        <v>22</v>
      </c>
      <c r="O6" s="6" t="n">
        <f aca="false">IF(C6="롱",(J6-E6)/E6,(E6-J6)/E6)</f>
        <v>-0.0208044382801665</v>
      </c>
    </row>
    <row r="7" customFormat="false" ht="17.15" hidden="false" customHeight="false" outlineLevel="0" collapsed="false">
      <c r="A7" s="4" t="n">
        <v>4</v>
      </c>
      <c r="B7" s="4" t="s">
        <v>18</v>
      </c>
      <c r="C7" s="8" t="s">
        <v>72</v>
      </c>
      <c r="D7" s="21" t="n">
        <v>37904</v>
      </c>
      <c r="E7" s="22" t="n">
        <v>97.98</v>
      </c>
      <c r="F7" s="21" t="n">
        <v>37907</v>
      </c>
      <c r="G7" s="22" t="n">
        <v>97.52</v>
      </c>
      <c r="H7" s="22" t="n">
        <v>88.18</v>
      </c>
      <c r="I7" s="21" t="n">
        <v>37946</v>
      </c>
      <c r="J7" s="22" t="n">
        <v>99.94</v>
      </c>
      <c r="K7" s="21" t="n">
        <v>37949</v>
      </c>
      <c r="L7" s="22" t="n">
        <v>99.3</v>
      </c>
      <c r="M7" s="8" t="s">
        <v>73</v>
      </c>
      <c r="N7" s="4" t="n">
        <v>30</v>
      </c>
      <c r="O7" s="6" t="n">
        <f aca="false">IF(C7="롱",(J7-E7)/E7,(E7-J7)/E7)</f>
        <v>0.0200040824658093</v>
      </c>
    </row>
    <row r="8" customFormat="false" ht="17.15" hidden="false" customHeight="false" outlineLevel="0" collapsed="false">
      <c r="A8" s="4" t="n">
        <v>4</v>
      </c>
      <c r="B8" s="4" t="s">
        <v>18</v>
      </c>
      <c r="C8" s="8" t="s">
        <v>72</v>
      </c>
      <c r="D8" s="21" t="n">
        <v>37957</v>
      </c>
      <c r="E8" s="22" t="n">
        <v>104.86</v>
      </c>
      <c r="F8" s="21" t="n">
        <v>37958</v>
      </c>
      <c r="G8" s="22" t="n">
        <v>104.7</v>
      </c>
      <c r="H8" s="22" t="n">
        <v>94.37</v>
      </c>
      <c r="I8" s="21" t="n">
        <v>37965</v>
      </c>
      <c r="J8" s="22" t="n">
        <v>102.69</v>
      </c>
      <c r="K8" s="21" t="n">
        <v>37966</v>
      </c>
      <c r="L8" s="22" t="n">
        <v>103</v>
      </c>
      <c r="M8" s="8" t="s">
        <v>73</v>
      </c>
      <c r="N8" s="4" t="n">
        <v>6</v>
      </c>
      <c r="O8" s="6" t="n">
        <f aca="false">IF(C8="롱",(J8-E8)/E8,(E8-J8)/E8)</f>
        <v>-0.020694259012016</v>
      </c>
    </row>
    <row r="9" customFormat="false" ht="17.15" hidden="false" customHeight="false" outlineLevel="0" collapsed="false">
      <c r="A9" s="4" t="n">
        <v>4</v>
      </c>
      <c r="B9" s="4" t="s">
        <v>18</v>
      </c>
      <c r="C9" s="8" t="s">
        <v>72</v>
      </c>
      <c r="D9" s="21" t="n">
        <v>37967</v>
      </c>
      <c r="E9" s="22" t="n">
        <v>104.32</v>
      </c>
      <c r="F9" s="21" t="n">
        <v>37970</v>
      </c>
      <c r="G9" s="22" t="n">
        <v>106.37</v>
      </c>
      <c r="H9" s="22" t="n">
        <v>93.89</v>
      </c>
      <c r="I9" s="21" t="n">
        <v>37984</v>
      </c>
      <c r="J9" s="22" t="n">
        <v>102.79</v>
      </c>
      <c r="K9" s="21" t="n">
        <v>37985</v>
      </c>
      <c r="L9" s="22" t="n">
        <v>104.19</v>
      </c>
      <c r="M9" s="8" t="s">
        <v>73</v>
      </c>
      <c r="N9" s="4" t="n">
        <v>10</v>
      </c>
      <c r="O9" s="6" t="n">
        <f aca="false">IF(C9="롱",(J9-E9)/E9,(E9-J9)/E9)</f>
        <v>-0.0146664110429447</v>
      </c>
    </row>
    <row r="10" customFormat="false" ht="17.15" hidden="false" customHeight="false" outlineLevel="0" collapsed="false">
      <c r="A10" s="4" t="n">
        <v>4</v>
      </c>
      <c r="B10" s="4" t="s">
        <v>18</v>
      </c>
      <c r="C10" s="8" t="s">
        <v>72</v>
      </c>
      <c r="D10" s="21" t="n">
        <v>37988</v>
      </c>
      <c r="E10" s="22" t="n">
        <v>106.65</v>
      </c>
      <c r="F10" s="21" t="n">
        <v>37991</v>
      </c>
      <c r="G10" s="22" t="n">
        <v>106.01</v>
      </c>
      <c r="H10" s="22" t="n">
        <v>96.94</v>
      </c>
      <c r="I10" s="21" t="n">
        <v>38022</v>
      </c>
      <c r="J10" s="22" t="n">
        <v>109.77</v>
      </c>
      <c r="K10" s="21" t="n">
        <v>38023</v>
      </c>
      <c r="L10" s="22" t="n">
        <v>109.98</v>
      </c>
      <c r="M10" s="8" t="s">
        <v>73</v>
      </c>
      <c r="N10" s="4" t="n">
        <v>21</v>
      </c>
      <c r="O10" s="6" t="n">
        <f aca="false">IF(C10="롱",(J10-E10)/E10,(E10-J10)/E10)</f>
        <v>0.0292545710267228</v>
      </c>
    </row>
    <row r="11" customFormat="false" ht="17.15" hidden="false" customHeight="false" outlineLevel="0" collapsed="false">
      <c r="A11" s="4" t="n">
        <v>4</v>
      </c>
      <c r="B11" s="4" t="s">
        <v>18</v>
      </c>
      <c r="C11" s="8" t="s">
        <v>72</v>
      </c>
      <c r="D11" s="21" t="n">
        <v>38027</v>
      </c>
      <c r="E11" s="22" t="n">
        <v>113.46</v>
      </c>
      <c r="F11" s="21" t="n">
        <v>38028</v>
      </c>
      <c r="G11" s="22" t="n">
        <v>113.98</v>
      </c>
      <c r="H11" s="22" t="n">
        <v>105.04</v>
      </c>
      <c r="I11" s="21" t="n">
        <v>38058</v>
      </c>
      <c r="J11" s="22" t="n">
        <v>111.23</v>
      </c>
      <c r="K11" s="21" t="n">
        <v>38061</v>
      </c>
      <c r="L11" s="22" t="n">
        <v>112.23</v>
      </c>
      <c r="M11" s="8" t="s">
        <v>73</v>
      </c>
      <c r="N11" s="4" t="n">
        <v>22</v>
      </c>
      <c r="O11" s="6" t="n">
        <f aca="false">IF(C11="롱",(J11-E11)/E11,(E11-J11)/E11)</f>
        <v>-0.0196545037898818</v>
      </c>
    </row>
    <row r="12" customFormat="false" ht="17.15" hidden="false" customHeight="false" outlineLevel="0" collapsed="false">
      <c r="A12" s="4" t="n">
        <v>4</v>
      </c>
      <c r="B12" s="4" t="s">
        <v>18</v>
      </c>
      <c r="C12" s="8" t="s">
        <v>72</v>
      </c>
      <c r="D12" s="21" t="n">
        <v>38078</v>
      </c>
      <c r="E12" s="22" t="n">
        <v>116.34</v>
      </c>
      <c r="F12" s="21" t="n">
        <v>38079</v>
      </c>
      <c r="G12" s="22" t="n">
        <v>116.8</v>
      </c>
      <c r="H12" s="22" t="n">
        <v>105.62</v>
      </c>
      <c r="I12" s="21" t="n">
        <v>38106</v>
      </c>
      <c r="J12" s="22" t="n">
        <v>114.01</v>
      </c>
      <c r="K12" s="21" t="n">
        <v>38107</v>
      </c>
      <c r="L12" s="22" t="n">
        <v>113.05</v>
      </c>
      <c r="M12" s="8" t="s">
        <v>73</v>
      </c>
      <c r="N12" s="4" t="n">
        <v>18</v>
      </c>
      <c r="O12" s="6" t="n">
        <f aca="false">IF(C12="롱",(J12-E12)/E12,(E12-J12)/E12)</f>
        <v>-0.0200275055870724</v>
      </c>
    </row>
    <row r="13" customFormat="false" ht="17.15" hidden="false" customHeight="false" outlineLevel="0" collapsed="false">
      <c r="A13" s="4" t="n">
        <v>4</v>
      </c>
      <c r="B13" s="4" t="s">
        <v>18</v>
      </c>
      <c r="C13" s="8" t="s">
        <v>72</v>
      </c>
      <c r="D13" s="21" t="n">
        <v>38295</v>
      </c>
      <c r="E13" s="22" t="n">
        <v>110.3</v>
      </c>
      <c r="F13" s="21" t="n">
        <v>38296</v>
      </c>
      <c r="G13" s="22" t="n">
        <v>111.76</v>
      </c>
      <c r="H13" s="22" t="n">
        <v>99.48</v>
      </c>
      <c r="I13" s="21" t="n">
        <v>38330</v>
      </c>
      <c r="J13" s="22" t="n">
        <v>110.88</v>
      </c>
      <c r="K13" s="21" t="n">
        <v>38331</v>
      </c>
      <c r="L13" s="22" t="n">
        <v>111.01</v>
      </c>
      <c r="M13" s="8" t="s">
        <v>73</v>
      </c>
      <c r="N13" s="4" t="n">
        <v>25</v>
      </c>
      <c r="O13" s="6" t="n">
        <f aca="false">IF(C13="롱",(J13-E13)/E13,(E13-J13)/E13)</f>
        <v>0.00525838621940162</v>
      </c>
    </row>
    <row r="14" customFormat="false" ht="17.15" hidden="false" customHeight="false" outlineLevel="0" collapsed="false">
      <c r="A14" s="4" t="n">
        <v>4</v>
      </c>
      <c r="B14" s="4" t="s">
        <v>18</v>
      </c>
      <c r="C14" s="8" t="s">
        <v>72</v>
      </c>
      <c r="D14" s="21" t="n">
        <v>38341</v>
      </c>
      <c r="E14" s="22" t="n">
        <v>113.45</v>
      </c>
      <c r="F14" s="21" t="n">
        <v>38342</v>
      </c>
      <c r="G14" s="22" t="n">
        <v>113.22</v>
      </c>
      <c r="H14" s="22" t="n">
        <v>103.55</v>
      </c>
      <c r="I14" s="21" t="n">
        <v>38429</v>
      </c>
      <c r="J14" s="22" t="n">
        <v>126.82</v>
      </c>
      <c r="K14" s="21" t="n">
        <v>38432</v>
      </c>
      <c r="L14" s="22" t="n">
        <v>126.77</v>
      </c>
      <c r="M14" s="8" t="s">
        <v>73</v>
      </c>
      <c r="N14" s="4" t="n">
        <v>59</v>
      </c>
      <c r="O14" s="6" t="n">
        <f aca="false">IF(C14="롱",(J14-E14)/E14,(E14-J14)/E14)</f>
        <v>0.117849272807404</v>
      </c>
    </row>
    <row r="15" customFormat="false" ht="17.15" hidden="false" customHeight="false" outlineLevel="0" collapsed="false">
      <c r="A15" s="4" t="n">
        <v>4</v>
      </c>
      <c r="B15" s="4" t="s">
        <v>18</v>
      </c>
      <c r="C15" s="8" t="s">
        <v>72</v>
      </c>
      <c r="D15" s="21" t="n">
        <v>38450</v>
      </c>
      <c r="E15" s="22" t="n">
        <v>128.44</v>
      </c>
      <c r="F15" s="21" t="n">
        <v>38453</v>
      </c>
      <c r="G15" s="22" t="n">
        <v>127.95</v>
      </c>
      <c r="H15" s="22" t="n">
        <v>118.19</v>
      </c>
      <c r="I15" s="21" t="n">
        <v>38457</v>
      </c>
      <c r="J15" s="22" t="n">
        <v>122.41</v>
      </c>
      <c r="K15" s="21" t="n">
        <v>38460</v>
      </c>
      <c r="L15" s="22" t="n">
        <v>120.27</v>
      </c>
      <c r="M15" s="8" t="s">
        <v>73</v>
      </c>
      <c r="N15" s="4" t="n">
        <v>5</v>
      </c>
      <c r="O15" s="6" t="n">
        <f aca="false">IF(C15="롱",(J15-E15)/E15,(E15-J15)/E15)</f>
        <v>-0.0469479912799751</v>
      </c>
    </row>
    <row r="16" customFormat="false" ht="17.15" hidden="false" customHeight="false" outlineLevel="0" collapsed="false">
      <c r="A16" s="4" t="n">
        <v>4</v>
      </c>
      <c r="B16" s="4" t="s">
        <v>18</v>
      </c>
      <c r="C16" s="8" t="s">
        <v>72</v>
      </c>
      <c r="D16" s="21" t="n">
        <v>38601</v>
      </c>
      <c r="E16" s="22" t="n">
        <v>145.21</v>
      </c>
      <c r="F16" s="21" t="n">
        <v>38602</v>
      </c>
      <c r="G16" s="22" t="n">
        <v>147.04</v>
      </c>
      <c r="H16" s="22" t="n">
        <v>132.22</v>
      </c>
      <c r="I16" s="21" t="n">
        <v>38642</v>
      </c>
      <c r="J16" s="22" t="n">
        <v>150.85</v>
      </c>
      <c r="K16" s="21" t="n">
        <v>38643</v>
      </c>
      <c r="L16" s="22" t="n">
        <v>151.67</v>
      </c>
      <c r="M16" s="8" t="s">
        <v>73</v>
      </c>
      <c r="N16" s="4" t="n">
        <v>27</v>
      </c>
      <c r="O16" s="6" t="n">
        <f aca="false">IF(C16="롱",(J16-E16)/E16,(E16-J16)/E16)</f>
        <v>0.0388403002548033</v>
      </c>
    </row>
    <row r="17" customFormat="false" ht="17.15" hidden="false" customHeight="false" outlineLevel="0" collapsed="false">
      <c r="A17" s="4" t="n">
        <v>4</v>
      </c>
      <c r="B17" s="4" t="s">
        <v>18</v>
      </c>
      <c r="C17" s="8" t="s">
        <v>72</v>
      </c>
      <c r="D17" s="21" t="n">
        <v>38660</v>
      </c>
      <c r="E17" s="22" t="n">
        <v>157.28</v>
      </c>
      <c r="F17" s="21" t="n">
        <v>38663</v>
      </c>
      <c r="G17" s="22" t="n">
        <v>157.88</v>
      </c>
      <c r="H17" s="22" t="n">
        <v>141.55</v>
      </c>
      <c r="I17" s="21" t="n">
        <v>38737</v>
      </c>
      <c r="J17" s="22" t="n">
        <v>170.6</v>
      </c>
      <c r="K17" s="21" t="n">
        <v>38740</v>
      </c>
      <c r="L17" s="22" t="n">
        <v>168.55</v>
      </c>
      <c r="M17" s="8" t="s">
        <v>73</v>
      </c>
      <c r="N17" s="4" t="n">
        <v>54</v>
      </c>
      <c r="O17" s="6" t="n">
        <f aca="false">IF(C17="롱",(J17-E17)/E17,(E17-J17)/E17)</f>
        <v>0.0846897253306205</v>
      </c>
    </row>
    <row r="18" customFormat="false" ht="17.15" hidden="false" customHeight="false" outlineLevel="0" collapsed="false">
      <c r="A18" s="4" t="n">
        <v>4</v>
      </c>
      <c r="B18" s="4" t="s">
        <v>18</v>
      </c>
      <c r="C18" s="8" t="s">
        <v>72</v>
      </c>
      <c r="D18" s="21" t="n">
        <v>38750</v>
      </c>
      <c r="E18" s="22" t="n">
        <v>177.92</v>
      </c>
      <c r="F18" s="21" t="n">
        <v>38751</v>
      </c>
      <c r="G18" s="22" t="n">
        <v>175.8</v>
      </c>
      <c r="H18" s="22" t="n">
        <v>160.13</v>
      </c>
      <c r="I18" s="21" t="n">
        <v>38754</v>
      </c>
      <c r="J18" s="22" t="n">
        <v>173.66</v>
      </c>
      <c r="K18" s="21" t="n">
        <v>38755</v>
      </c>
      <c r="L18" s="22" t="n">
        <v>173.66</v>
      </c>
      <c r="M18" s="8" t="s">
        <v>73</v>
      </c>
      <c r="N18" s="4" t="n">
        <v>2</v>
      </c>
      <c r="O18" s="6" t="n">
        <f aca="false">IF(C18="롱",(J18-E18)/E18,(E18-J18)/E18)</f>
        <v>-0.023943345323741</v>
      </c>
    </row>
    <row r="19" customFormat="false" ht="17.15" hidden="false" customHeight="false" outlineLevel="0" collapsed="false">
      <c r="A19" s="4" t="n">
        <v>4</v>
      </c>
      <c r="B19" s="4" t="s">
        <v>18</v>
      </c>
      <c r="C19" s="8" t="s">
        <v>72</v>
      </c>
      <c r="D19" s="21" t="n">
        <v>38771</v>
      </c>
      <c r="E19" s="22" t="n">
        <v>176.18</v>
      </c>
      <c r="F19" s="21" t="n">
        <v>38772</v>
      </c>
      <c r="G19" s="22" t="n">
        <v>176.61</v>
      </c>
      <c r="H19" s="22" t="n">
        <v>158.56</v>
      </c>
      <c r="I19" s="21" t="n">
        <v>38784</v>
      </c>
      <c r="J19" s="22" t="n">
        <v>169.76</v>
      </c>
      <c r="K19" s="21" t="n">
        <v>38785</v>
      </c>
      <c r="L19" s="22" t="n">
        <v>169.72</v>
      </c>
      <c r="M19" s="8" t="s">
        <v>73</v>
      </c>
      <c r="N19" s="4" t="n">
        <v>8</v>
      </c>
      <c r="O19" s="6" t="n">
        <f aca="false">IF(C19="롱",(J19-E19)/E19,(E19-J19)/E19)</f>
        <v>-0.0364400045408106</v>
      </c>
    </row>
    <row r="20" customFormat="false" ht="17.15" hidden="false" customHeight="false" outlineLevel="0" collapsed="false">
      <c r="A20" s="4" t="n">
        <v>4</v>
      </c>
      <c r="B20" s="4" t="s">
        <v>18</v>
      </c>
      <c r="C20" s="8" t="s">
        <v>72</v>
      </c>
      <c r="D20" s="21" t="n">
        <v>38978</v>
      </c>
      <c r="E20" s="22" t="n">
        <v>178.28</v>
      </c>
      <c r="F20" s="21" t="n">
        <v>38979</v>
      </c>
      <c r="G20" s="22" t="n">
        <v>178.41</v>
      </c>
      <c r="H20" s="22" t="n">
        <v>168.29</v>
      </c>
      <c r="I20" s="21" t="n">
        <v>39000</v>
      </c>
      <c r="J20" s="22" t="n">
        <v>172.78</v>
      </c>
      <c r="K20" s="21" t="n">
        <v>39001</v>
      </c>
      <c r="L20" s="22" t="n">
        <v>171.47</v>
      </c>
      <c r="M20" s="8" t="s">
        <v>73</v>
      </c>
      <c r="N20" s="4" t="n">
        <v>13</v>
      </c>
      <c r="O20" s="6" t="n">
        <f aca="false">IF(C20="롱",(J20-E20)/E20,(E20-J20)/E20)</f>
        <v>-0.0308503477675567</v>
      </c>
    </row>
    <row r="21" customFormat="false" ht="17.15" hidden="false" customHeight="false" outlineLevel="0" collapsed="false">
      <c r="A21" s="4" t="n">
        <v>4</v>
      </c>
      <c r="B21" s="4" t="s">
        <v>18</v>
      </c>
      <c r="C21" s="8" t="s">
        <v>72</v>
      </c>
      <c r="D21" s="21" t="n">
        <v>39009</v>
      </c>
      <c r="E21" s="22" t="n">
        <v>176.11</v>
      </c>
      <c r="F21" s="21" t="n">
        <v>39010</v>
      </c>
      <c r="G21" s="22" t="n">
        <v>176.49</v>
      </c>
      <c r="H21" s="22" t="n">
        <v>163.85</v>
      </c>
      <c r="I21" s="21" t="n">
        <v>39059</v>
      </c>
      <c r="J21" s="22" t="n">
        <v>179.49</v>
      </c>
      <c r="K21" s="21" t="n">
        <v>39062</v>
      </c>
      <c r="L21" s="22" t="n">
        <v>179.45</v>
      </c>
      <c r="M21" s="8" t="s">
        <v>73</v>
      </c>
      <c r="N21" s="4" t="n">
        <v>36</v>
      </c>
      <c r="O21" s="6" t="n">
        <f aca="false">IF(C21="롱",(J21-E21)/E21,(E21-J21)/E21)</f>
        <v>0.0191925501107262</v>
      </c>
    </row>
    <row r="22" customFormat="false" ht="17.15" hidden="false" customHeight="false" outlineLevel="0" collapsed="false">
      <c r="A22" s="4" t="n">
        <v>4</v>
      </c>
      <c r="B22" s="4" t="s">
        <v>18</v>
      </c>
      <c r="C22" s="8" t="s">
        <v>72</v>
      </c>
      <c r="D22" s="21" t="n">
        <v>39070</v>
      </c>
      <c r="E22" s="22" t="n">
        <v>184.63</v>
      </c>
      <c r="F22" s="21" t="n">
        <v>39071</v>
      </c>
      <c r="G22" s="22" t="n">
        <v>184.92</v>
      </c>
      <c r="H22" s="22" t="n">
        <v>174.38</v>
      </c>
      <c r="I22" s="21" t="n">
        <v>39087</v>
      </c>
      <c r="J22" s="22" t="n">
        <v>179.1</v>
      </c>
      <c r="K22" s="21" t="n">
        <v>39090</v>
      </c>
      <c r="L22" s="22" t="n">
        <v>177.8</v>
      </c>
      <c r="M22" s="8" t="s">
        <v>73</v>
      </c>
      <c r="N22" s="4" t="n">
        <v>10</v>
      </c>
      <c r="O22" s="6" t="n">
        <f aca="false">IF(C22="롱",(J22-E22)/E22,(E22-J22)/E22)</f>
        <v>-0.0299517954828576</v>
      </c>
    </row>
    <row r="23" customFormat="false" ht="17.15" hidden="false" customHeight="false" outlineLevel="0" collapsed="false">
      <c r="A23" s="4" t="n">
        <v>4</v>
      </c>
      <c r="B23" s="4" t="s">
        <v>18</v>
      </c>
      <c r="C23" s="8" t="s">
        <v>72</v>
      </c>
      <c r="D23" s="21" t="n">
        <v>39115</v>
      </c>
      <c r="E23" s="22" t="n">
        <v>183.2</v>
      </c>
      <c r="F23" s="21" t="n">
        <v>39118</v>
      </c>
      <c r="G23" s="22" t="n">
        <v>183.21</v>
      </c>
      <c r="H23" s="22" t="n">
        <v>170.66</v>
      </c>
      <c r="I23" s="21" t="n">
        <v>39146</v>
      </c>
      <c r="J23" s="22" t="n">
        <v>177.69</v>
      </c>
      <c r="K23" s="21" t="n">
        <v>39147</v>
      </c>
      <c r="L23" s="22" t="n">
        <v>178.66</v>
      </c>
      <c r="M23" s="8" t="s">
        <v>73</v>
      </c>
      <c r="N23" s="4" t="n">
        <v>19</v>
      </c>
      <c r="O23" s="6" t="n">
        <f aca="false">IF(C23="롱",(J23-E23)/E23,(E23-J23)/E23)</f>
        <v>-0.0300764192139738</v>
      </c>
    </row>
    <row r="24" customFormat="false" ht="17.15" hidden="false" customHeight="false" outlineLevel="0" collapsed="false">
      <c r="A24" s="4" t="n">
        <v>4</v>
      </c>
      <c r="B24" s="4" t="s">
        <v>18</v>
      </c>
      <c r="C24" s="8" t="s">
        <v>72</v>
      </c>
      <c r="D24" s="21" t="n">
        <v>39162</v>
      </c>
      <c r="E24" s="22" t="n">
        <v>186.24</v>
      </c>
      <c r="F24" s="21" t="n">
        <v>39163</v>
      </c>
      <c r="G24" s="22" t="n">
        <v>187.48</v>
      </c>
      <c r="H24" s="22" t="n">
        <v>172.11</v>
      </c>
      <c r="I24" s="21" t="n">
        <v>39262</v>
      </c>
      <c r="J24" s="22" t="n">
        <v>221.31</v>
      </c>
      <c r="K24" s="21" t="n">
        <v>39265</v>
      </c>
      <c r="L24" s="22" t="n">
        <v>220.88</v>
      </c>
      <c r="M24" s="8" t="s">
        <v>73</v>
      </c>
      <c r="N24" s="4" t="n">
        <v>69</v>
      </c>
      <c r="O24" s="6" t="n">
        <f aca="false">IF(C24="롱",(J24-E24)/E24,(E24-J24)/E24)</f>
        <v>0.188305412371134</v>
      </c>
    </row>
    <row r="25" customFormat="false" ht="17.15" hidden="false" customHeight="false" outlineLevel="0" collapsed="false">
      <c r="A25" s="4" t="n">
        <v>4</v>
      </c>
      <c r="B25" s="4" t="s">
        <v>18</v>
      </c>
      <c r="C25" s="8" t="s">
        <v>72</v>
      </c>
      <c r="D25" s="21" t="n">
        <v>39266</v>
      </c>
      <c r="E25" s="22" t="n">
        <v>229.29</v>
      </c>
      <c r="F25" s="21" t="n">
        <v>39267</v>
      </c>
      <c r="G25" s="22" t="n">
        <v>230.61</v>
      </c>
      <c r="H25" s="22" t="n">
        <v>210.29</v>
      </c>
      <c r="I25" s="21" t="n">
        <v>39295</v>
      </c>
      <c r="J25" s="22" t="n">
        <v>234.36</v>
      </c>
      <c r="K25" s="21" t="n">
        <v>39296</v>
      </c>
      <c r="L25" s="22" t="n">
        <v>236.5</v>
      </c>
      <c r="M25" s="8" t="s">
        <v>73</v>
      </c>
      <c r="N25" s="4" t="n">
        <v>20</v>
      </c>
      <c r="O25" s="6" t="n">
        <f aca="false">IF(C25="롱",(J25-E25)/E25,(E25-J25)/E25)</f>
        <v>0.0221117362292295</v>
      </c>
    </row>
    <row r="26" customFormat="false" ht="17.15" hidden="false" customHeight="false" outlineLevel="0" collapsed="false">
      <c r="A26" s="4" t="n">
        <v>4</v>
      </c>
      <c r="B26" s="4" t="s">
        <v>18</v>
      </c>
      <c r="C26" s="8" t="s">
        <v>72</v>
      </c>
      <c r="D26" s="21" t="n">
        <v>39324</v>
      </c>
      <c r="E26" s="22" t="n">
        <v>234.22</v>
      </c>
      <c r="F26" s="21" t="n">
        <v>39325</v>
      </c>
      <c r="G26" s="22" t="n">
        <v>234.38</v>
      </c>
      <c r="H26" s="22" t="n">
        <v>210.8</v>
      </c>
      <c r="I26" s="21" t="n">
        <v>39377</v>
      </c>
      <c r="J26" s="22" t="n">
        <v>239.94</v>
      </c>
      <c r="K26" s="21" t="n">
        <v>39378</v>
      </c>
      <c r="L26" s="22" t="n">
        <v>243.9</v>
      </c>
      <c r="M26" s="8" t="s">
        <v>73</v>
      </c>
      <c r="N26" s="4" t="n">
        <v>33</v>
      </c>
      <c r="O26" s="6" t="n">
        <f aca="false">IF(C26="롱",(J26-E26)/E26,(E26-J26)/E26)</f>
        <v>0.0244214840748015</v>
      </c>
    </row>
    <row r="27" customFormat="false" ht="17.15" hidden="false" customHeight="false" outlineLevel="0" collapsed="false">
      <c r="A27" s="4" t="n">
        <v>4</v>
      </c>
      <c r="B27" s="4" t="s">
        <v>18</v>
      </c>
      <c r="C27" s="8" t="s">
        <v>72</v>
      </c>
      <c r="D27" s="21" t="n">
        <v>39385</v>
      </c>
      <c r="E27" s="22" t="n">
        <v>258.87</v>
      </c>
      <c r="F27" s="21" t="n">
        <v>39386</v>
      </c>
      <c r="G27" s="22" t="n">
        <v>258.78</v>
      </c>
      <c r="H27" s="22" t="n">
        <v>232.98</v>
      </c>
      <c r="I27" s="21" t="n">
        <v>39399</v>
      </c>
      <c r="J27" s="22" t="n">
        <v>244.73</v>
      </c>
      <c r="K27" s="21" t="n">
        <v>39400</v>
      </c>
      <c r="L27" s="22" t="n">
        <v>251.01</v>
      </c>
      <c r="M27" s="8" t="s">
        <v>73</v>
      </c>
      <c r="N27" s="4" t="n">
        <v>10</v>
      </c>
      <c r="O27" s="6" t="n">
        <f aca="false">IF(C27="롱",(J27-E27)/E27,(E27-J27)/E27)</f>
        <v>-0.0546220110480164</v>
      </c>
    </row>
    <row r="28" customFormat="false" ht="17.15" hidden="false" customHeight="false" outlineLevel="0" collapsed="false">
      <c r="A28" s="4" t="n">
        <v>4</v>
      </c>
      <c r="B28" s="4" t="s">
        <v>18</v>
      </c>
      <c r="C28" s="8" t="s">
        <v>72</v>
      </c>
      <c r="D28" s="21" t="n">
        <v>39421</v>
      </c>
      <c r="E28" s="22" t="n">
        <v>247.03</v>
      </c>
      <c r="F28" s="21" t="n">
        <v>39422</v>
      </c>
      <c r="G28" s="22" t="n">
        <v>250.8</v>
      </c>
      <c r="H28" s="22" t="n">
        <v>222.33</v>
      </c>
      <c r="I28" s="21" t="n">
        <v>39436</v>
      </c>
      <c r="J28" s="22" t="n">
        <v>234.4</v>
      </c>
      <c r="K28" s="21" t="n">
        <v>39437</v>
      </c>
      <c r="L28" s="22" t="n">
        <v>235.77</v>
      </c>
      <c r="M28" s="8" t="s">
        <v>73</v>
      </c>
      <c r="N28" s="4" t="n">
        <v>10</v>
      </c>
      <c r="O28" s="6" t="n">
        <f aca="false">IF(C28="롱",(J28-E28)/E28,(E28-J28)/E28)</f>
        <v>-0.0511273934339959</v>
      </c>
    </row>
    <row r="29" customFormat="false" ht="17.15" hidden="false" customHeight="false" outlineLevel="0" collapsed="false">
      <c r="A29" s="4" t="n">
        <v>4</v>
      </c>
      <c r="B29" s="4" t="s">
        <v>18</v>
      </c>
      <c r="C29" s="8" t="s">
        <v>72</v>
      </c>
      <c r="D29" s="21" t="n">
        <v>39444</v>
      </c>
      <c r="E29" s="22" t="n">
        <v>241.27</v>
      </c>
      <c r="F29" s="21" t="n">
        <v>39449</v>
      </c>
      <c r="G29" s="22" t="n">
        <v>240.47</v>
      </c>
      <c r="H29" s="22" t="n">
        <v>217.14</v>
      </c>
      <c r="I29" s="21" t="n">
        <v>39449</v>
      </c>
      <c r="J29" s="22" t="n">
        <v>235.3</v>
      </c>
      <c r="K29" s="21" t="n">
        <v>39450</v>
      </c>
      <c r="L29" s="22" t="n">
        <v>232.94</v>
      </c>
      <c r="M29" s="8" t="s">
        <v>73</v>
      </c>
      <c r="N29" s="4" t="n">
        <v>1</v>
      </c>
      <c r="O29" s="6" t="n">
        <f aca="false">IF(C29="롱",(J29-E29)/E29,(E29-J29)/E29)</f>
        <v>-0.0247440626683798</v>
      </c>
    </row>
    <row r="30" customFormat="false" ht="17.15" hidden="false" customHeight="false" outlineLevel="0" collapsed="false">
      <c r="A30" s="4" t="n">
        <v>4</v>
      </c>
      <c r="B30" s="4" t="s">
        <v>18</v>
      </c>
      <c r="C30" s="8" t="s">
        <v>72</v>
      </c>
      <c r="D30" s="21" t="n">
        <v>39884</v>
      </c>
      <c r="E30" s="22" t="n">
        <v>148.02</v>
      </c>
      <c r="F30" s="21" t="n">
        <v>39885</v>
      </c>
      <c r="G30" s="22" t="n">
        <v>149.06</v>
      </c>
      <c r="H30" s="22" t="n">
        <v>133.22</v>
      </c>
      <c r="I30" s="21" t="n">
        <v>39960</v>
      </c>
      <c r="J30" s="22" t="n">
        <v>173.75</v>
      </c>
      <c r="K30" s="21" t="n">
        <v>39961</v>
      </c>
      <c r="L30" s="22" t="n">
        <v>173.28</v>
      </c>
      <c r="M30" s="8" t="s">
        <v>73</v>
      </c>
      <c r="N30" s="4" t="n">
        <v>52</v>
      </c>
      <c r="O30" s="6" t="n">
        <f aca="false">IF(C30="롱",(J30-E30)/E30,(E30-J30)/E30)</f>
        <v>0.173827861099851</v>
      </c>
    </row>
    <row r="31" customFormat="false" ht="17.15" hidden="false" customHeight="false" outlineLevel="0" collapsed="false">
      <c r="A31" s="4" t="n">
        <v>4</v>
      </c>
      <c r="B31" s="4" t="s">
        <v>18</v>
      </c>
      <c r="C31" s="8" t="s">
        <v>72</v>
      </c>
      <c r="D31" s="21" t="n">
        <v>39967</v>
      </c>
      <c r="E31" s="22" t="n">
        <v>180.31</v>
      </c>
      <c r="F31" s="21" t="n">
        <v>39968</v>
      </c>
      <c r="G31" s="22" t="n">
        <v>179.55</v>
      </c>
      <c r="H31" s="22" t="n">
        <v>162.28</v>
      </c>
      <c r="I31" s="21" t="n">
        <v>39969</v>
      </c>
      <c r="J31" s="22" t="n">
        <v>177.77</v>
      </c>
      <c r="K31" s="21" t="n">
        <v>39972</v>
      </c>
      <c r="L31" s="22" t="n">
        <v>177.65</v>
      </c>
      <c r="M31" s="8" t="s">
        <v>73</v>
      </c>
      <c r="N31" s="4" t="n">
        <v>2</v>
      </c>
      <c r="O31" s="6" t="n">
        <f aca="false">IF(C31="롱",(J31-E31)/E31,(E31-J31)/E31)</f>
        <v>-0.0140868504242693</v>
      </c>
    </row>
    <row r="32" customFormat="false" ht="17.15" hidden="false" customHeight="false" outlineLevel="0" collapsed="false">
      <c r="A32" s="4" t="n">
        <v>4</v>
      </c>
      <c r="B32" s="4" t="s">
        <v>18</v>
      </c>
      <c r="C32" s="8" t="s">
        <v>72</v>
      </c>
      <c r="D32" s="21" t="n">
        <v>39976</v>
      </c>
      <c r="E32" s="22" t="n">
        <v>182.69</v>
      </c>
      <c r="F32" s="21" t="n">
        <v>39979</v>
      </c>
      <c r="G32" s="22" t="n">
        <v>182.59</v>
      </c>
      <c r="H32" s="22" t="n">
        <v>164.42</v>
      </c>
      <c r="I32" s="21" t="n">
        <v>39983</v>
      </c>
      <c r="J32" s="22" t="n">
        <v>176.63</v>
      </c>
      <c r="K32" s="21" t="n">
        <v>39986</v>
      </c>
      <c r="L32" s="22" t="n">
        <v>176.46</v>
      </c>
      <c r="M32" s="8" t="s">
        <v>73</v>
      </c>
      <c r="N32" s="4" t="n">
        <v>5</v>
      </c>
      <c r="O32" s="6" t="n">
        <f aca="false">IF(C32="롱",(J32-E32)/E32,(E32-J32)/E32)</f>
        <v>-0.033170945317204</v>
      </c>
    </row>
    <row r="33" customFormat="false" ht="17.15" hidden="false" customHeight="false" outlineLevel="0" collapsed="false">
      <c r="A33" s="4" t="n">
        <v>4</v>
      </c>
      <c r="B33" s="4" t="s">
        <v>18</v>
      </c>
      <c r="C33" s="8" t="s">
        <v>72</v>
      </c>
      <c r="D33" s="21" t="n">
        <v>39995</v>
      </c>
      <c r="E33" s="22" t="n">
        <v>181.95</v>
      </c>
      <c r="F33" s="21" t="n">
        <v>39996</v>
      </c>
      <c r="G33" s="22" t="n">
        <v>182.92</v>
      </c>
      <c r="H33" s="22" t="n">
        <v>163.85</v>
      </c>
      <c r="I33" s="21" t="n">
        <v>40091</v>
      </c>
      <c r="J33" s="22" t="n">
        <v>210.38</v>
      </c>
      <c r="K33" s="21" t="n">
        <v>40092</v>
      </c>
      <c r="L33" s="22" t="n">
        <v>212.19</v>
      </c>
      <c r="M33" s="8" t="s">
        <v>73</v>
      </c>
      <c r="N33" s="4" t="n">
        <v>67</v>
      </c>
      <c r="O33" s="6" t="n">
        <f aca="false">IF(C33="롱",(J33-E33)/E33,(E33-J33)/E33)</f>
        <v>0.156251717504809</v>
      </c>
    </row>
    <row r="34" customFormat="false" ht="17.15" hidden="false" customHeight="false" outlineLevel="0" collapsed="false">
      <c r="A34" s="4" t="n">
        <v>4</v>
      </c>
      <c r="B34" s="4" t="s">
        <v>18</v>
      </c>
      <c r="C34" s="8" t="s">
        <v>72</v>
      </c>
      <c r="D34" s="21" t="n">
        <v>40112</v>
      </c>
      <c r="E34" s="22" t="n">
        <v>217.45</v>
      </c>
      <c r="F34" s="21" t="n">
        <v>40113</v>
      </c>
      <c r="G34" s="22" t="n">
        <v>216.07</v>
      </c>
      <c r="H34" s="22" t="n">
        <v>196.69</v>
      </c>
      <c r="I34" s="21" t="n">
        <v>40114</v>
      </c>
      <c r="J34" s="22" t="n">
        <v>211.03</v>
      </c>
      <c r="K34" s="21" t="n">
        <v>40115</v>
      </c>
      <c r="L34" s="22" t="n">
        <v>207.5</v>
      </c>
      <c r="M34" s="8" t="s">
        <v>73</v>
      </c>
      <c r="N34" s="4" t="n">
        <v>2</v>
      </c>
      <c r="O34" s="6" t="n">
        <f aca="false">IF(C34="롱",(J34-E34)/E34,(E34-J34)/E34)</f>
        <v>-0.0295240285123016</v>
      </c>
    </row>
    <row r="35" customFormat="false" ht="17.15" hidden="false" customHeight="false" outlineLevel="0" collapsed="false">
      <c r="A35" s="4" t="n">
        <v>4</v>
      </c>
      <c r="B35" s="4" t="s">
        <v>18</v>
      </c>
      <c r="C35" s="8" t="s">
        <v>72</v>
      </c>
      <c r="D35" s="21" t="n">
        <v>40136</v>
      </c>
      <c r="E35" s="22" t="n">
        <v>213.89</v>
      </c>
      <c r="F35" s="21" t="n">
        <v>40137</v>
      </c>
      <c r="G35" s="22" t="n">
        <v>212.88</v>
      </c>
      <c r="H35" s="22" t="n">
        <v>195.23</v>
      </c>
      <c r="I35" s="21" t="n">
        <v>40147</v>
      </c>
      <c r="J35" s="22" t="n">
        <v>204.75</v>
      </c>
      <c r="K35" s="21" t="n">
        <v>40148</v>
      </c>
      <c r="L35" s="22" t="n">
        <v>204.02</v>
      </c>
      <c r="M35" s="8" t="s">
        <v>73</v>
      </c>
      <c r="N35" s="4" t="n">
        <v>7</v>
      </c>
      <c r="O35" s="6" t="n">
        <f aca="false">IF(C35="롱",(J35-E35)/E35,(E35-J35)/E35)</f>
        <v>-0.0427322455467763</v>
      </c>
    </row>
    <row r="36" customFormat="false" ht="17.15" hidden="false" customHeight="false" outlineLevel="0" collapsed="false">
      <c r="A36" s="4" t="n">
        <v>4</v>
      </c>
      <c r="B36" s="4" t="s">
        <v>18</v>
      </c>
      <c r="C36" s="8" t="s">
        <v>72</v>
      </c>
      <c r="D36" s="21" t="n">
        <v>40151</v>
      </c>
      <c r="E36" s="22" t="n">
        <v>214.5</v>
      </c>
      <c r="F36" s="21" t="n">
        <v>40154</v>
      </c>
      <c r="G36" s="22" t="n">
        <v>215.65</v>
      </c>
      <c r="H36" s="22" t="n">
        <v>195.89</v>
      </c>
      <c r="I36" s="21" t="n">
        <v>40204</v>
      </c>
      <c r="J36" s="22" t="n">
        <v>214.89</v>
      </c>
      <c r="K36" s="21" t="n">
        <v>40205</v>
      </c>
      <c r="L36" s="22" t="n">
        <v>215.38</v>
      </c>
      <c r="M36" s="8" t="s">
        <v>73</v>
      </c>
      <c r="N36" s="4" t="n">
        <v>34</v>
      </c>
      <c r="O36" s="6" t="n">
        <f aca="false">IF(C36="롱",(J36-E36)/E36,(E36-J36)/E36)</f>
        <v>0.00181818181818175</v>
      </c>
    </row>
    <row r="37" customFormat="false" ht="17.15" hidden="false" customHeight="false" outlineLevel="0" collapsed="false">
      <c r="A37" s="4" t="n">
        <v>4</v>
      </c>
      <c r="B37" s="4" t="s">
        <v>18</v>
      </c>
      <c r="C37" s="8" t="s">
        <v>72</v>
      </c>
      <c r="D37" s="21" t="n">
        <v>40231</v>
      </c>
      <c r="E37" s="22" t="n">
        <v>213.28</v>
      </c>
      <c r="F37" s="21" t="n">
        <v>40232</v>
      </c>
      <c r="G37" s="22" t="n">
        <v>213.29</v>
      </c>
      <c r="H37" s="22" t="n">
        <v>194.44</v>
      </c>
      <c r="I37" s="21" t="n">
        <v>40301</v>
      </c>
      <c r="J37" s="22" t="n">
        <v>225.1</v>
      </c>
      <c r="K37" s="21" t="n">
        <v>40302</v>
      </c>
      <c r="L37" s="22" t="n">
        <v>226.29</v>
      </c>
      <c r="M37" s="8" t="s">
        <v>73</v>
      </c>
      <c r="N37" s="4" t="n">
        <v>49</v>
      </c>
      <c r="O37" s="6" t="n">
        <f aca="false">IF(C37="롱",(J37-E37)/E37,(E37-J37)/E37)</f>
        <v>0.0554201050262565</v>
      </c>
    </row>
    <row r="38" customFormat="false" ht="17.15" hidden="false" customHeight="false" outlineLevel="0" collapsed="false">
      <c r="A38" s="4" t="n">
        <v>4</v>
      </c>
      <c r="B38" s="4" t="s">
        <v>18</v>
      </c>
      <c r="C38" s="8" t="s">
        <v>72</v>
      </c>
      <c r="D38" s="21" t="n">
        <v>40333</v>
      </c>
      <c r="E38" s="22" t="n">
        <v>218.03</v>
      </c>
      <c r="F38" s="21" t="n">
        <v>40336</v>
      </c>
      <c r="G38" s="22" t="n">
        <v>213.55</v>
      </c>
      <c r="H38" s="22" t="n">
        <v>196.23</v>
      </c>
      <c r="I38" s="21" t="n">
        <v>40361</v>
      </c>
      <c r="J38" s="22" t="n">
        <v>217.01</v>
      </c>
      <c r="K38" s="21" t="n">
        <v>40364</v>
      </c>
      <c r="L38" s="22" t="n">
        <v>217.43</v>
      </c>
      <c r="M38" s="8" t="s">
        <v>73</v>
      </c>
      <c r="N38" s="4" t="n">
        <v>20</v>
      </c>
      <c r="O38" s="6" t="n">
        <f aca="false">IF(C38="롱",(J38-E38)/E38,(E38-J38)/E38)</f>
        <v>-0.00467825528596987</v>
      </c>
    </row>
    <row r="39" customFormat="false" ht="17.15" hidden="false" customHeight="false" outlineLevel="0" collapsed="false">
      <c r="A39" s="4" t="n">
        <v>4</v>
      </c>
      <c r="B39" s="4" t="s">
        <v>18</v>
      </c>
      <c r="C39" s="8" t="s">
        <v>72</v>
      </c>
      <c r="D39" s="21" t="n">
        <v>40424</v>
      </c>
      <c r="E39" s="22" t="n">
        <v>231.04</v>
      </c>
      <c r="F39" s="21" t="n">
        <v>40427</v>
      </c>
      <c r="G39" s="22" t="n">
        <v>232.6</v>
      </c>
      <c r="H39" s="22" t="n">
        <v>216.18</v>
      </c>
      <c r="I39" s="21" t="n">
        <v>40472</v>
      </c>
      <c r="J39" s="22" t="n">
        <v>242.53</v>
      </c>
      <c r="K39" s="21" t="n">
        <v>40473</v>
      </c>
      <c r="L39" s="22" t="n">
        <v>243.58</v>
      </c>
      <c r="M39" s="8" t="s">
        <v>73</v>
      </c>
      <c r="N39" s="4" t="n">
        <v>31</v>
      </c>
      <c r="O39" s="6" t="n">
        <f aca="false">IF(C39="롱",(J39-E39)/E39,(E39-J39)/E39)</f>
        <v>0.049731648199446</v>
      </c>
    </row>
    <row r="40" customFormat="false" ht="17.15" hidden="false" customHeight="false" outlineLevel="0" collapsed="false">
      <c r="A40" s="4" t="n">
        <v>4</v>
      </c>
      <c r="B40" s="4" t="s">
        <v>18</v>
      </c>
      <c r="C40" s="8" t="s">
        <v>72</v>
      </c>
      <c r="D40" s="21" t="n">
        <v>40477</v>
      </c>
      <c r="E40" s="22" t="n">
        <v>248.38</v>
      </c>
      <c r="F40" s="21" t="n">
        <v>40478</v>
      </c>
      <c r="G40" s="22" t="n">
        <v>248.22</v>
      </c>
      <c r="H40" s="22" t="n">
        <v>234.24</v>
      </c>
      <c r="I40" s="21" t="n">
        <v>40499</v>
      </c>
      <c r="J40" s="22" t="n">
        <v>247.3</v>
      </c>
      <c r="K40" s="21" t="n">
        <v>40500</v>
      </c>
      <c r="L40" s="22" t="n">
        <v>248.92</v>
      </c>
      <c r="M40" s="8" t="s">
        <v>73</v>
      </c>
      <c r="N40" s="4" t="n">
        <v>16</v>
      </c>
      <c r="O40" s="6" t="n">
        <f aca="false">IF(C40="롱",(J40-E40)/E40,(E40-J40)/E40)</f>
        <v>-0.00434817618165707</v>
      </c>
    </row>
    <row r="41" customFormat="false" ht="17.15" hidden="false" customHeight="false" outlineLevel="0" collapsed="false">
      <c r="A41" s="4" t="n">
        <v>4</v>
      </c>
      <c r="B41" s="4" t="s">
        <v>18</v>
      </c>
      <c r="C41" s="8" t="s">
        <v>72</v>
      </c>
      <c r="D41" s="21" t="n">
        <v>40500</v>
      </c>
      <c r="E41" s="22" t="n">
        <v>251.15</v>
      </c>
      <c r="F41" s="21" t="n">
        <v>40501</v>
      </c>
      <c r="G41" s="22" t="n">
        <v>252.3</v>
      </c>
      <c r="H41" s="22" t="n">
        <v>233.22</v>
      </c>
      <c r="I41" s="21" t="n">
        <v>40512</v>
      </c>
      <c r="J41" s="22" t="n">
        <v>249.64</v>
      </c>
      <c r="K41" s="21" t="n">
        <v>40513</v>
      </c>
      <c r="L41" s="22" t="n">
        <v>250.08</v>
      </c>
      <c r="M41" s="8" t="s">
        <v>73</v>
      </c>
      <c r="N41" s="4" t="n">
        <v>8</v>
      </c>
      <c r="O41" s="6" t="n">
        <f aca="false">IF(C41="롱",(J41-E41)/E41,(E41-J41)/E41)</f>
        <v>-0.00601234322118264</v>
      </c>
    </row>
    <row r="42" customFormat="false" ht="17.15" hidden="false" customHeight="false" outlineLevel="0" collapsed="false">
      <c r="A42" s="4" t="n">
        <v>4</v>
      </c>
      <c r="B42" s="4" t="s">
        <v>18</v>
      </c>
      <c r="C42" s="8" t="s">
        <v>72</v>
      </c>
      <c r="D42" s="21" t="n">
        <v>40514</v>
      </c>
      <c r="E42" s="22" t="n">
        <v>256.02</v>
      </c>
      <c r="F42" s="21" t="n">
        <v>40515</v>
      </c>
      <c r="G42" s="22" t="n">
        <v>257.51</v>
      </c>
      <c r="H42" s="22" t="n">
        <v>236.33</v>
      </c>
      <c r="I42" s="21" t="n">
        <v>40581</v>
      </c>
      <c r="J42" s="22" t="n">
        <v>274.9</v>
      </c>
      <c r="K42" s="21" t="n">
        <v>40582</v>
      </c>
      <c r="L42" s="22" t="n">
        <v>276.01</v>
      </c>
      <c r="M42" s="8" t="s">
        <v>73</v>
      </c>
      <c r="N42" s="4" t="n">
        <v>43</v>
      </c>
      <c r="O42" s="6" t="n">
        <f aca="false">IF(C42="롱",(J42-E42)/E42,(E42-J42)/E42)</f>
        <v>0.0737442387313491</v>
      </c>
    </row>
    <row r="43" customFormat="false" ht="17.15" hidden="false" customHeight="false" outlineLevel="0" collapsed="false">
      <c r="A43" s="4" t="n">
        <v>4</v>
      </c>
      <c r="B43" s="4" t="s">
        <v>18</v>
      </c>
      <c r="C43" s="8" t="s">
        <v>72</v>
      </c>
      <c r="D43" s="21" t="n">
        <v>40611</v>
      </c>
      <c r="E43" s="22" t="n">
        <v>263.8</v>
      </c>
      <c r="F43" s="21" t="n">
        <v>40612</v>
      </c>
      <c r="G43" s="22" t="n">
        <v>263.41</v>
      </c>
      <c r="H43" s="22" t="n">
        <v>240.79</v>
      </c>
      <c r="I43" s="21" t="n">
        <v>40613</v>
      </c>
      <c r="J43" s="22" t="n">
        <v>256.83</v>
      </c>
      <c r="K43" s="21" t="n">
        <v>40616</v>
      </c>
      <c r="L43" s="22" t="n">
        <v>256.64</v>
      </c>
      <c r="M43" s="8" t="s">
        <v>73</v>
      </c>
      <c r="N43" s="4" t="n">
        <v>2</v>
      </c>
      <c r="O43" s="6" t="n">
        <f aca="false">IF(C43="롱",(J43-E43)/E43,(E43-J43)/E43)</f>
        <v>-0.0264215314632298</v>
      </c>
    </row>
    <row r="44" customFormat="false" ht="17.15" hidden="false" customHeight="false" outlineLevel="0" collapsed="false">
      <c r="A44" s="4" t="n">
        <v>4</v>
      </c>
      <c r="B44" s="4" t="s">
        <v>18</v>
      </c>
      <c r="C44" s="8" t="s">
        <v>72</v>
      </c>
      <c r="D44" s="21" t="n">
        <v>40624</v>
      </c>
      <c r="E44" s="22" t="n">
        <v>266.05</v>
      </c>
      <c r="F44" s="21" t="n">
        <v>40625</v>
      </c>
      <c r="G44" s="22" t="n">
        <v>266.69</v>
      </c>
      <c r="H44" s="22" t="n">
        <v>242.46</v>
      </c>
      <c r="I44" s="21" t="n">
        <v>40674</v>
      </c>
      <c r="J44" s="22" t="n">
        <v>286.3</v>
      </c>
      <c r="K44" s="21" t="n">
        <v>40675</v>
      </c>
      <c r="L44" s="22" t="n">
        <v>282.52</v>
      </c>
      <c r="M44" s="8" t="s">
        <v>73</v>
      </c>
      <c r="N44" s="4" t="n">
        <v>34</v>
      </c>
      <c r="O44" s="6" t="n">
        <f aca="false">IF(C44="롱",(J44-E44)/E44,(E44-J44)/E44)</f>
        <v>0.0761135124976508</v>
      </c>
    </row>
    <row r="45" customFormat="false" ht="17.15" hidden="false" customHeight="false" outlineLevel="0" collapsed="false">
      <c r="A45" s="4" t="n">
        <v>4</v>
      </c>
      <c r="B45" s="4" t="s">
        <v>18</v>
      </c>
      <c r="C45" s="8" t="s">
        <v>72</v>
      </c>
      <c r="D45" s="21" t="n">
        <v>40696</v>
      </c>
      <c r="E45" s="22" t="n">
        <v>278.76</v>
      </c>
      <c r="F45" s="21" t="n">
        <v>40697</v>
      </c>
      <c r="G45" s="22" t="n">
        <v>279.98</v>
      </c>
      <c r="H45" s="22" t="n">
        <v>253.73</v>
      </c>
      <c r="I45" s="21" t="n">
        <v>40703</v>
      </c>
      <c r="J45" s="22" t="n">
        <v>272.44</v>
      </c>
      <c r="K45" s="21" t="n">
        <v>40704</v>
      </c>
      <c r="L45" s="22" t="n">
        <v>274.38</v>
      </c>
      <c r="M45" s="8" t="s">
        <v>73</v>
      </c>
      <c r="N45" s="4" t="n">
        <v>4</v>
      </c>
      <c r="O45" s="6" t="n">
        <f aca="false">IF(C45="롱",(J45-E45)/E45,(E45-J45)/E45)</f>
        <v>-0.0226718324006313</v>
      </c>
    </row>
    <row r="46" customFormat="false" ht="17.15" hidden="false" customHeight="false" outlineLevel="0" collapsed="false">
      <c r="A46" s="4" t="n">
        <v>4</v>
      </c>
      <c r="B46" s="4" t="s">
        <v>18</v>
      </c>
      <c r="C46" s="8" t="s">
        <v>72</v>
      </c>
      <c r="D46" s="21" t="n">
        <v>40724</v>
      </c>
      <c r="E46" s="22" t="n">
        <v>275.17</v>
      </c>
      <c r="F46" s="21" t="n">
        <v>40725</v>
      </c>
      <c r="G46" s="22" t="n">
        <v>277.9</v>
      </c>
      <c r="H46" s="22" t="n">
        <v>252.01</v>
      </c>
      <c r="I46" s="21" t="n">
        <v>40753</v>
      </c>
      <c r="J46" s="22" t="n">
        <v>277.11</v>
      </c>
      <c r="K46" s="21" t="n">
        <v>40756</v>
      </c>
      <c r="L46" s="22" t="n">
        <v>280.86</v>
      </c>
      <c r="M46" s="8" t="s">
        <v>73</v>
      </c>
      <c r="N46" s="4" t="n">
        <v>21</v>
      </c>
      <c r="O46" s="6" t="n">
        <f aca="false">IF(C46="롱",(J46-E46)/E46,(E46-J46)/E46)</f>
        <v>0.00705018715703019</v>
      </c>
    </row>
    <row r="47" customFormat="false" ht="17.15" hidden="false" customHeight="false" outlineLevel="0" collapsed="false">
      <c r="A47" s="4" t="n">
        <v>4</v>
      </c>
      <c r="B47" s="4" t="s">
        <v>18</v>
      </c>
      <c r="C47" s="8" t="s">
        <v>72</v>
      </c>
      <c r="D47" s="21" t="n">
        <v>40879</v>
      </c>
      <c r="E47" s="22" t="n">
        <v>251.19</v>
      </c>
      <c r="F47" s="21" t="n">
        <v>40882</v>
      </c>
      <c r="G47" s="22" t="n">
        <v>252.87</v>
      </c>
      <c r="H47" s="22" t="n">
        <v>226.07</v>
      </c>
      <c r="I47" s="21" t="n">
        <v>40893</v>
      </c>
      <c r="J47" s="22" t="n">
        <v>239.82</v>
      </c>
      <c r="K47" s="21" t="n">
        <v>40896</v>
      </c>
      <c r="L47" s="22" t="n">
        <v>238.3</v>
      </c>
      <c r="M47" s="8" t="s">
        <v>73</v>
      </c>
      <c r="N47" s="4" t="n">
        <v>10</v>
      </c>
      <c r="O47" s="6" t="n">
        <f aca="false">IF(C47="롱",(J47-E47)/E47,(E47-J47)/E47)</f>
        <v>-0.0452645407858593</v>
      </c>
    </row>
    <row r="48" customFormat="false" ht="17.15" hidden="false" customHeight="false" outlineLevel="0" collapsed="false">
      <c r="A48" s="4" t="n">
        <v>4</v>
      </c>
      <c r="B48" s="4" t="s">
        <v>18</v>
      </c>
      <c r="C48" s="8" t="s">
        <v>72</v>
      </c>
      <c r="D48" s="21" t="n">
        <v>40913</v>
      </c>
      <c r="E48" s="22" t="n">
        <v>243.56</v>
      </c>
      <c r="F48" s="21" t="n">
        <v>40914</v>
      </c>
      <c r="G48" s="22" t="n">
        <v>243.97</v>
      </c>
      <c r="H48" s="22" t="n">
        <v>220.66</v>
      </c>
      <c r="I48" s="21" t="n">
        <v>40976</v>
      </c>
      <c r="J48" s="22" t="n">
        <v>262.85</v>
      </c>
      <c r="K48" s="21" t="n">
        <v>40977</v>
      </c>
      <c r="L48" s="22" t="n">
        <v>265.27</v>
      </c>
      <c r="M48" s="8" t="s">
        <v>73</v>
      </c>
      <c r="N48" s="4" t="n">
        <v>42</v>
      </c>
      <c r="O48" s="6" t="n">
        <f aca="false">IF(C48="롱",(J48-E48)/E48,(E48-J48)/E48)</f>
        <v>0.0792001970766958</v>
      </c>
    </row>
    <row r="49" customFormat="false" ht="17.15" hidden="false" customHeight="false" outlineLevel="0" collapsed="false">
      <c r="A49" s="4" t="n">
        <v>4</v>
      </c>
      <c r="B49" s="4" t="s">
        <v>18</v>
      </c>
      <c r="C49" s="8" t="s">
        <v>72</v>
      </c>
      <c r="D49" s="21" t="n">
        <v>40982</v>
      </c>
      <c r="E49" s="22" t="n">
        <v>269.85</v>
      </c>
      <c r="F49" s="21" t="n">
        <v>40983</v>
      </c>
      <c r="G49" s="22" t="n">
        <v>269.81</v>
      </c>
      <c r="H49" s="22" t="n">
        <v>251.47</v>
      </c>
      <c r="I49" s="21" t="n">
        <v>41009</v>
      </c>
      <c r="J49" s="22" t="n">
        <v>265.38</v>
      </c>
      <c r="K49" s="21" t="n">
        <v>41011</v>
      </c>
      <c r="L49" s="22" t="n">
        <v>263.88</v>
      </c>
      <c r="M49" s="8" t="s">
        <v>73</v>
      </c>
      <c r="N49" s="4" t="n">
        <v>19</v>
      </c>
      <c r="O49" s="6" t="n">
        <f aca="false">IF(C49="롱",(J49-E49)/E49,(E49-J49)/E49)</f>
        <v>-0.0165647581989995</v>
      </c>
    </row>
    <row r="50" customFormat="false" ht="17.15" hidden="false" customHeight="false" outlineLevel="0" collapsed="false">
      <c r="A50" s="4" t="n">
        <v>4</v>
      </c>
      <c r="B50" s="4" t="s">
        <v>18</v>
      </c>
      <c r="C50" s="8" t="s">
        <v>72</v>
      </c>
      <c r="D50" s="21" t="n">
        <v>41033</v>
      </c>
      <c r="E50" s="22" t="n">
        <v>264.4</v>
      </c>
      <c r="F50" s="21" t="n">
        <v>41036</v>
      </c>
      <c r="G50" s="22" t="n">
        <v>259.71</v>
      </c>
      <c r="H50" s="22" t="n">
        <v>249.46</v>
      </c>
      <c r="I50" s="21" t="n">
        <v>41036</v>
      </c>
      <c r="J50" s="22" t="n">
        <v>259.73</v>
      </c>
      <c r="K50" s="21" t="n">
        <v>41037</v>
      </c>
      <c r="L50" s="22" t="n">
        <v>261.28</v>
      </c>
      <c r="M50" s="8" t="s">
        <v>73</v>
      </c>
      <c r="N50" s="4" t="n">
        <v>1</v>
      </c>
      <c r="O50" s="6" t="n">
        <f aca="false">IF(C50="롱",(J50-E50)/E50,(E50-J50)/E50)</f>
        <v>-0.017662632375189</v>
      </c>
    </row>
    <row r="51" customFormat="false" ht="17.15" hidden="false" customHeight="false" outlineLevel="0" collapsed="false">
      <c r="A51" s="4" t="n">
        <v>4</v>
      </c>
      <c r="B51" s="4" t="s">
        <v>18</v>
      </c>
      <c r="C51" s="8" t="s">
        <v>72</v>
      </c>
      <c r="D51" s="21" t="n">
        <v>41165</v>
      </c>
      <c r="E51" s="22" t="n">
        <v>256.87</v>
      </c>
      <c r="F51" s="21" t="n">
        <v>41166</v>
      </c>
      <c r="G51" s="22" t="n">
        <v>263.14</v>
      </c>
      <c r="H51" s="22" t="n">
        <v>240.49</v>
      </c>
      <c r="I51" s="21" t="n">
        <v>41192</v>
      </c>
      <c r="J51" s="22" t="n">
        <v>255.15</v>
      </c>
      <c r="K51" s="21" t="n">
        <v>41193</v>
      </c>
      <c r="L51" s="22" t="n">
        <v>253.14</v>
      </c>
      <c r="M51" s="8" t="s">
        <v>73</v>
      </c>
      <c r="N51" s="4" t="n">
        <v>17</v>
      </c>
      <c r="O51" s="6" t="n">
        <f aca="false">IF(C51="롱",(J51-E51)/E51,(E51-J51)/E51)</f>
        <v>-0.00669599408260988</v>
      </c>
    </row>
    <row r="52" customFormat="false" ht="17.15" hidden="false" customHeight="false" outlineLevel="0" collapsed="false">
      <c r="A52" s="4" t="n">
        <v>4</v>
      </c>
      <c r="B52" s="4" t="s">
        <v>18</v>
      </c>
      <c r="C52" s="8" t="s">
        <v>72</v>
      </c>
      <c r="D52" s="21" t="n">
        <v>41320</v>
      </c>
      <c r="E52" s="22" t="n">
        <v>261.61</v>
      </c>
      <c r="F52" s="21" t="n">
        <v>41323</v>
      </c>
      <c r="G52" s="22" t="n">
        <v>261.3</v>
      </c>
      <c r="H52" s="22" t="n">
        <v>247.84</v>
      </c>
      <c r="I52" s="21" t="n">
        <v>41346</v>
      </c>
      <c r="J52" s="22" t="n">
        <v>263.33</v>
      </c>
      <c r="K52" s="21" t="n">
        <v>41347</v>
      </c>
      <c r="L52" s="22" t="n">
        <v>263.41</v>
      </c>
      <c r="M52" s="8" t="s">
        <v>73</v>
      </c>
      <c r="N52" s="4" t="n">
        <v>17</v>
      </c>
      <c r="O52" s="6" t="n">
        <f aca="false">IF(C52="롱",(J52-E52)/E52,(E52-J52)/E52)</f>
        <v>0.00657467222200975</v>
      </c>
    </row>
    <row r="53" customFormat="false" ht="17.15" hidden="false" customHeight="false" outlineLevel="0" collapsed="false">
      <c r="A53" s="4" t="n">
        <v>4</v>
      </c>
      <c r="B53" s="4" t="s">
        <v>18</v>
      </c>
      <c r="C53" s="8" t="s">
        <v>72</v>
      </c>
      <c r="D53" s="21" t="n">
        <v>41365</v>
      </c>
      <c r="E53" s="22" t="n">
        <v>262.27</v>
      </c>
      <c r="F53" s="21" t="n">
        <v>41366</v>
      </c>
      <c r="G53" s="22" t="n">
        <v>262.37</v>
      </c>
      <c r="H53" s="22" t="n">
        <v>248.39</v>
      </c>
      <c r="I53" s="21" t="n">
        <v>41368</v>
      </c>
      <c r="J53" s="22" t="n">
        <v>257.05</v>
      </c>
      <c r="K53" s="21" t="n">
        <v>41369</v>
      </c>
      <c r="L53" s="22" t="n">
        <v>255.4</v>
      </c>
      <c r="M53" s="8" t="s">
        <v>73</v>
      </c>
      <c r="N53" s="4" t="n">
        <v>3</v>
      </c>
      <c r="O53" s="6" t="n">
        <f aca="false">IF(C53="롱",(J53-E53)/E53,(E53-J53)/E53)</f>
        <v>-0.0199031532390284</v>
      </c>
    </row>
    <row r="54" customFormat="false" ht="17.15" hidden="false" customHeight="false" outlineLevel="0" collapsed="false">
      <c r="A54" s="4" t="n">
        <v>4</v>
      </c>
      <c r="B54" s="4" t="s">
        <v>18</v>
      </c>
      <c r="C54" s="8" t="s">
        <v>72</v>
      </c>
      <c r="D54" s="21" t="n">
        <v>41635</v>
      </c>
      <c r="E54" s="22" t="n">
        <v>263.32</v>
      </c>
      <c r="F54" s="21" t="n">
        <v>41638</v>
      </c>
      <c r="G54" s="22" t="n">
        <v>263.55</v>
      </c>
      <c r="H54" s="22" t="n">
        <v>250.24</v>
      </c>
      <c r="I54" s="21" t="n">
        <v>41642</v>
      </c>
      <c r="J54" s="22" t="n">
        <v>254.48</v>
      </c>
      <c r="K54" s="21" t="n">
        <v>41645</v>
      </c>
      <c r="L54" s="22" t="n">
        <v>254.7</v>
      </c>
      <c r="M54" s="8" t="s">
        <v>73</v>
      </c>
      <c r="N54" s="4" t="n">
        <v>4</v>
      </c>
      <c r="O54" s="6" t="n">
        <f aca="false">IF(C54="롱",(J54-E54)/E54,(E54-J54)/E54)</f>
        <v>-0.0335713200668388</v>
      </c>
    </row>
    <row r="55" customFormat="false" ht="17.15" hidden="false" customHeight="false" outlineLevel="0" collapsed="false">
      <c r="A55" s="4" t="n">
        <v>4</v>
      </c>
      <c r="B55" s="4" t="s">
        <v>18</v>
      </c>
      <c r="C55" s="8" t="s">
        <v>72</v>
      </c>
      <c r="D55" s="21" t="n">
        <v>41774</v>
      </c>
      <c r="E55" s="22" t="n">
        <v>262.4</v>
      </c>
      <c r="F55" s="21" t="n">
        <v>41775</v>
      </c>
      <c r="G55" s="22" t="n">
        <v>261.45</v>
      </c>
      <c r="H55" s="22" t="n">
        <v>250.69</v>
      </c>
      <c r="I55" s="21" t="n">
        <v>41799</v>
      </c>
      <c r="J55" s="22" t="n">
        <v>259.68</v>
      </c>
      <c r="K55" s="21" t="n">
        <v>41800</v>
      </c>
      <c r="L55" s="22" t="n">
        <v>261.24</v>
      </c>
      <c r="M55" s="8" t="s">
        <v>73</v>
      </c>
      <c r="N55" s="4" t="n">
        <v>15</v>
      </c>
      <c r="O55" s="6" t="n">
        <f aca="false">IF(C55="롱",(J55-E55)/E55,(E55-J55)/E55)</f>
        <v>-0.0103658536585365</v>
      </c>
    </row>
    <row r="56" customFormat="false" ht="17.15" hidden="false" customHeight="false" outlineLevel="0" collapsed="false">
      <c r="A56" s="4" t="n">
        <v>4</v>
      </c>
      <c r="B56" s="4" t="s">
        <v>18</v>
      </c>
      <c r="C56" s="8" t="s">
        <v>72</v>
      </c>
      <c r="D56" s="21" t="n">
        <v>41800</v>
      </c>
      <c r="E56" s="22" t="n">
        <v>262.64</v>
      </c>
      <c r="F56" s="21" t="n">
        <v>41801</v>
      </c>
      <c r="G56" s="22" t="n">
        <v>262.19</v>
      </c>
      <c r="H56" s="22" t="n">
        <v>250.09</v>
      </c>
      <c r="I56" s="21" t="n">
        <v>41801</v>
      </c>
      <c r="J56" s="22" t="n">
        <v>262.62</v>
      </c>
      <c r="K56" s="21" t="n">
        <v>41802</v>
      </c>
      <c r="L56" s="22" t="n">
        <v>262.57</v>
      </c>
      <c r="M56" s="8" t="s">
        <v>73</v>
      </c>
      <c r="N56" s="4" t="n">
        <v>1</v>
      </c>
      <c r="O56" s="6" t="n">
        <f aca="false">IF(C56="롱",(J56-E56)/E56,(E56-J56)/E56)</f>
        <v>-7.61498629301775E-005</v>
      </c>
    </row>
    <row r="57" customFormat="false" ht="17.15" hidden="false" customHeight="false" outlineLevel="0" collapsed="false">
      <c r="A57" s="4" t="n">
        <v>4</v>
      </c>
      <c r="B57" s="4" t="s">
        <v>18</v>
      </c>
      <c r="C57" s="8" t="s">
        <v>72</v>
      </c>
      <c r="D57" s="21" t="n">
        <v>41822</v>
      </c>
      <c r="E57" s="22" t="n">
        <v>262.04</v>
      </c>
      <c r="F57" s="21" t="n">
        <v>41823</v>
      </c>
      <c r="G57" s="22" t="n">
        <v>262.03</v>
      </c>
      <c r="H57" s="22" t="n">
        <v>249.87</v>
      </c>
      <c r="I57" s="21" t="n">
        <v>41831</v>
      </c>
      <c r="J57" s="22" t="n">
        <v>256.72</v>
      </c>
      <c r="K57" s="21" t="n">
        <v>41834</v>
      </c>
      <c r="L57" s="22" t="n">
        <v>258.11</v>
      </c>
      <c r="M57" s="8" t="s">
        <v>73</v>
      </c>
      <c r="N57" s="4" t="n">
        <v>7</v>
      </c>
      <c r="O57" s="6" t="n">
        <f aca="false">IF(C57="롱",(J57-E57)/E57,(E57-J57)/E57)</f>
        <v>-0.0203022439322241</v>
      </c>
    </row>
    <row r="58" customFormat="false" ht="17.15" hidden="false" customHeight="false" outlineLevel="0" collapsed="false">
      <c r="A58" s="4" t="n">
        <v>4</v>
      </c>
      <c r="B58" s="4" t="s">
        <v>18</v>
      </c>
      <c r="C58" s="8" t="s">
        <v>72</v>
      </c>
      <c r="D58" s="21" t="n">
        <v>41837</v>
      </c>
      <c r="E58" s="22" t="n">
        <v>261.93</v>
      </c>
      <c r="F58" s="21" t="n">
        <v>41838</v>
      </c>
      <c r="G58" s="22" t="n">
        <v>259.97</v>
      </c>
      <c r="H58" s="22" t="n">
        <v>251.1</v>
      </c>
      <c r="I58" s="21" t="n">
        <v>41863</v>
      </c>
      <c r="J58" s="22" t="n">
        <v>263.34</v>
      </c>
      <c r="K58" s="21" t="n">
        <v>41864</v>
      </c>
      <c r="L58" s="22" t="n">
        <v>264.14</v>
      </c>
      <c r="M58" s="8" t="s">
        <v>73</v>
      </c>
      <c r="N58" s="4" t="n">
        <v>18</v>
      </c>
      <c r="O58" s="6" t="n">
        <f aca="false">IF(C58="롱",(J58-E58)/E58,(E58-J58)/E58)</f>
        <v>0.00538311762684675</v>
      </c>
    </row>
    <row r="59" customFormat="false" ht="17.15" hidden="false" customHeight="false" outlineLevel="0" collapsed="false">
      <c r="A59" s="4" t="n">
        <v>4</v>
      </c>
      <c r="B59" s="4" t="s">
        <v>18</v>
      </c>
      <c r="C59" s="8" t="s">
        <v>72</v>
      </c>
      <c r="D59" s="21" t="n">
        <v>41871</v>
      </c>
      <c r="E59" s="22" t="n">
        <v>266.79</v>
      </c>
      <c r="F59" s="21" t="n">
        <v>41872</v>
      </c>
      <c r="G59" s="22" t="n">
        <v>265.98</v>
      </c>
      <c r="H59" s="22" t="n">
        <v>253.56</v>
      </c>
      <c r="I59" s="21" t="n">
        <v>41872</v>
      </c>
      <c r="J59" s="22" t="n">
        <v>262.53</v>
      </c>
      <c r="K59" s="21" t="n">
        <v>41873</v>
      </c>
      <c r="L59" s="22" t="n">
        <v>263.08</v>
      </c>
      <c r="M59" s="8" t="s">
        <v>73</v>
      </c>
      <c r="N59" s="4" t="n">
        <v>1</v>
      </c>
      <c r="O59" s="6" t="n">
        <f aca="false">IF(C59="롱",(J59-E59)/E59,(E59-J59)/E59)</f>
        <v>-0.0159676149780728</v>
      </c>
    </row>
    <row r="60" customFormat="false" ht="17.15" hidden="false" customHeight="false" outlineLevel="0" collapsed="false">
      <c r="A60" s="4" t="n">
        <v>4</v>
      </c>
      <c r="B60" s="4" t="s">
        <v>18</v>
      </c>
      <c r="C60" s="8" t="s">
        <v>72</v>
      </c>
      <c r="D60" s="21" t="n">
        <v>41883</v>
      </c>
      <c r="E60" s="22" t="n">
        <v>265.27</v>
      </c>
      <c r="F60" s="21" t="n">
        <v>41884</v>
      </c>
      <c r="G60" s="22" t="n">
        <v>264.96</v>
      </c>
      <c r="H60" s="22" t="n">
        <v>252.5</v>
      </c>
      <c r="I60" s="21" t="n">
        <v>41884</v>
      </c>
      <c r="J60" s="22" t="n">
        <v>262.61</v>
      </c>
      <c r="K60" s="21" t="n">
        <v>41885</v>
      </c>
      <c r="L60" s="22" t="n">
        <v>262.49</v>
      </c>
      <c r="M60" s="8" t="s">
        <v>73</v>
      </c>
      <c r="N60" s="4" t="n">
        <v>1</v>
      </c>
      <c r="O60" s="6" t="n">
        <f aca="false">IF(C60="롱",(J60-E60)/E60,(E60-J60)/E60)</f>
        <v>-0.0100275191314509</v>
      </c>
    </row>
    <row r="61" customFormat="false" ht="17.15" hidden="false" customHeight="false" outlineLevel="0" collapsed="false">
      <c r="A61" s="4" t="n">
        <v>4</v>
      </c>
      <c r="B61" s="4" t="s">
        <v>18</v>
      </c>
      <c r="C61" s="8" t="s">
        <v>72</v>
      </c>
      <c r="D61" s="21" t="n">
        <v>42059</v>
      </c>
      <c r="E61" s="22" t="n">
        <v>251.28</v>
      </c>
      <c r="F61" s="21" t="n">
        <v>42060</v>
      </c>
      <c r="G61" s="22" t="n">
        <v>252.72</v>
      </c>
      <c r="H61" s="22" t="n">
        <v>240.98</v>
      </c>
      <c r="I61" s="21" t="n">
        <v>42079</v>
      </c>
      <c r="J61" s="22" t="n">
        <v>252.44</v>
      </c>
      <c r="K61" s="21" t="n">
        <v>42080</v>
      </c>
      <c r="L61" s="22" t="n">
        <v>253.77</v>
      </c>
      <c r="M61" s="8" t="s">
        <v>73</v>
      </c>
      <c r="N61" s="4" t="n">
        <v>14</v>
      </c>
      <c r="O61" s="6" t="n">
        <f aca="false">IF(C61="롱",(J61-E61)/E61,(E61-J61)/E61)</f>
        <v>0.00461636421521807</v>
      </c>
    </row>
    <row r="62" customFormat="false" ht="17.15" hidden="false" customHeight="false" outlineLevel="0" collapsed="false">
      <c r="A62" s="4" t="n">
        <v>4</v>
      </c>
      <c r="B62" s="4" t="s">
        <v>18</v>
      </c>
      <c r="C62" s="8" t="s">
        <v>72</v>
      </c>
      <c r="D62" s="21" t="n">
        <v>42080</v>
      </c>
      <c r="E62" s="22" t="n">
        <v>258.18</v>
      </c>
      <c r="F62" s="21" t="n">
        <v>42081</v>
      </c>
      <c r="G62" s="22" t="n">
        <v>258.45</v>
      </c>
      <c r="H62" s="22" t="n">
        <v>247.57</v>
      </c>
      <c r="I62" s="21" t="n">
        <v>42131</v>
      </c>
      <c r="J62" s="22" t="n">
        <v>262.47</v>
      </c>
      <c r="K62" s="21" t="n">
        <v>42132</v>
      </c>
      <c r="L62" s="22" t="n">
        <v>262.11</v>
      </c>
      <c r="M62" s="8" t="s">
        <v>73</v>
      </c>
      <c r="N62" s="4" t="n">
        <v>35</v>
      </c>
      <c r="O62" s="6" t="n">
        <f aca="false">IF(C62="롱",(J62-E62)/E62,(E62-J62)/E62)</f>
        <v>0.0166163141993959</v>
      </c>
    </row>
    <row r="63" customFormat="false" ht="17.15" hidden="false" customHeight="false" outlineLevel="0" collapsed="false">
      <c r="A63" s="4" t="n">
        <v>4</v>
      </c>
      <c r="B63" s="4" t="s">
        <v>18</v>
      </c>
      <c r="C63" s="8" t="s">
        <v>72</v>
      </c>
      <c r="D63" s="21" t="n">
        <v>42335</v>
      </c>
      <c r="E63" s="22" t="n">
        <v>249.07</v>
      </c>
      <c r="F63" s="21" t="n">
        <v>42338</v>
      </c>
      <c r="G63" s="22" t="n">
        <v>248.3</v>
      </c>
      <c r="H63" s="22" t="n">
        <v>237.38</v>
      </c>
      <c r="I63" s="21" t="n">
        <v>42342</v>
      </c>
      <c r="J63" s="22" t="n">
        <v>242.15</v>
      </c>
      <c r="K63" s="21" t="n">
        <v>42345</v>
      </c>
      <c r="L63" s="22" t="n">
        <v>243.76</v>
      </c>
      <c r="M63" s="8" t="s">
        <v>73</v>
      </c>
      <c r="N63" s="4" t="n">
        <v>5</v>
      </c>
      <c r="O63" s="6" t="n">
        <f aca="false">IF(C63="롱",(J63-E63)/E63,(E63-J63)/E63)</f>
        <v>-0.027783354077167</v>
      </c>
    </row>
    <row r="64" customFormat="false" ht="17.15" hidden="false" customHeight="false" outlineLevel="0" collapsed="false">
      <c r="A64" s="4" t="n">
        <v>4</v>
      </c>
      <c r="B64" s="4" t="s">
        <v>18</v>
      </c>
      <c r="C64" s="8" t="s">
        <v>72</v>
      </c>
      <c r="D64" s="21" t="n">
        <v>42360</v>
      </c>
      <c r="E64" s="22" t="n">
        <v>245.48</v>
      </c>
      <c r="F64" s="21" t="n">
        <v>42361</v>
      </c>
      <c r="G64" s="22" t="n">
        <v>245.64</v>
      </c>
      <c r="H64" s="22" t="n">
        <v>230.75</v>
      </c>
      <c r="I64" s="21" t="n">
        <v>42373</v>
      </c>
      <c r="J64" s="22" t="n">
        <v>234.63</v>
      </c>
      <c r="K64" s="21" t="n">
        <v>42374</v>
      </c>
      <c r="L64" s="22" t="n">
        <v>233.96</v>
      </c>
      <c r="M64" s="8" t="s">
        <v>73</v>
      </c>
      <c r="N64" s="4" t="n">
        <v>6</v>
      </c>
      <c r="O64" s="6" t="n">
        <f aca="false">IF(C64="롱",(J64-E64)/E64,(E64-J64)/E64)</f>
        <v>-0.0441991200912498</v>
      </c>
    </row>
    <row r="65" customFormat="false" ht="17.15" hidden="false" customHeight="false" outlineLevel="0" collapsed="false">
      <c r="A65" s="4" t="n">
        <v>4</v>
      </c>
      <c r="B65" s="4" t="s">
        <v>18</v>
      </c>
      <c r="C65" s="8" t="s">
        <v>72</v>
      </c>
      <c r="D65" s="21" t="n">
        <v>42475</v>
      </c>
      <c r="E65" s="22" t="n">
        <v>248.53</v>
      </c>
      <c r="F65" s="21" t="n">
        <v>42478</v>
      </c>
      <c r="G65" s="22" t="n">
        <v>246.7</v>
      </c>
      <c r="H65" s="22" t="n">
        <v>237.5</v>
      </c>
      <c r="I65" s="21" t="n">
        <v>42493</v>
      </c>
      <c r="J65" s="22" t="n">
        <v>244.29</v>
      </c>
      <c r="K65" s="21" t="n">
        <v>42494</v>
      </c>
      <c r="L65" s="22" t="n">
        <v>243.29</v>
      </c>
      <c r="M65" s="8" t="s">
        <v>73</v>
      </c>
      <c r="N65" s="4" t="n">
        <v>12</v>
      </c>
      <c r="O65" s="6" t="n">
        <f aca="false">IF(C65="롱",(J65-E65)/E65,(E65-J65)/E65)</f>
        <v>-0.0170603146501429</v>
      </c>
    </row>
    <row r="66" customFormat="false" ht="17.15" hidden="false" customHeight="false" outlineLevel="0" collapsed="false">
      <c r="A66" s="4" t="n">
        <v>4</v>
      </c>
      <c r="B66" s="4" t="s">
        <v>18</v>
      </c>
      <c r="C66" s="8" t="s">
        <v>72</v>
      </c>
      <c r="D66" s="21" t="n">
        <v>42521</v>
      </c>
      <c r="E66" s="22" t="n">
        <v>243.63</v>
      </c>
      <c r="F66" s="21" t="n">
        <v>42522</v>
      </c>
      <c r="G66" s="22" t="n">
        <v>242.7</v>
      </c>
      <c r="H66" s="22" t="n">
        <v>233.41</v>
      </c>
      <c r="I66" s="21" t="n">
        <v>42538</v>
      </c>
      <c r="J66" s="22" t="n">
        <v>241.63</v>
      </c>
      <c r="K66" s="21" t="n">
        <v>42541</v>
      </c>
      <c r="L66" s="22" t="n">
        <v>244.44</v>
      </c>
      <c r="M66" s="8" t="s">
        <v>73</v>
      </c>
      <c r="N66" s="4" t="n">
        <v>12</v>
      </c>
      <c r="O66" s="6" t="n">
        <f aca="false">IF(C66="롱",(J66-E66)/E66,(E66-J66)/E66)</f>
        <v>-0.00820916964249066</v>
      </c>
    </row>
    <row r="67" customFormat="false" ht="17.15" hidden="false" customHeight="false" outlineLevel="0" collapsed="false">
      <c r="A67" s="4" t="n">
        <v>4</v>
      </c>
      <c r="B67" s="4" t="s">
        <v>18</v>
      </c>
      <c r="C67" s="8" t="s">
        <v>72</v>
      </c>
      <c r="D67" s="21" t="n">
        <v>42544</v>
      </c>
      <c r="E67" s="22" t="n">
        <v>246.31</v>
      </c>
      <c r="F67" s="21" t="n">
        <v>42545</v>
      </c>
      <c r="G67" s="22" t="n">
        <v>248.23</v>
      </c>
      <c r="H67" s="22" t="n">
        <v>234.37</v>
      </c>
      <c r="I67" s="21" t="n">
        <v>42548</v>
      </c>
      <c r="J67" s="22" t="n">
        <v>239.28</v>
      </c>
      <c r="K67" s="21" t="n">
        <v>42549</v>
      </c>
      <c r="L67" s="22" t="n">
        <v>236.78</v>
      </c>
      <c r="M67" s="8" t="s">
        <v>73</v>
      </c>
      <c r="N67" s="4" t="n">
        <v>2</v>
      </c>
      <c r="O67" s="6" t="n">
        <f aca="false">IF(C67="롱",(J67-E67)/E67,(E67-J67)/E67)</f>
        <v>-0.0285412691323941</v>
      </c>
    </row>
    <row r="68" customFormat="false" ht="17.15" hidden="false" customHeight="false" outlineLevel="0" collapsed="false">
      <c r="A68" s="4" t="n">
        <v>4</v>
      </c>
      <c r="B68" s="4" t="s">
        <v>18</v>
      </c>
      <c r="C68" s="8" t="s">
        <v>72</v>
      </c>
      <c r="D68" s="21" t="n">
        <v>42556</v>
      </c>
      <c r="E68" s="22" t="n">
        <v>246.91</v>
      </c>
      <c r="F68" s="21" t="n">
        <v>42557</v>
      </c>
      <c r="G68" s="22" t="n">
        <v>245.37</v>
      </c>
      <c r="H68" s="22" t="n">
        <v>231.07</v>
      </c>
      <c r="I68" s="21" t="n">
        <v>42626</v>
      </c>
      <c r="J68" s="22" t="n">
        <v>251.77</v>
      </c>
      <c r="K68" s="21" t="n">
        <v>42632</v>
      </c>
      <c r="L68" s="22" t="n">
        <v>251.51</v>
      </c>
      <c r="M68" s="8" t="s">
        <v>73</v>
      </c>
      <c r="N68" s="4" t="n">
        <v>49</v>
      </c>
      <c r="O68" s="6" t="n">
        <f aca="false">IF(C68="롱",(J68-E68)/E68,(E68-J68)/E68)</f>
        <v>0.0196832854076385</v>
      </c>
    </row>
    <row r="69" customFormat="false" ht="17.15" hidden="false" customHeight="false" outlineLevel="0" collapsed="false">
      <c r="A69" s="4" t="n">
        <v>4</v>
      </c>
      <c r="B69" s="4" t="s">
        <v>18</v>
      </c>
      <c r="C69" s="8" t="s">
        <v>72</v>
      </c>
      <c r="D69" s="21" t="n">
        <v>42639</v>
      </c>
      <c r="E69" s="22" t="n">
        <v>257.48</v>
      </c>
      <c r="F69" s="21" t="n">
        <v>42640</v>
      </c>
      <c r="G69" s="22" t="n">
        <v>256.16</v>
      </c>
      <c r="H69" s="22" t="n">
        <v>244.42</v>
      </c>
      <c r="I69" s="21" t="n">
        <v>42657</v>
      </c>
      <c r="J69" s="22" t="n">
        <v>255.09</v>
      </c>
      <c r="K69" s="21" t="n">
        <v>42660</v>
      </c>
      <c r="L69" s="22" t="n">
        <v>255.9</v>
      </c>
      <c r="M69" s="8" t="s">
        <v>73</v>
      </c>
      <c r="N69" s="4" t="n">
        <v>13</v>
      </c>
      <c r="O69" s="6" t="n">
        <f aca="false">IF(C69="롱",(J69-E69)/E69,(E69-J69)/E69)</f>
        <v>-0.00928227435140599</v>
      </c>
    </row>
    <row r="70" customFormat="false" ht="17.15" hidden="false" customHeight="false" outlineLevel="0" collapsed="false">
      <c r="A70" s="4" t="n">
        <v>4</v>
      </c>
      <c r="B70" s="4" t="s">
        <v>18</v>
      </c>
      <c r="C70" s="8" t="s">
        <v>72</v>
      </c>
      <c r="D70" s="21" t="n">
        <v>42667</v>
      </c>
      <c r="E70" s="22" t="n">
        <v>259.48</v>
      </c>
      <c r="F70" s="21" t="n">
        <v>42668</v>
      </c>
      <c r="G70" s="22" t="n">
        <v>258.79</v>
      </c>
      <c r="H70" s="22" t="n">
        <v>246.56</v>
      </c>
      <c r="I70" s="21" t="n">
        <v>42669</v>
      </c>
      <c r="J70" s="22" t="n">
        <v>255.52</v>
      </c>
      <c r="K70" s="21" t="n">
        <v>42670</v>
      </c>
      <c r="L70" s="22" t="n">
        <v>256.25</v>
      </c>
      <c r="M70" s="8" t="s">
        <v>73</v>
      </c>
      <c r="N70" s="4" t="n">
        <v>2</v>
      </c>
      <c r="O70" s="6" t="n">
        <f aca="false">IF(C70="롱",(J70-E70)/E70,(E70-J70)/E70)</f>
        <v>-0.0152612918143981</v>
      </c>
    </row>
    <row r="71" customFormat="false" ht="17.15" hidden="false" customHeight="false" outlineLevel="0" collapsed="false">
      <c r="A71" s="4" t="n">
        <v>4</v>
      </c>
      <c r="B71" s="4" t="s">
        <v>18</v>
      </c>
      <c r="C71" s="8" t="s">
        <v>72</v>
      </c>
      <c r="D71" s="21" t="n">
        <v>42850</v>
      </c>
      <c r="E71" s="22" t="n">
        <v>285.41</v>
      </c>
      <c r="F71" s="21" t="n">
        <v>42851</v>
      </c>
      <c r="G71" s="22" t="n">
        <v>286.04</v>
      </c>
      <c r="H71" s="22" t="n">
        <v>274.09</v>
      </c>
      <c r="I71" s="21" t="n">
        <v>42950</v>
      </c>
      <c r="J71" s="22" t="n">
        <v>312.29</v>
      </c>
      <c r="K71" s="21" t="n">
        <v>42951</v>
      </c>
      <c r="L71" s="22" t="n">
        <v>312.8</v>
      </c>
      <c r="M71" s="8" t="s">
        <v>73</v>
      </c>
      <c r="N71" s="4" t="n">
        <v>67</v>
      </c>
      <c r="O71" s="6" t="n">
        <f aca="false">IF(C71="롱",(J71-E71)/E71,(E71-J71)/E71)</f>
        <v>0.094180302021653</v>
      </c>
    </row>
    <row r="72" customFormat="false" ht="17.15" hidden="false" customHeight="false" outlineLevel="0" collapsed="false">
      <c r="A72" s="4" t="n">
        <v>4</v>
      </c>
      <c r="B72" s="4" t="s">
        <v>18</v>
      </c>
      <c r="C72" s="8" t="s">
        <v>72</v>
      </c>
      <c r="D72" s="21" t="n">
        <v>42991</v>
      </c>
      <c r="E72" s="22" t="n">
        <v>310</v>
      </c>
      <c r="F72" s="21" t="n">
        <v>42992</v>
      </c>
      <c r="G72" s="22" t="n">
        <v>310.82</v>
      </c>
      <c r="H72" s="22" t="n">
        <v>296.32</v>
      </c>
      <c r="I72" s="21" t="n">
        <v>43059</v>
      </c>
      <c r="J72" s="22" t="n">
        <v>332.92</v>
      </c>
      <c r="K72" s="21" t="n">
        <v>43060</v>
      </c>
      <c r="L72" s="22" t="n">
        <v>333.78</v>
      </c>
      <c r="M72" s="8" t="s">
        <v>73</v>
      </c>
      <c r="N72" s="4" t="n">
        <v>42</v>
      </c>
      <c r="O72" s="6" t="n">
        <f aca="false">IF(C72="롱",(J72-E72)/E72,(E72-J72)/E72)</f>
        <v>0.0739354838709678</v>
      </c>
    </row>
    <row r="73" customFormat="false" ht="17.15" hidden="false" customHeight="false" outlineLevel="0" collapsed="false">
      <c r="A73" s="4" t="n">
        <v>4</v>
      </c>
      <c r="B73" s="4" t="s">
        <v>18</v>
      </c>
      <c r="C73" s="8" t="s">
        <v>72</v>
      </c>
      <c r="D73" s="21" t="n">
        <v>43105</v>
      </c>
      <c r="E73" s="22" t="n">
        <v>328.97</v>
      </c>
      <c r="F73" s="21" t="n">
        <v>43108</v>
      </c>
      <c r="G73" s="22" t="n">
        <v>330.83</v>
      </c>
      <c r="H73" s="22" t="n">
        <v>311.56</v>
      </c>
      <c r="I73" s="21" t="n">
        <v>43136</v>
      </c>
      <c r="J73" s="22" t="n">
        <v>323.29</v>
      </c>
      <c r="K73" s="21" t="n">
        <v>43137</v>
      </c>
      <c r="L73" s="22" t="n">
        <v>316.62</v>
      </c>
      <c r="M73" s="8" t="s">
        <v>73</v>
      </c>
      <c r="N73" s="4" t="n">
        <v>21</v>
      </c>
      <c r="O73" s="6" t="n">
        <f aca="false">IF(C73="롱",(J73-E73)/E73,(E73-J73)/E73)</f>
        <v>-0.0172660120983677</v>
      </c>
    </row>
    <row r="74" customFormat="false" ht="17.15" hidden="false" customHeight="false" outlineLevel="0" collapsed="false">
      <c r="A74" s="4" t="n">
        <v>4</v>
      </c>
      <c r="B74" s="4" t="s">
        <v>18</v>
      </c>
      <c r="C74" s="8" t="s">
        <v>72</v>
      </c>
      <c r="D74" s="21" t="n">
        <v>43262</v>
      </c>
      <c r="E74" s="22" t="n">
        <v>317.22</v>
      </c>
      <c r="F74" s="21" t="n">
        <v>43263</v>
      </c>
      <c r="G74" s="22" t="n">
        <v>317.81</v>
      </c>
      <c r="H74" s="22" t="n">
        <v>300.9</v>
      </c>
      <c r="I74" s="21" t="n">
        <v>43266</v>
      </c>
      <c r="J74" s="22" t="n">
        <v>308.73</v>
      </c>
      <c r="K74" s="21" t="n">
        <v>43269</v>
      </c>
      <c r="L74" s="22" t="n">
        <v>308.73</v>
      </c>
      <c r="M74" s="8" t="s">
        <v>73</v>
      </c>
      <c r="N74" s="4" t="n">
        <v>3</v>
      </c>
      <c r="O74" s="6" t="n">
        <f aca="false">IF(C74="롱",(J74-E74)/E74,(E74-J74)/E74)</f>
        <v>-0.026763760166446</v>
      </c>
    </row>
    <row r="75" customFormat="false" ht="17.15" hidden="false" customHeight="false" outlineLevel="0" collapsed="false">
      <c r="A75" s="4" t="n">
        <v>4</v>
      </c>
      <c r="B75" s="4" t="s">
        <v>18</v>
      </c>
      <c r="C75" s="8" t="s">
        <v>72</v>
      </c>
      <c r="D75" s="21" t="n">
        <v>43558</v>
      </c>
      <c r="E75" s="22" t="n">
        <v>285.65</v>
      </c>
      <c r="F75" s="21" t="n">
        <v>43559</v>
      </c>
      <c r="G75" s="22" t="n">
        <v>285.29</v>
      </c>
      <c r="H75" s="22" t="n">
        <v>269.13</v>
      </c>
      <c r="I75" s="21" t="n">
        <v>43580</v>
      </c>
      <c r="J75" s="22" t="n">
        <v>282.83</v>
      </c>
      <c r="K75" s="21" t="n">
        <v>43581</v>
      </c>
      <c r="L75" s="22" t="n">
        <v>280.86</v>
      </c>
      <c r="M75" s="8" t="s">
        <v>73</v>
      </c>
      <c r="N75" s="4" t="n">
        <v>16</v>
      </c>
      <c r="O75" s="6" t="n">
        <f aca="false">IF(C75="롱",(J75-E75)/E75,(E75-J75)/E75)</f>
        <v>-0.00987222124978118</v>
      </c>
    </row>
    <row r="76" customFormat="false" ht="17.15" hidden="false" customHeight="false" outlineLevel="0" collapsed="false">
      <c r="A76" s="4" t="n">
        <v>4</v>
      </c>
      <c r="B76" s="4" t="s">
        <v>18</v>
      </c>
      <c r="C76" s="8" t="s">
        <v>72</v>
      </c>
      <c r="D76" s="21" t="n">
        <v>43812</v>
      </c>
      <c r="E76" s="22" t="n">
        <v>290.11</v>
      </c>
      <c r="F76" s="21" t="n">
        <v>43815</v>
      </c>
      <c r="G76" s="22" t="n">
        <v>289.54</v>
      </c>
      <c r="H76" s="22" t="n">
        <v>272.64</v>
      </c>
      <c r="I76" s="21" t="n">
        <v>43861</v>
      </c>
      <c r="J76" s="22" t="n">
        <v>284.53</v>
      </c>
      <c r="K76" s="21" t="n">
        <v>43864</v>
      </c>
      <c r="L76" s="22" t="n">
        <v>280.17</v>
      </c>
      <c r="M76" s="8" t="s">
        <v>73</v>
      </c>
      <c r="N76" s="4" t="n">
        <v>30</v>
      </c>
      <c r="O76" s="6" t="n">
        <f aca="false">IF(C76="롱",(J76-E76)/E76,(E76-J76)/E76)</f>
        <v>-0.0192340836234533</v>
      </c>
    </row>
    <row r="77" customFormat="false" ht="17.15" hidden="false" customHeight="false" outlineLevel="0" collapsed="false">
      <c r="A77" s="4" t="n">
        <v>4</v>
      </c>
      <c r="B77" s="4" t="s">
        <v>18</v>
      </c>
      <c r="C77" s="8" t="s">
        <v>72</v>
      </c>
      <c r="D77" s="21" t="n">
        <v>43872</v>
      </c>
      <c r="E77" s="22" t="n">
        <v>299.28</v>
      </c>
      <c r="F77" s="21" t="n">
        <v>43873</v>
      </c>
      <c r="G77" s="22" t="n">
        <v>299.83</v>
      </c>
      <c r="H77" s="22" t="n">
        <v>273.28</v>
      </c>
      <c r="I77" s="21" t="n">
        <v>43885</v>
      </c>
      <c r="J77" s="22" t="n">
        <v>281.02</v>
      </c>
      <c r="K77" s="21" t="n">
        <v>43886</v>
      </c>
      <c r="L77" s="22" t="n">
        <v>280.48</v>
      </c>
      <c r="M77" s="8" t="s">
        <v>73</v>
      </c>
      <c r="N77" s="4" t="n">
        <v>9</v>
      </c>
      <c r="O77" s="6" t="n">
        <f aca="false">IF(C77="롱",(J77-E77)/E77,(E77-J77)/E77)</f>
        <v>-0.0610130981021117</v>
      </c>
    </row>
    <row r="78" customFormat="false" ht="17.15" hidden="false" customHeight="false" outlineLevel="0" collapsed="false">
      <c r="A78" s="4" t="n">
        <v>4</v>
      </c>
      <c r="B78" s="4" t="s">
        <v>18</v>
      </c>
      <c r="C78" s="8" t="s">
        <v>72</v>
      </c>
      <c r="D78" s="21" t="n">
        <v>44018</v>
      </c>
      <c r="E78" s="22" t="n">
        <v>290.62</v>
      </c>
      <c r="F78" s="21" t="n">
        <v>44019</v>
      </c>
      <c r="G78" s="22" t="n">
        <v>292.74</v>
      </c>
      <c r="H78" s="22" t="n">
        <v>261.56</v>
      </c>
      <c r="I78" s="21" t="n">
        <v>44068</v>
      </c>
      <c r="J78" s="22" t="n">
        <v>313.59</v>
      </c>
      <c r="K78" s="21" t="n">
        <v>44069</v>
      </c>
      <c r="L78" s="22" t="n">
        <v>313.61</v>
      </c>
      <c r="M78" s="8" t="s">
        <v>73</v>
      </c>
      <c r="N78" s="4" t="n">
        <v>35</v>
      </c>
      <c r="O78" s="6" t="n">
        <f aca="false">IF(C78="롱",(J78-E78)/E78,(E78-J78)/E78)</f>
        <v>0.0790379189319385</v>
      </c>
    </row>
    <row r="79" customFormat="false" ht="17.15" hidden="false" customHeight="false" outlineLevel="0" collapsed="false">
      <c r="A79" s="4" t="n">
        <v>4</v>
      </c>
      <c r="B79" s="4" t="s">
        <v>18</v>
      </c>
      <c r="C79" s="8" t="s">
        <v>72</v>
      </c>
      <c r="D79" s="21" t="n">
        <v>44070</v>
      </c>
      <c r="E79" s="22" t="n">
        <v>311.38</v>
      </c>
      <c r="F79" s="21" t="n">
        <v>44071</v>
      </c>
      <c r="G79" s="22" t="n">
        <v>313.86</v>
      </c>
      <c r="H79" s="22" t="n">
        <v>282.28</v>
      </c>
      <c r="I79" s="21" t="n">
        <v>44075</v>
      </c>
      <c r="J79" s="22" t="n">
        <v>309.81</v>
      </c>
      <c r="K79" s="21" t="n">
        <v>44076</v>
      </c>
      <c r="L79" s="22" t="n">
        <v>311.69</v>
      </c>
      <c r="M79" s="8" t="s">
        <v>73</v>
      </c>
      <c r="N79" s="4" t="n">
        <v>3</v>
      </c>
      <c r="O79" s="6" t="n">
        <f aca="false">IF(C79="롱",(J79-E79)/E79,(E79-J79)/E79)</f>
        <v>-0.00504207078168153</v>
      </c>
    </row>
    <row r="80" customFormat="false" ht="17.15" hidden="false" customHeight="false" outlineLevel="0" collapsed="false">
      <c r="A80" s="4" t="n">
        <v>4</v>
      </c>
      <c r="B80" s="4" t="s">
        <v>18</v>
      </c>
      <c r="C80" s="8" t="s">
        <v>72</v>
      </c>
      <c r="D80" s="21" t="n">
        <v>44082</v>
      </c>
      <c r="E80" s="22" t="n">
        <v>317.38</v>
      </c>
      <c r="F80" s="21" t="n">
        <v>44083</v>
      </c>
      <c r="G80" s="22" t="n">
        <v>313.54</v>
      </c>
      <c r="H80" s="22" t="n">
        <v>286.19</v>
      </c>
      <c r="I80" s="21" t="n">
        <v>44097</v>
      </c>
      <c r="J80" s="22" t="n">
        <v>309.64</v>
      </c>
      <c r="K80" s="21" t="n">
        <v>44098</v>
      </c>
      <c r="L80" s="22" t="n">
        <v>304.85</v>
      </c>
      <c r="M80" s="8" t="s">
        <v>73</v>
      </c>
      <c r="N80" s="4" t="n">
        <v>11</v>
      </c>
      <c r="O80" s="6" t="n">
        <f aca="false">IF(C80="롱",(J80-E80)/E80,(E80-J80)/E80)</f>
        <v>-0.0243871699539984</v>
      </c>
    </row>
    <row r="81" customFormat="false" ht="17.15" hidden="false" customHeight="false" outlineLevel="0" collapsed="false">
      <c r="A81" s="4" t="n">
        <v>4</v>
      </c>
      <c r="B81" s="4" t="s">
        <v>18</v>
      </c>
      <c r="C81" s="8" t="s">
        <v>72</v>
      </c>
      <c r="D81" s="21" t="n">
        <v>44112</v>
      </c>
      <c r="E81" s="22" t="n">
        <v>317.47</v>
      </c>
      <c r="F81" s="21" t="n">
        <v>44116</v>
      </c>
      <c r="G81" s="22" t="n">
        <v>318.99</v>
      </c>
      <c r="H81" s="22" t="n">
        <v>293.11</v>
      </c>
      <c r="I81" s="21" t="n">
        <v>44133</v>
      </c>
      <c r="J81" s="22" t="n">
        <v>309.94</v>
      </c>
      <c r="K81" s="21" t="n">
        <v>44134</v>
      </c>
      <c r="L81" s="22" t="n">
        <v>308.91</v>
      </c>
      <c r="M81" s="8" t="s">
        <v>73</v>
      </c>
      <c r="N81" s="4" t="n">
        <v>14</v>
      </c>
      <c r="O81" s="6" t="n">
        <f aca="false">IF(C81="롱",(J81-E81)/E81,(E81-J81)/E81)</f>
        <v>-0.0237187765773145</v>
      </c>
    </row>
    <row r="82" customFormat="false" ht="17.15" hidden="false" customHeight="false" outlineLevel="0" collapsed="false">
      <c r="A82" s="4" t="n">
        <v>4</v>
      </c>
      <c r="B82" s="4" t="s">
        <v>18</v>
      </c>
      <c r="C82" s="8" t="s">
        <v>72</v>
      </c>
      <c r="D82" s="21" t="n">
        <v>44141</v>
      </c>
      <c r="E82" s="22" t="n">
        <v>322.1</v>
      </c>
      <c r="F82" s="21" t="n">
        <v>44144</v>
      </c>
      <c r="G82" s="22" t="n">
        <v>325.25</v>
      </c>
      <c r="H82" s="22" t="n">
        <v>299.09</v>
      </c>
      <c r="I82" s="21" t="n">
        <v>44228</v>
      </c>
      <c r="J82" s="22" t="n">
        <v>415.45</v>
      </c>
      <c r="K82" s="21" t="n">
        <v>44229</v>
      </c>
      <c r="L82" s="22" t="n">
        <v>416.77</v>
      </c>
      <c r="M82" s="8" t="s">
        <v>73</v>
      </c>
      <c r="N82" s="4" t="n">
        <v>58</v>
      </c>
      <c r="O82" s="6" t="n">
        <f aca="false">IF(C82="롱",(J82-E82)/E82,(E82-J82)/E82)</f>
        <v>0.289816827072338</v>
      </c>
    </row>
    <row r="83" customFormat="false" ht="17.15" hidden="false" customHeight="false" outlineLevel="0" collapsed="false">
      <c r="A83" s="4" t="n">
        <v>4</v>
      </c>
      <c r="B83" s="4" t="s">
        <v>18</v>
      </c>
      <c r="C83" s="8" t="s">
        <v>72</v>
      </c>
      <c r="D83" s="21" t="n">
        <v>44243</v>
      </c>
      <c r="E83" s="22" t="n">
        <v>429.24</v>
      </c>
      <c r="F83" s="21" t="n">
        <v>44244</v>
      </c>
      <c r="G83" s="22" t="n">
        <v>429.2</v>
      </c>
      <c r="H83" s="22" t="n">
        <v>386.32</v>
      </c>
      <c r="I83" s="21" t="n">
        <v>44249</v>
      </c>
      <c r="J83" s="22" t="n">
        <v>416.88</v>
      </c>
      <c r="K83" s="21" t="n">
        <v>44250</v>
      </c>
      <c r="L83" s="22" t="n">
        <v>415.07</v>
      </c>
      <c r="M83" s="8" t="s">
        <v>73</v>
      </c>
      <c r="N83" s="4" t="n">
        <v>4</v>
      </c>
      <c r="O83" s="6" t="n">
        <f aca="false">IF(C83="롱",(J83-E83)/E83,(E83-J83)/E83)</f>
        <v>-0.0287950796757059</v>
      </c>
    </row>
    <row r="84" customFormat="false" ht="17.15" hidden="false" customHeight="false" outlineLevel="0" collapsed="false">
      <c r="A84" s="4" t="n">
        <v>4</v>
      </c>
      <c r="B84" s="4" t="s">
        <v>18</v>
      </c>
      <c r="C84" s="8" t="s">
        <v>72</v>
      </c>
      <c r="D84" s="21" t="n">
        <v>44273</v>
      </c>
      <c r="E84" s="22" t="n">
        <v>417.06</v>
      </c>
      <c r="F84" s="21" t="n">
        <v>44274</v>
      </c>
      <c r="G84" s="22" t="n">
        <v>416.7</v>
      </c>
      <c r="H84" s="22" t="n">
        <v>375.35</v>
      </c>
      <c r="I84" s="21" t="n">
        <v>44278</v>
      </c>
      <c r="J84" s="22" t="n">
        <v>408.71</v>
      </c>
      <c r="K84" s="21" t="n">
        <v>44279</v>
      </c>
      <c r="L84" s="22" t="n">
        <v>407.32</v>
      </c>
      <c r="M84" s="8" t="s">
        <v>73</v>
      </c>
      <c r="N84" s="4" t="n">
        <v>3</v>
      </c>
      <c r="O84" s="6" t="n">
        <f aca="false">IF(C84="롱",(J84-E84)/E84,(E84-J84)/E84)</f>
        <v>-0.0200211000815231</v>
      </c>
    </row>
    <row r="85" customFormat="false" ht="17.15" hidden="false" customHeight="false" outlineLevel="0" collapsed="false">
      <c r="A85" s="4" t="n">
        <v>4</v>
      </c>
      <c r="B85" s="4" t="s">
        <v>18</v>
      </c>
      <c r="C85" s="8" t="s">
        <v>72</v>
      </c>
      <c r="D85" s="21" t="n">
        <v>44286</v>
      </c>
      <c r="E85" s="22" t="n">
        <v>415.04</v>
      </c>
      <c r="F85" s="21" t="n">
        <v>44287</v>
      </c>
      <c r="G85" s="22" t="n">
        <v>416.99</v>
      </c>
      <c r="H85" s="22" t="n">
        <v>382.49</v>
      </c>
      <c r="I85" s="21" t="n">
        <v>44316</v>
      </c>
      <c r="J85" s="22" t="n">
        <v>422.36</v>
      </c>
      <c r="K85" s="21" t="n">
        <v>44319</v>
      </c>
      <c r="L85" s="22" t="n">
        <v>422.54</v>
      </c>
      <c r="M85" s="8" t="s">
        <v>73</v>
      </c>
      <c r="N85" s="4" t="n">
        <v>22</v>
      </c>
      <c r="O85" s="6" t="n">
        <f aca="false">IF(C85="롱",(J85-E85)/E85,(E85-J85)/E85)</f>
        <v>0.0176368542791056</v>
      </c>
    </row>
    <row r="86" customFormat="false" ht="17.15" hidden="false" customHeight="false" outlineLevel="0" collapsed="false">
      <c r="A86" s="4" t="n">
        <v>4</v>
      </c>
      <c r="B86" s="4" t="s">
        <v>18</v>
      </c>
      <c r="C86" s="8" t="s">
        <v>72</v>
      </c>
      <c r="D86" s="21" t="n">
        <v>44347</v>
      </c>
      <c r="E86" s="22" t="n">
        <v>427.91</v>
      </c>
      <c r="F86" s="21" t="n">
        <v>44348</v>
      </c>
      <c r="G86" s="22" t="n">
        <v>428.08</v>
      </c>
      <c r="H86" s="22" t="n">
        <v>399.22</v>
      </c>
      <c r="I86" s="21" t="n">
        <v>44386</v>
      </c>
      <c r="J86" s="22" t="n">
        <v>427.84</v>
      </c>
      <c r="K86" s="21" t="n">
        <v>44389</v>
      </c>
      <c r="L86" s="22" t="n">
        <v>429.33</v>
      </c>
      <c r="M86" s="8" t="s">
        <v>73</v>
      </c>
      <c r="N86" s="4" t="n">
        <v>29</v>
      </c>
      <c r="O86" s="6" t="n">
        <f aca="false">IF(C86="롱",(J86-E86)/E86,(E86-J86)/E86)</f>
        <v>-0.000163585800752612</v>
      </c>
    </row>
    <row r="87" customFormat="false" ht="17.15" hidden="false" customHeight="false" outlineLevel="0" collapsed="false">
      <c r="A87" s="4" t="n">
        <v>4</v>
      </c>
      <c r="B87" s="4" t="s">
        <v>18</v>
      </c>
      <c r="C87" s="8" t="s">
        <v>72</v>
      </c>
      <c r="D87" s="21" t="n">
        <v>44414</v>
      </c>
      <c r="E87" s="22" t="n">
        <v>433.29</v>
      </c>
      <c r="F87" s="21" t="n">
        <v>44417</v>
      </c>
      <c r="G87" s="22" t="n">
        <v>431.57</v>
      </c>
      <c r="H87" s="22" t="n">
        <v>411.4</v>
      </c>
      <c r="I87" s="21" t="n">
        <v>44420</v>
      </c>
      <c r="J87" s="22" t="n">
        <v>422.38</v>
      </c>
      <c r="K87" s="21" t="n">
        <v>44421</v>
      </c>
      <c r="L87" s="22" t="n">
        <v>421.38</v>
      </c>
      <c r="M87" s="8" t="s">
        <v>73</v>
      </c>
      <c r="N87" s="4" t="n">
        <v>4</v>
      </c>
      <c r="O87" s="6" t="n">
        <f aca="false">IF(C87="롱",(J87-E87)/E87,(E87-J87)/E87)</f>
        <v>-0.0251794410210252</v>
      </c>
    </row>
    <row r="88" customFormat="false" ht="17.15" hidden="false" customHeight="false" outlineLevel="0" collapsed="false">
      <c r="A88" s="4" t="n">
        <v>4</v>
      </c>
      <c r="B88" s="4" t="s">
        <v>18</v>
      </c>
      <c r="C88" s="8" t="s">
        <v>72</v>
      </c>
      <c r="D88" s="21" t="n">
        <v>44936</v>
      </c>
      <c r="E88" s="22" t="n">
        <v>309.57</v>
      </c>
      <c r="F88" s="21" t="n">
        <v>44937</v>
      </c>
      <c r="G88" s="22" t="n">
        <v>311.66</v>
      </c>
      <c r="H88" s="22" t="n">
        <v>284.92</v>
      </c>
      <c r="I88" s="21" t="n">
        <v>44977</v>
      </c>
      <c r="J88" s="22" t="n">
        <v>321.79</v>
      </c>
      <c r="K88" s="21" t="n">
        <v>44978</v>
      </c>
      <c r="L88" s="22" t="n">
        <v>322.16</v>
      </c>
      <c r="M88" s="8" t="s">
        <v>73</v>
      </c>
      <c r="N88" s="4" t="n">
        <v>27</v>
      </c>
      <c r="O88" s="6" t="n">
        <f aca="false">IF(C88="롱",(J88-E88)/E88,(E88-J88)/E88)</f>
        <v>0.0394741092483123</v>
      </c>
    </row>
    <row r="89" customFormat="false" ht="17.15" hidden="false" customHeight="false" outlineLevel="0" collapsed="false">
      <c r="A89" s="4" t="n">
        <v>4</v>
      </c>
      <c r="B89" s="4" t="s">
        <v>18</v>
      </c>
      <c r="C89" s="8" t="s">
        <v>72</v>
      </c>
      <c r="D89" s="21" t="n">
        <v>45013</v>
      </c>
      <c r="E89" s="22" t="n">
        <v>316.36</v>
      </c>
      <c r="F89" s="21" t="n">
        <v>45014</v>
      </c>
      <c r="G89" s="22" t="n">
        <v>315.68</v>
      </c>
      <c r="H89" s="22" t="n">
        <v>294.98</v>
      </c>
      <c r="I89" s="21" t="n">
        <v>45043</v>
      </c>
      <c r="J89" s="22" t="n">
        <v>325.09</v>
      </c>
      <c r="K89" s="21" t="n">
        <v>45044</v>
      </c>
      <c r="L89" s="22" t="n">
        <v>327.35</v>
      </c>
      <c r="M89" s="8" t="s">
        <v>73</v>
      </c>
      <c r="N89" s="4" t="n">
        <v>22</v>
      </c>
      <c r="O89" s="6" t="n">
        <f aca="false">IF(C89="롱",(J89-E89)/E89,(E89-J89)/E89)</f>
        <v>0.0275951447717789</v>
      </c>
    </row>
    <row r="90" customFormat="false" ht="17.15" hidden="false" customHeight="false" outlineLevel="0" collapsed="false">
      <c r="A90" s="4" t="n">
        <v>4</v>
      </c>
      <c r="B90" s="4" t="s">
        <v>18</v>
      </c>
      <c r="C90" s="8" t="s">
        <v>72</v>
      </c>
      <c r="D90" s="21" t="n">
        <v>45065</v>
      </c>
      <c r="E90" s="22" t="n">
        <v>334.23</v>
      </c>
      <c r="F90" s="21" t="n">
        <v>45068</v>
      </c>
      <c r="G90" s="22" t="n">
        <v>334.5</v>
      </c>
      <c r="H90" s="22" t="n">
        <v>317.6</v>
      </c>
      <c r="I90" s="21" t="n">
        <v>45100</v>
      </c>
      <c r="J90" s="22" t="n">
        <v>338.45</v>
      </c>
      <c r="K90" s="21" t="n">
        <v>45103</v>
      </c>
      <c r="L90" s="22" t="n">
        <v>338.38</v>
      </c>
      <c r="M90" s="8" t="s">
        <v>73</v>
      </c>
      <c r="N90" s="4" t="n">
        <v>23</v>
      </c>
      <c r="O90" s="6" t="n">
        <f aca="false">IF(C90="롱",(J90-E90)/E90,(E90-J90)/E90)</f>
        <v>0.0126260359632587</v>
      </c>
    </row>
    <row r="91" customFormat="false" ht="17.15" hidden="false" customHeight="false" outlineLevel="0" collapsed="false">
      <c r="A91" s="4" t="n">
        <v>4</v>
      </c>
      <c r="B91" s="4" t="s">
        <v>18</v>
      </c>
      <c r="C91" s="8" t="s">
        <v>72</v>
      </c>
      <c r="D91" s="21" t="n">
        <v>45124</v>
      </c>
      <c r="E91" s="22" t="n">
        <v>345.75</v>
      </c>
      <c r="F91" s="21" t="n">
        <v>45125</v>
      </c>
      <c r="G91" s="22" t="n">
        <v>346.49</v>
      </c>
      <c r="H91" s="22" t="n">
        <v>326.98</v>
      </c>
      <c r="I91" s="21" t="n">
        <v>45146</v>
      </c>
      <c r="J91" s="22" t="n">
        <v>337.95</v>
      </c>
      <c r="K91" s="21" t="n">
        <v>45147</v>
      </c>
      <c r="L91" s="22" t="n">
        <v>339</v>
      </c>
      <c r="M91" s="8" t="s">
        <v>73</v>
      </c>
      <c r="N91" s="4" t="n">
        <v>16</v>
      </c>
      <c r="O91" s="6" t="n">
        <f aca="false">IF(C91="롱",(J91-E91)/E91,(E91-J91)/E91)</f>
        <v>-0.0225596529284165</v>
      </c>
    </row>
    <row r="92" customFormat="false" ht="17.15" hidden="false" customHeight="false" outlineLevel="0" collapsed="false">
      <c r="A92" s="4" t="n">
        <v>4</v>
      </c>
      <c r="B92" s="4" t="s">
        <v>18</v>
      </c>
      <c r="C92" s="8" t="s">
        <v>72</v>
      </c>
      <c r="D92" s="21" t="n">
        <v>45173</v>
      </c>
      <c r="E92" s="22" t="n">
        <v>341.02</v>
      </c>
      <c r="F92" s="21" t="n">
        <v>45174</v>
      </c>
      <c r="G92" s="22" t="n">
        <v>340.15</v>
      </c>
      <c r="H92" s="22" t="n">
        <v>321.39</v>
      </c>
      <c r="I92" s="21" t="n">
        <v>45191</v>
      </c>
      <c r="J92" s="22" t="n">
        <v>332.02</v>
      </c>
      <c r="K92" s="21" t="n">
        <v>45194</v>
      </c>
      <c r="L92" s="22" t="n">
        <v>331.4</v>
      </c>
      <c r="M92" s="8" t="s">
        <v>73</v>
      </c>
      <c r="N92" s="4" t="n">
        <v>14</v>
      </c>
      <c r="O92" s="6" t="n">
        <f aca="false">IF(C92="롱",(J92-E92)/E92,(E92-J92)/E92)</f>
        <v>-0.0263914139933142</v>
      </c>
    </row>
    <row r="93" customFormat="false" ht="17.15" hidden="false" customHeight="false" outlineLevel="0" collapsed="false">
      <c r="A93" s="4" t="n">
        <v>4</v>
      </c>
      <c r="B93" s="4" t="s">
        <v>18</v>
      </c>
      <c r="C93" s="8" t="s">
        <v>72</v>
      </c>
      <c r="D93" s="21" t="n">
        <v>45323</v>
      </c>
      <c r="E93" s="22" t="n">
        <v>342.41</v>
      </c>
      <c r="F93" s="21" t="n">
        <v>45324</v>
      </c>
      <c r="G93" s="22" t="n">
        <v>345.1</v>
      </c>
      <c r="H93" s="22" t="n">
        <v>319.36</v>
      </c>
      <c r="I93" s="21" t="n">
        <v>45397</v>
      </c>
      <c r="J93" s="22" t="n">
        <v>365.31</v>
      </c>
      <c r="K93" s="21" t="n">
        <v>45398</v>
      </c>
      <c r="L93" s="22" t="n">
        <v>361.51</v>
      </c>
      <c r="M93" s="8" t="s">
        <v>73</v>
      </c>
      <c r="N93" s="4" t="n">
        <v>48</v>
      </c>
      <c r="O93" s="6" t="n">
        <f aca="false">IF(C93="롱",(J93-E93)/E93,(E93-J93)/E93)</f>
        <v>0.0668788878829473</v>
      </c>
    </row>
    <row r="94" customFormat="false" ht="17.15" hidden="false" customHeight="false" outlineLevel="0" collapsed="false">
      <c r="A94" s="4" t="n">
        <v>4</v>
      </c>
      <c r="B94" s="4" t="s">
        <v>18</v>
      </c>
      <c r="C94" s="8" t="s">
        <v>72</v>
      </c>
      <c r="D94" s="21" t="n">
        <v>45414</v>
      </c>
      <c r="E94" s="22" t="n">
        <v>364.31</v>
      </c>
      <c r="F94" s="21" t="n">
        <v>45415</v>
      </c>
      <c r="G94" s="22" t="n">
        <v>367.57</v>
      </c>
      <c r="H94" s="22" t="n">
        <v>334.98</v>
      </c>
      <c r="I94" s="21" t="n">
        <v>45441</v>
      </c>
      <c r="J94" s="22" t="n">
        <v>364.96</v>
      </c>
      <c r="K94" s="21" t="n">
        <v>45442</v>
      </c>
      <c r="L94" s="22" t="n">
        <v>363.33</v>
      </c>
      <c r="M94" s="8" t="s">
        <v>73</v>
      </c>
      <c r="N94" s="4" t="n">
        <v>17</v>
      </c>
      <c r="O94" s="6" t="n">
        <f aca="false">IF(C94="롱",(J94-E94)/E94,(E94-J94)/E94)</f>
        <v>0.00178419477917152</v>
      </c>
    </row>
    <row r="95" customFormat="false" ht="17.15" hidden="false" customHeight="false" outlineLevel="0" collapsed="false">
      <c r="A95" s="4" t="n">
        <v>4</v>
      </c>
      <c r="B95" s="4" t="s">
        <v>18</v>
      </c>
      <c r="C95" s="8" t="s">
        <v>72</v>
      </c>
      <c r="D95" s="21" t="n">
        <v>45455</v>
      </c>
      <c r="E95" s="22" t="n">
        <v>371.12</v>
      </c>
      <c r="F95" s="21" t="n">
        <v>45456</v>
      </c>
      <c r="G95" s="22" t="n">
        <v>376.93</v>
      </c>
      <c r="H95" s="22" t="n">
        <v>346.62</v>
      </c>
      <c r="I95" s="21" t="n">
        <v>45495</v>
      </c>
      <c r="J95" s="22" t="n">
        <v>379.84</v>
      </c>
      <c r="K95" s="21" t="n">
        <v>45496</v>
      </c>
      <c r="L95" s="22" t="n">
        <v>383.8</v>
      </c>
      <c r="M95" s="8" t="s">
        <v>73</v>
      </c>
      <c r="N95" s="4" t="n">
        <v>28</v>
      </c>
      <c r="O95" s="6" t="n">
        <f aca="false">IF(C95="롱",(J95-E95)/E95,(E95-J95)/E95)</f>
        <v>0.0234964431989652</v>
      </c>
    </row>
    <row r="96" customFormat="false" ht="17.15" hidden="false" customHeight="false" outlineLevel="0" collapsed="false">
      <c r="A96" s="4" t="n">
        <v>4</v>
      </c>
      <c r="B96" s="4" t="s">
        <v>18</v>
      </c>
      <c r="C96" s="8" t="s">
        <v>72</v>
      </c>
      <c r="D96" s="21" t="n">
        <v>45735</v>
      </c>
      <c r="E96" s="22" t="n">
        <v>350.85</v>
      </c>
      <c r="F96" s="21" t="n">
        <v>45736</v>
      </c>
      <c r="G96" s="22" t="n">
        <v>353.71</v>
      </c>
      <c r="H96" s="22" t="n">
        <v>323.96</v>
      </c>
      <c r="I96" s="21" t="n">
        <v>45748</v>
      </c>
      <c r="J96" s="22" t="n">
        <v>338.22</v>
      </c>
      <c r="K96" s="21" t="n">
        <v>45749</v>
      </c>
      <c r="L96" s="22" t="n">
        <v>338.76</v>
      </c>
      <c r="M96" s="8" t="s">
        <v>73</v>
      </c>
      <c r="N96" s="4" t="n">
        <v>9</v>
      </c>
      <c r="O96" s="6" t="n">
        <f aca="false">IF(C96="롱",(J96-E96)/E96,(E96-J96)/E96)</f>
        <v>-0.0359982898674647</v>
      </c>
    </row>
    <row r="97" customFormat="false" ht="17.15" hidden="false" customHeight="false" outlineLevel="0" collapsed="false">
      <c r="A97" s="4" t="n">
        <v>4</v>
      </c>
      <c r="B97" s="4" t="s">
        <v>18</v>
      </c>
      <c r="C97" s="8" t="s">
        <v>72</v>
      </c>
      <c r="D97" s="21" t="n">
        <v>45770</v>
      </c>
      <c r="E97" s="22" t="n">
        <v>333.94</v>
      </c>
      <c r="F97" s="21" t="n">
        <v>45771</v>
      </c>
      <c r="G97" s="22" t="n">
        <v>333.87</v>
      </c>
      <c r="H97" s="22" t="n">
        <v>300.55</v>
      </c>
      <c r="I97" s="21" t="n">
        <v>45875</v>
      </c>
      <c r="J97" s="22" t="n">
        <v>430.68</v>
      </c>
      <c r="K97" s="21" t="n">
        <v>45876</v>
      </c>
      <c r="L97" s="22" t="n">
        <v>433.4</v>
      </c>
      <c r="M97" s="8" t="s">
        <v>73</v>
      </c>
      <c r="N97" s="4" t="n">
        <v>70</v>
      </c>
      <c r="O97" s="6" t="n">
        <f aca="false">IF(C97="롱",(J97-E97)/E97,(E97-J97)/E97)</f>
        <v>0.289692759178296</v>
      </c>
    </row>
    <row r="98" customFormat="false" ht="17.15" hidden="false" customHeight="false" outlineLevel="0" collapsed="false">
      <c r="A98" s="4" t="n">
        <v>4</v>
      </c>
      <c r="B98" s="4" t="s">
        <v>18</v>
      </c>
      <c r="C98" s="8" t="s">
        <v>72</v>
      </c>
      <c r="D98" s="21" t="n">
        <v>45880</v>
      </c>
      <c r="E98" s="22" t="n">
        <v>433.29</v>
      </c>
      <c r="F98" s="21" t="n">
        <v>45881</v>
      </c>
      <c r="G98" s="22" t="n">
        <v>434.11</v>
      </c>
      <c r="H98" s="22" t="n">
        <v>399.38</v>
      </c>
      <c r="I98" s="21" t="n">
        <v>45889</v>
      </c>
      <c r="J98" s="22" t="n">
        <v>423.66</v>
      </c>
      <c r="K98" s="21" t="n">
        <v>45890</v>
      </c>
      <c r="L98" s="22" t="n">
        <v>425.12</v>
      </c>
      <c r="M98" s="8" t="s">
        <v>73</v>
      </c>
      <c r="N98" s="4" t="n">
        <v>6</v>
      </c>
      <c r="O98" s="6" t="n">
        <f aca="false">IF(C98="롱",(J98-E98)/E98,(E98-J98)/E98)</f>
        <v>-0.0222252994530222</v>
      </c>
    </row>
    <row r="99" customFormat="false" ht="17.15" hidden="false" customHeight="false" outlineLevel="0" collapsed="false">
      <c r="A99" s="4" t="n">
        <v>4</v>
      </c>
      <c r="B99" s="4" t="s">
        <v>18</v>
      </c>
      <c r="C99" s="8" t="s">
        <v>72</v>
      </c>
      <c r="D99" s="21" t="n">
        <v>45898</v>
      </c>
      <c r="E99" s="22" t="n">
        <v>430.12</v>
      </c>
      <c r="F99" s="21" t="n">
        <v>45901</v>
      </c>
      <c r="G99" s="22" t="n">
        <v>426.31</v>
      </c>
      <c r="H99" s="22" t="n">
        <v>398.59</v>
      </c>
      <c r="I99" s="21" t="n">
        <v>45901</v>
      </c>
      <c r="J99" s="22" t="n">
        <v>423.33</v>
      </c>
      <c r="K99" s="21" t="n">
        <v>45902</v>
      </c>
      <c r="L99" s="22" t="n">
        <v>424.98</v>
      </c>
      <c r="M99" s="8" t="s">
        <v>73</v>
      </c>
      <c r="N99" s="4" t="n">
        <v>1</v>
      </c>
      <c r="O99" s="6" t="n">
        <f aca="false">IF(C99="롱",(J99-E99)/E99,(E99-J99)/E99)</f>
        <v>-0.0157862921975263</v>
      </c>
    </row>
    <row r="100" customFormat="false" ht="17.15" hidden="false" customHeight="false" outlineLevel="0" collapsed="false">
      <c r="A100" s="4" t="n">
        <v>4</v>
      </c>
      <c r="B100" s="4" t="s">
        <v>18</v>
      </c>
      <c r="C100" s="8" t="s">
        <v>72</v>
      </c>
      <c r="D100" s="21" t="n">
        <v>45908</v>
      </c>
      <c r="E100" s="22" t="n">
        <v>434.85</v>
      </c>
      <c r="F100" s="21" t="n">
        <v>45909</v>
      </c>
      <c r="G100" s="22" t="n">
        <v>436.17</v>
      </c>
      <c r="H100" s="22" t="n">
        <v>408.98</v>
      </c>
      <c r="I100" s="21" t="n">
        <v>45980</v>
      </c>
      <c r="J100" s="22" t="n">
        <v>552.66</v>
      </c>
      <c r="K100" s="21" t="n">
        <v>45981</v>
      </c>
      <c r="L100" s="22" t="n">
        <v>569.22</v>
      </c>
      <c r="M100" s="8" t="s">
        <v>73</v>
      </c>
      <c r="N100" s="4" t="n">
        <v>48</v>
      </c>
      <c r="O100" s="6" t="n">
        <f aca="false">IF(C100="롱",(J100-E100)/E100,(E100-J100)/E100)</f>
        <v>0.270921007243877</v>
      </c>
    </row>
    <row r="101" customFormat="false" ht="17.15" hidden="false" customHeight="false" outlineLevel="0" collapsed="false">
      <c r="A101" s="4" t="n">
        <v>4</v>
      </c>
      <c r="B101" s="4" t="s">
        <v>18</v>
      </c>
      <c r="C101" s="8" t="s">
        <v>72</v>
      </c>
      <c r="D101" s="21" t="n">
        <v>45996</v>
      </c>
      <c r="E101" s="22" t="n">
        <v>580.81</v>
      </c>
      <c r="F101" s="21" t="n">
        <v>45999</v>
      </c>
      <c r="G101" s="22" t="n">
        <v>581.89</v>
      </c>
      <c r="H101" s="22" t="n">
        <v>522.73</v>
      </c>
      <c r="I101" s="21" t="n">
        <v>46090</v>
      </c>
      <c r="J101" s="22" t="n">
        <v>775.31</v>
      </c>
      <c r="K101" s="21" t="n">
        <v>46091</v>
      </c>
      <c r="L101" s="22" t="n">
        <v>820.11</v>
      </c>
      <c r="M101" s="8" t="s">
        <v>73</v>
      </c>
      <c r="N101" s="4" t="n">
        <v>59</v>
      </c>
      <c r="O101" s="6" t="n">
        <f aca="false">IF(C101="롱",(J101-E101)/E101,(E101-J101)/E101)</f>
        <v>0.334877154318968</v>
      </c>
    </row>
    <row r="102" customFormat="false" ht="17.15" hidden="false" customHeight="false" outlineLevel="0" collapsed="false">
      <c r="A102" s="4" t="n">
        <v>4</v>
      </c>
      <c r="B102" s="4" t="s">
        <v>18</v>
      </c>
      <c r="C102" s="8" t="s">
        <v>72</v>
      </c>
      <c r="D102" s="21" t="n">
        <v>46101</v>
      </c>
      <c r="E102" s="22" t="n">
        <v>862.5</v>
      </c>
      <c r="F102" s="21" t="n">
        <v>46104</v>
      </c>
      <c r="G102" s="22" t="n">
        <v>829.96</v>
      </c>
      <c r="H102" s="22" t="n">
        <v>776.25</v>
      </c>
      <c r="I102" s="21" t="n">
        <v>46106</v>
      </c>
      <c r="J102" s="22" t="n">
        <v>838.7</v>
      </c>
      <c r="K102" s="21" t="n">
        <v>46107</v>
      </c>
      <c r="L102" s="22" t="n">
        <v>829.6</v>
      </c>
      <c r="M102" s="8" t="s">
        <v>73</v>
      </c>
      <c r="N102" s="4" t="n">
        <v>3</v>
      </c>
      <c r="O102" s="6" t="n">
        <f aca="false">IF(C102="롱",(J102-E102)/E102,(E102-J102)/E102)</f>
        <v>-0.0275942028985507</v>
      </c>
    </row>
    <row r="103" customFormat="false" ht="17.15" hidden="false" customHeight="false" outlineLevel="0" collapsed="false">
      <c r="A103" s="4" t="n">
        <v>4</v>
      </c>
      <c r="B103" s="4" t="s">
        <v>18</v>
      </c>
      <c r="C103" s="8" t="s">
        <v>72</v>
      </c>
      <c r="D103" s="21" t="n">
        <v>46121</v>
      </c>
      <c r="E103" s="22" t="n">
        <v>865.75</v>
      </c>
      <c r="F103" s="21" t="n">
        <v>46122</v>
      </c>
      <c r="G103" s="22" t="n">
        <v>882.3</v>
      </c>
      <c r="H103" s="22" t="n">
        <v>779.18</v>
      </c>
      <c r="I103" s="21" t="n">
        <v>46184</v>
      </c>
      <c r="J103" s="22" t="n">
        <v>1231.54</v>
      </c>
      <c r="K103" s="21" t="n">
        <v>46185</v>
      </c>
      <c r="L103" s="22" t="n">
        <v>1317.78</v>
      </c>
      <c r="M103" s="8" t="s">
        <v>73</v>
      </c>
      <c r="N103" s="4" t="n">
        <v>41</v>
      </c>
      <c r="O103" s="6" t="n">
        <f aca="false">IF(C103="롱",(J103-E103)/E103,(E103-J103)/E103)</f>
        <v>0.422512272596015</v>
      </c>
    </row>
    <row r="104" customFormat="false" ht="17.15" hidden="false" customHeight="false" outlineLevel="0" collapsed="false">
      <c r="A104" s="4" t="n">
        <v>4</v>
      </c>
      <c r="B104" s="4" t="s">
        <v>18</v>
      </c>
      <c r="C104" s="8" t="s">
        <v>72</v>
      </c>
      <c r="D104" s="21" t="n">
        <v>46188</v>
      </c>
      <c r="E104" s="22" t="n">
        <v>1360.26</v>
      </c>
      <c r="F104" s="21" t="n">
        <v>46189</v>
      </c>
      <c r="G104" s="22" t="n">
        <v>1386.42</v>
      </c>
      <c r="H104" s="22" t="n">
        <v>1224.23</v>
      </c>
      <c r="I104" s="21" t="n">
        <v>46205</v>
      </c>
      <c r="J104" s="22" t="n">
        <v>1224.23</v>
      </c>
      <c r="K104" s="21" t="n">
        <v>46206</v>
      </c>
      <c r="L104" s="22" t="n">
        <v>1235.2</v>
      </c>
      <c r="M104" s="8" t="s">
        <v>75</v>
      </c>
      <c r="N104" s="4" t="n">
        <v>13</v>
      </c>
      <c r="O104" s="6" t="n">
        <f aca="false">IF(C104="롱",(J104-E104)/E104,(E104-J104)/E104)</f>
        <v>-0.100002940614294</v>
      </c>
    </row>
  </sheetData>
  <autoFilter ref="A4:O10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10" min="9" style="0" width="14"/>
    <col collapsed="false" customWidth="true" hidden="false" outlineLevel="0" max="11" min="11" style="0" width="16"/>
    <col collapsed="false" customWidth="true" hidden="false" outlineLevel="0" max="12" min="12" style="0" width="12"/>
    <col collapsed="false" customWidth="true" hidden="false" outlineLevel="0" max="13" min="13" style="0" width="16"/>
    <col collapsed="false" customWidth="true" hidden="false" outlineLevel="0" max="14" min="14" style="0" width="7"/>
    <col collapsed="false" customWidth="true" hidden="false" outlineLevel="0" max="15" min="15" style="0" width="16"/>
  </cols>
  <sheetData>
    <row r="1" customFormat="false" ht="19.4" hidden="false" customHeight="false" outlineLevel="0" collapsed="false">
      <c r="A1" s="1" t="s">
        <v>82</v>
      </c>
    </row>
    <row r="2" customFormat="false" ht="15" hidden="false" customHeight="false" outlineLevel="0" collapsed="false">
      <c r="A2" s="2" t="s">
        <v>58</v>
      </c>
    </row>
    <row r="4" customFormat="false" ht="31.5" hidden="false" customHeight="true" outlineLevel="0" collapsed="false">
      <c r="A4" s="19" t="s">
        <v>2</v>
      </c>
      <c r="B4" s="19" t="s">
        <v>3</v>
      </c>
      <c r="C4" s="19" t="s">
        <v>59</v>
      </c>
      <c r="D4" s="19" t="s">
        <v>60</v>
      </c>
      <c r="E4" s="19" t="s">
        <v>61</v>
      </c>
      <c r="F4" s="20" t="s">
        <v>62</v>
      </c>
      <c r="G4" s="19" t="s">
        <v>63</v>
      </c>
      <c r="H4" s="19" t="s">
        <v>64</v>
      </c>
      <c r="I4" s="19" t="s">
        <v>65</v>
      </c>
      <c r="J4" s="19" t="s">
        <v>66</v>
      </c>
      <c r="K4" s="20" t="s">
        <v>67</v>
      </c>
      <c r="L4" s="19" t="s">
        <v>68</v>
      </c>
      <c r="M4" s="19" t="s">
        <v>69</v>
      </c>
      <c r="N4" s="19" t="s">
        <v>70</v>
      </c>
      <c r="O4" s="19" t="s">
        <v>71</v>
      </c>
    </row>
    <row r="5" customFormat="false" ht="17.15" hidden="false" customHeight="false" outlineLevel="0" collapsed="false">
      <c r="A5" s="4" t="n">
        <v>5</v>
      </c>
      <c r="B5" s="4" t="s">
        <v>20</v>
      </c>
      <c r="C5" s="8" t="s">
        <v>72</v>
      </c>
      <c r="D5" s="21" t="n">
        <v>37888</v>
      </c>
      <c r="E5" s="22" t="n">
        <v>93.09</v>
      </c>
      <c r="F5" s="21" t="n">
        <v>37889</v>
      </c>
      <c r="G5" s="22" t="n">
        <v>90.84</v>
      </c>
      <c r="H5" s="22" t="n">
        <v>84.9</v>
      </c>
      <c r="I5" s="21" t="n">
        <v>37889</v>
      </c>
      <c r="J5" s="22" t="n">
        <v>91.66</v>
      </c>
      <c r="K5" s="21" t="n">
        <v>37890</v>
      </c>
      <c r="L5" s="22" t="n">
        <v>90.34</v>
      </c>
      <c r="M5" s="8" t="s">
        <v>73</v>
      </c>
      <c r="N5" s="4" t="n">
        <v>1</v>
      </c>
      <c r="O5" s="6" t="n">
        <f aca="false">IF(C5="롱",(J5-E5)/E5,(E5-J5)/E5)</f>
        <v>-0.015361478139435</v>
      </c>
    </row>
    <row r="6" customFormat="false" ht="17.15" hidden="false" customHeight="false" outlineLevel="0" collapsed="false">
      <c r="A6" s="4" t="n">
        <v>5</v>
      </c>
      <c r="B6" s="4" t="s">
        <v>20</v>
      </c>
      <c r="C6" s="8" t="s">
        <v>72</v>
      </c>
      <c r="D6" s="21" t="n">
        <v>37901</v>
      </c>
      <c r="E6" s="22" t="n">
        <v>93.65</v>
      </c>
      <c r="F6" s="21" t="n">
        <v>37902</v>
      </c>
      <c r="G6" s="22" t="n">
        <v>94.19</v>
      </c>
      <c r="H6" s="22" t="n">
        <v>84.29</v>
      </c>
      <c r="I6" s="21" t="n">
        <v>37902</v>
      </c>
      <c r="J6" s="22" t="n">
        <v>93.1</v>
      </c>
      <c r="K6" s="21" t="n">
        <v>37903</v>
      </c>
      <c r="L6" s="22" t="n">
        <v>93.16</v>
      </c>
      <c r="M6" s="8" t="s">
        <v>73</v>
      </c>
      <c r="N6" s="4" t="n">
        <v>1</v>
      </c>
      <c r="O6" s="6" t="n">
        <f aca="false">IF(C6="롱",(J6-E6)/E6,(E6-J6)/E6)</f>
        <v>-0.00587293112653509</v>
      </c>
    </row>
    <row r="7" customFormat="false" ht="17.15" hidden="false" customHeight="false" outlineLevel="0" collapsed="false">
      <c r="A7" s="4" t="n">
        <v>5</v>
      </c>
      <c r="B7" s="4" t="s">
        <v>20</v>
      </c>
      <c r="C7" s="8" t="s">
        <v>72</v>
      </c>
      <c r="D7" s="21" t="n">
        <v>37903</v>
      </c>
      <c r="E7" s="22" t="n">
        <v>94.99</v>
      </c>
      <c r="F7" s="21" t="n">
        <v>37904</v>
      </c>
      <c r="G7" s="22" t="n">
        <v>94.81</v>
      </c>
      <c r="H7" s="22" t="n">
        <v>85.49</v>
      </c>
      <c r="I7" s="21" t="n">
        <v>37949</v>
      </c>
      <c r="J7" s="22" t="n">
        <v>97.61</v>
      </c>
      <c r="K7" s="21" t="n">
        <v>37950</v>
      </c>
      <c r="L7" s="22" t="n">
        <v>99.6</v>
      </c>
      <c r="M7" s="8" t="s">
        <v>73</v>
      </c>
      <c r="N7" s="4" t="n">
        <v>32</v>
      </c>
      <c r="O7" s="6" t="n">
        <f aca="false">IF(C7="롱",(J7-E7)/E7,(E7-J7)/E7)</f>
        <v>0.0275818507211286</v>
      </c>
    </row>
    <row r="8" customFormat="false" ht="17.15" hidden="false" customHeight="false" outlineLevel="0" collapsed="false">
      <c r="A8" s="4" t="n">
        <v>5</v>
      </c>
      <c r="B8" s="4" t="s">
        <v>20</v>
      </c>
      <c r="C8" s="8" t="s">
        <v>72</v>
      </c>
      <c r="D8" s="21" t="n">
        <v>37950</v>
      </c>
      <c r="E8" s="22" t="n">
        <v>99.71</v>
      </c>
      <c r="F8" s="21" t="n">
        <v>37951</v>
      </c>
      <c r="G8" s="22" t="n">
        <v>99.95</v>
      </c>
      <c r="H8" s="22" t="n">
        <v>89.74</v>
      </c>
      <c r="I8" s="21" t="n">
        <v>38106</v>
      </c>
      <c r="J8" s="22" t="n">
        <v>114.01</v>
      </c>
      <c r="K8" s="21" t="n">
        <v>38107</v>
      </c>
      <c r="L8" s="22" t="n">
        <v>113.05</v>
      </c>
      <c r="M8" s="8" t="s">
        <v>73</v>
      </c>
      <c r="N8" s="4" t="n">
        <v>103</v>
      </c>
      <c r="O8" s="6" t="n">
        <f aca="false">IF(C8="롱",(J8-E8)/E8,(E8-J8)/E8)</f>
        <v>0.143415906127771</v>
      </c>
    </row>
    <row r="9" customFormat="false" ht="17.15" hidden="false" customHeight="false" outlineLevel="0" collapsed="false">
      <c r="A9" s="4" t="n">
        <v>5</v>
      </c>
      <c r="B9" s="4" t="s">
        <v>20</v>
      </c>
      <c r="C9" s="8" t="s">
        <v>72</v>
      </c>
      <c r="D9" s="21" t="n">
        <v>38286</v>
      </c>
      <c r="E9" s="22" t="n">
        <v>104.98</v>
      </c>
      <c r="F9" s="21" t="n">
        <v>38287</v>
      </c>
      <c r="G9" s="22" t="n">
        <v>105.98</v>
      </c>
      <c r="H9" s="22" t="n">
        <v>94.48</v>
      </c>
      <c r="I9" s="21" t="n">
        <v>38287</v>
      </c>
      <c r="J9" s="22" t="n">
        <v>104.63</v>
      </c>
      <c r="K9" s="21" t="n">
        <v>38288</v>
      </c>
      <c r="L9" s="22" t="n">
        <v>106.81</v>
      </c>
      <c r="M9" s="8" t="s">
        <v>73</v>
      </c>
      <c r="N9" s="4" t="n">
        <v>1</v>
      </c>
      <c r="O9" s="6" t="n">
        <f aca="false">IF(C9="롱",(J9-E9)/E9,(E9-J9)/E9)</f>
        <v>-0.00333396837492864</v>
      </c>
    </row>
    <row r="10" customFormat="false" ht="17.15" hidden="false" customHeight="false" outlineLevel="0" collapsed="false">
      <c r="A10" s="4" t="n">
        <v>5</v>
      </c>
      <c r="B10" s="4" t="s">
        <v>20</v>
      </c>
      <c r="C10" s="8" t="s">
        <v>72</v>
      </c>
      <c r="D10" s="21" t="n">
        <v>38288</v>
      </c>
      <c r="E10" s="22" t="n">
        <v>107.77</v>
      </c>
      <c r="F10" s="21" t="n">
        <v>38289</v>
      </c>
      <c r="G10" s="22" t="n">
        <v>106.82</v>
      </c>
      <c r="H10" s="22" t="n">
        <v>96.99</v>
      </c>
      <c r="I10" s="21" t="n">
        <v>38331</v>
      </c>
      <c r="J10" s="22" t="n">
        <v>108.57</v>
      </c>
      <c r="K10" s="21" t="n">
        <v>38334</v>
      </c>
      <c r="L10" s="22" t="n">
        <v>108.09</v>
      </c>
      <c r="M10" s="8" t="s">
        <v>73</v>
      </c>
      <c r="N10" s="4" t="n">
        <v>31</v>
      </c>
      <c r="O10" s="6" t="n">
        <f aca="false">IF(C10="롱",(J10-E10)/E10,(E10-J10)/E10)</f>
        <v>0.00742321610837893</v>
      </c>
    </row>
    <row r="11" customFormat="false" ht="17.15" hidden="false" customHeight="false" outlineLevel="0" collapsed="false">
      <c r="A11" s="4" t="n">
        <v>5</v>
      </c>
      <c r="B11" s="4" t="s">
        <v>20</v>
      </c>
      <c r="C11" s="8" t="s">
        <v>72</v>
      </c>
      <c r="D11" s="21" t="n">
        <v>38336</v>
      </c>
      <c r="E11" s="22" t="n">
        <v>111.87</v>
      </c>
      <c r="F11" s="21" t="n">
        <v>38337</v>
      </c>
      <c r="G11" s="22" t="n">
        <v>112.04</v>
      </c>
      <c r="H11" s="22" t="n">
        <v>101.25</v>
      </c>
      <c r="I11" s="21" t="n">
        <v>38456</v>
      </c>
      <c r="J11" s="22" t="n">
        <v>123.29</v>
      </c>
      <c r="K11" s="21" t="n">
        <v>38457</v>
      </c>
      <c r="L11" s="22" t="n">
        <v>123.49</v>
      </c>
      <c r="M11" s="8" t="s">
        <v>73</v>
      </c>
      <c r="N11" s="4" t="n">
        <v>80</v>
      </c>
      <c r="O11" s="6" t="n">
        <f aca="false">IF(C11="롱",(J11-E11)/E11,(E11-J11)/E11)</f>
        <v>0.102082774649146</v>
      </c>
    </row>
    <row r="12" customFormat="false" ht="17.15" hidden="false" customHeight="false" outlineLevel="0" collapsed="false">
      <c r="A12" s="4" t="n">
        <v>5</v>
      </c>
      <c r="B12" s="4" t="s">
        <v>20</v>
      </c>
      <c r="C12" s="8" t="s">
        <v>72</v>
      </c>
      <c r="D12" s="21" t="n">
        <v>38657</v>
      </c>
      <c r="E12" s="22" t="n">
        <v>152.98</v>
      </c>
      <c r="F12" s="21" t="n">
        <v>38658</v>
      </c>
      <c r="G12" s="22" t="n">
        <v>153.8</v>
      </c>
      <c r="H12" s="22" t="n">
        <v>137.68</v>
      </c>
      <c r="I12" s="21" t="n">
        <v>38740</v>
      </c>
      <c r="J12" s="22" t="n">
        <v>168.04</v>
      </c>
      <c r="K12" s="21" t="n">
        <v>38741</v>
      </c>
      <c r="L12" s="22" t="n">
        <v>169.39</v>
      </c>
      <c r="M12" s="8" t="s">
        <v>73</v>
      </c>
      <c r="N12" s="4" t="n">
        <v>58</v>
      </c>
      <c r="O12" s="6" t="n">
        <f aca="false">IF(C12="롱",(J12-E12)/E12,(E12-J12)/E12)</f>
        <v>0.098444241077265</v>
      </c>
    </row>
    <row r="13" customFormat="false" ht="17.15" hidden="false" customHeight="false" outlineLevel="0" collapsed="false">
      <c r="A13" s="4" t="n">
        <v>5</v>
      </c>
      <c r="B13" s="4" t="s">
        <v>20</v>
      </c>
      <c r="C13" s="8" t="s">
        <v>72</v>
      </c>
      <c r="D13" s="21" t="n">
        <v>38741</v>
      </c>
      <c r="E13" s="22" t="n">
        <v>171.79</v>
      </c>
      <c r="F13" s="21" t="n">
        <v>38742</v>
      </c>
      <c r="G13" s="22" t="n">
        <v>173.56</v>
      </c>
      <c r="H13" s="22" t="n">
        <v>155.66</v>
      </c>
      <c r="I13" s="21" t="n">
        <v>38756</v>
      </c>
      <c r="J13" s="22" t="n">
        <v>169.44</v>
      </c>
      <c r="K13" s="21" t="n">
        <v>38757</v>
      </c>
      <c r="L13" s="22" t="n">
        <v>171.5</v>
      </c>
      <c r="M13" s="8" t="s">
        <v>73</v>
      </c>
      <c r="N13" s="4" t="n">
        <v>10</v>
      </c>
      <c r="O13" s="6" t="n">
        <f aca="false">IF(C13="롱",(J13-E13)/E13,(E13-J13)/E13)</f>
        <v>-0.0136794924035159</v>
      </c>
    </row>
    <row r="14" customFormat="false" ht="17.15" hidden="false" customHeight="false" outlineLevel="0" collapsed="false">
      <c r="A14" s="4" t="n">
        <v>5</v>
      </c>
      <c r="B14" s="4" t="s">
        <v>20</v>
      </c>
      <c r="C14" s="8" t="s">
        <v>72</v>
      </c>
      <c r="D14" s="21" t="n">
        <v>38758</v>
      </c>
      <c r="E14" s="22" t="n">
        <v>172.68</v>
      </c>
      <c r="F14" s="21" t="n">
        <v>38761</v>
      </c>
      <c r="G14" s="22" t="n">
        <v>173.15</v>
      </c>
      <c r="H14" s="22" t="n">
        <v>155.41</v>
      </c>
      <c r="I14" s="21" t="n">
        <v>38761</v>
      </c>
      <c r="J14" s="22" t="n">
        <v>170.61</v>
      </c>
      <c r="K14" s="21" t="n">
        <v>38762</v>
      </c>
      <c r="L14" s="22" t="n">
        <v>169.89</v>
      </c>
      <c r="M14" s="8" t="s">
        <v>73</v>
      </c>
      <c r="N14" s="4" t="n">
        <v>1</v>
      </c>
      <c r="O14" s="6" t="n">
        <f aca="false">IF(C14="롱",(J14-E14)/E14,(E14-J14)/E14)</f>
        <v>-0.0119874913134121</v>
      </c>
    </row>
    <row r="15" customFormat="false" ht="17.15" hidden="false" customHeight="false" outlineLevel="0" collapsed="false">
      <c r="A15" s="4" t="n">
        <v>5</v>
      </c>
      <c r="B15" s="4" t="s">
        <v>20</v>
      </c>
      <c r="C15" s="8" t="s">
        <v>72</v>
      </c>
      <c r="D15" s="21" t="n">
        <v>38768</v>
      </c>
      <c r="E15" s="22" t="n">
        <v>174.28</v>
      </c>
      <c r="F15" s="21" t="n">
        <v>38769</v>
      </c>
      <c r="G15" s="22" t="n">
        <v>174.56</v>
      </c>
      <c r="H15" s="22" t="n">
        <v>156.85</v>
      </c>
      <c r="I15" s="21" t="n">
        <v>38770</v>
      </c>
      <c r="J15" s="22" t="n">
        <v>173.26</v>
      </c>
      <c r="K15" s="21" t="n">
        <v>38771</v>
      </c>
      <c r="L15" s="22" t="n">
        <v>174.29</v>
      </c>
      <c r="M15" s="8" t="s">
        <v>73</v>
      </c>
      <c r="N15" s="4" t="n">
        <v>2</v>
      </c>
      <c r="O15" s="6" t="n">
        <f aca="false">IF(C15="롱",(J15-E15)/E15,(E15-J15)/E15)</f>
        <v>-0.00585265090658716</v>
      </c>
    </row>
    <row r="16" customFormat="false" ht="17.15" hidden="false" customHeight="false" outlineLevel="0" collapsed="false">
      <c r="A16" s="4" t="n">
        <v>5</v>
      </c>
      <c r="B16" s="4" t="s">
        <v>20</v>
      </c>
      <c r="C16" s="8" t="s">
        <v>72</v>
      </c>
      <c r="D16" s="21" t="n">
        <v>38771</v>
      </c>
      <c r="E16" s="22" t="n">
        <v>176.18</v>
      </c>
      <c r="F16" s="21" t="n">
        <v>38772</v>
      </c>
      <c r="G16" s="22" t="n">
        <v>176.61</v>
      </c>
      <c r="H16" s="22" t="n">
        <v>158.56</v>
      </c>
      <c r="I16" s="21" t="n">
        <v>38779</v>
      </c>
      <c r="J16" s="22" t="n">
        <v>171.67</v>
      </c>
      <c r="K16" s="21" t="n">
        <v>38782</v>
      </c>
      <c r="L16" s="22" t="n">
        <v>172.23</v>
      </c>
      <c r="M16" s="8" t="s">
        <v>73</v>
      </c>
      <c r="N16" s="4" t="n">
        <v>5</v>
      </c>
      <c r="O16" s="6" t="n">
        <f aca="false">IF(C16="롱",(J16-E16)/E16,(E16-J16)/E16)</f>
        <v>-0.0255988193892611</v>
      </c>
    </row>
    <row r="17" customFormat="false" ht="17.15" hidden="false" customHeight="false" outlineLevel="0" collapsed="false">
      <c r="A17" s="4" t="n">
        <v>5</v>
      </c>
      <c r="B17" s="4" t="s">
        <v>20</v>
      </c>
      <c r="C17" s="8" t="s">
        <v>72</v>
      </c>
      <c r="D17" s="21" t="n">
        <v>39065</v>
      </c>
      <c r="E17" s="22" t="n">
        <v>183.57</v>
      </c>
      <c r="F17" s="21" t="n">
        <v>39066</v>
      </c>
      <c r="G17" s="22" t="n">
        <v>183.51</v>
      </c>
      <c r="H17" s="22" t="n">
        <v>173.71</v>
      </c>
      <c r="I17" s="21" t="n">
        <v>39086</v>
      </c>
      <c r="J17" s="22" t="n">
        <v>180.52</v>
      </c>
      <c r="K17" s="21" t="n">
        <v>39087</v>
      </c>
      <c r="L17" s="22" t="n">
        <v>180.71</v>
      </c>
      <c r="M17" s="8" t="s">
        <v>73</v>
      </c>
      <c r="N17" s="4" t="n">
        <v>12</v>
      </c>
      <c r="O17" s="6" t="n">
        <f aca="false">IF(C17="롱",(J17-E17)/E17,(E17-J17)/E17)</f>
        <v>-0.0166149152911695</v>
      </c>
    </row>
    <row r="18" customFormat="false" ht="17.15" hidden="false" customHeight="false" outlineLevel="0" collapsed="false">
      <c r="A18" s="4" t="n">
        <v>5</v>
      </c>
      <c r="B18" s="4" t="s">
        <v>20</v>
      </c>
      <c r="C18" s="8" t="s">
        <v>72</v>
      </c>
      <c r="D18" s="21" t="n">
        <v>39115</v>
      </c>
      <c r="E18" s="22" t="n">
        <v>183.2</v>
      </c>
      <c r="F18" s="21" t="n">
        <v>39118</v>
      </c>
      <c r="G18" s="22" t="n">
        <v>183.21</v>
      </c>
      <c r="H18" s="22" t="n">
        <v>170.66</v>
      </c>
      <c r="I18" s="21" t="n">
        <v>39146</v>
      </c>
      <c r="J18" s="22" t="n">
        <v>177.69</v>
      </c>
      <c r="K18" s="21" t="n">
        <v>39147</v>
      </c>
      <c r="L18" s="22" t="n">
        <v>178.66</v>
      </c>
      <c r="M18" s="8" t="s">
        <v>73</v>
      </c>
      <c r="N18" s="4" t="n">
        <v>19</v>
      </c>
      <c r="O18" s="6" t="n">
        <f aca="false">IF(C18="롱",(J18-E18)/E18,(E18-J18)/E18)</f>
        <v>-0.0300764192139738</v>
      </c>
    </row>
    <row r="19" customFormat="false" ht="17.15" hidden="false" customHeight="false" outlineLevel="0" collapsed="false">
      <c r="A19" s="4" t="n">
        <v>5</v>
      </c>
      <c r="B19" s="4" t="s">
        <v>20</v>
      </c>
      <c r="C19" s="8" t="s">
        <v>72</v>
      </c>
      <c r="D19" s="21" t="n">
        <v>39148</v>
      </c>
      <c r="E19" s="22" t="n">
        <v>182.36</v>
      </c>
      <c r="F19" s="21" t="n">
        <v>39149</v>
      </c>
      <c r="G19" s="22" t="n">
        <v>182.07</v>
      </c>
      <c r="H19" s="22" t="n">
        <v>169.57</v>
      </c>
      <c r="I19" s="21" t="n">
        <v>39155</v>
      </c>
      <c r="J19" s="22" t="n">
        <v>181.81</v>
      </c>
      <c r="K19" s="21" t="n">
        <v>39156</v>
      </c>
      <c r="L19" s="22" t="n">
        <v>183.35</v>
      </c>
      <c r="M19" s="8" t="s">
        <v>73</v>
      </c>
      <c r="N19" s="4" t="n">
        <v>5</v>
      </c>
      <c r="O19" s="6" t="n">
        <f aca="false">IF(C19="롱",(J19-E19)/E19,(E19-J19)/E19)</f>
        <v>-0.00301601228339554</v>
      </c>
    </row>
    <row r="20" customFormat="false" ht="17.15" hidden="false" customHeight="false" outlineLevel="0" collapsed="false">
      <c r="A20" s="4" t="n">
        <v>5</v>
      </c>
      <c r="B20" s="4" t="s">
        <v>20</v>
      </c>
      <c r="C20" s="8" t="s">
        <v>72</v>
      </c>
      <c r="D20" s="21" t="n">
        <v>39156</v>
      </c>
      <c r="E20" s="22" t="n">
        <v>184.41</v>
      </c>
      <c r="F20" s="21" t="n">
        <v>39157</v>
      </c>
      <c r="G20" s="22" t="n">
        <v>184.59</v>
      </c>
      <c r="H20" s="22" t="n">
        <v>170.52</v>
      </c>
      <c r="I20" s="21" t="n">
        <v>39310</v>
      </c>
      <c r="J20" s="22" t="n">
        <v>215.67</v>
      </c>
      <c r="K20" s="21" t="n">
        <v>39311</v>
      </c>
      <c r="L20" s="22" t="n">
        <v>217.05</v>
      </c>
      <c r="M20" s="8" t="s">
        <v>73</v>
      </c>
      <c r="N20" s="4" t="n">
        <v>105</v>
      </c>
      <c r="O20" s="6" t="n">
        <f aca="false">IF(C20="롱",(J20-E20)/E20,(E20-J20)/E20)</f>
        <v>0.169513583862046</v>
      </c>
    </row>
    <row r="21" customFormat="false" ht="17.15" hidden="false" customHeight="false" outlineLevel="0" collapsed="false">
      <c r="A21" s="4" t="n">
        <v>5</v>
      </c>
      <c r="B21" s="4" t="s">
        <v>20</v>
      </c>
      <c r="C21" s="8" t="s">
        <v>72</v>
      </c>
      <c r="D21" s="21" t="n">
        <v>39322</v>
      </c>
      <c r="E21" s="22" t="n">
        <v>232.38</v>
      </c>
      <c r="F21" s="21" t="n">
        <v>39323</v>
      </c>
      <c r="G21" s="22" t="n">
        <v>225.41</v>
      </c>
      <c r="H21" s="22" t="n">
        <v>209.14</v>
      </c>
      <c r="I21" s="21" t="n">
        <v>39335</v>
      </c>
      <c r="J21" s="22" t="n">
        <v>232.44</v>
      </c>
      <c r="K21" s="21" t="n">
        <v>39336</v>
      </c>
      <c r="L21" s="22" t="n">
        <v>233.42</v>
      </c>
      <c r="M21" s="8" t="s">
        <v>73</v>
      </c>
      <c r="N21" s="4" t="n">
        <v>9</v>
      </c>
      <c r="O21" s="6" t="n">
        <f aca="false">IF(C21="롱",(J21-E21)/E21,(E21-J21)/E21)</f>
        <v>0.000258197779499106</v>
      </c>
    </row>
    <row r="22" customFormat="false" ht="17.15" hidden="false" customHeight="false" outlineLevel="0" collapsed="false">
      <c r="A22" s="4" t="n">
        <v>5</v>
      </c>
      <c r="B22" s="4" t="s">
        <v>20</v>
      </c>
      <c r="C22" s="8" t="s">
        <v>72</v>
      </c>
      <c r="D22" s="21" t="n">
        <v>39336</v>
      </c>
      <c r="E22" s="22" t="n">
        <v>234.12</v>
      </c>
      <c r="F22" s="21" t="n">
        <v>39337</v>
      </c>
      <c r="G22" s="22" t="n">
        <v>234.76</v>
      </c>
      <c r="H22" s="22" t="n">
        <v>210.71</v>
      </c>
      <c r="I22" s="21" t="n">
        <v>39337</v>
      </c>
      <c r="J22" s="22" t="n">
        <v>229.44</v>
      </c>
      <c r="K22" s="21" t="n">
        <v>39338</v>
      </c>
      <c r="L22" s="22" t="n">
        <v>230.02</v>
      </c>
      <c r="M22" s="8" t="s">
        <v>73</v>
      </c>
      <c r="N22" s="4" t="n">
        <v>1</v>
      </c>
      <c r="O22" s="6" t="n">
        <f aca="false">IF(C22="롱",(J22-E22)/E22,(E22-J22)/E22)</f>
        <v>-0.0199897488467453</v>
      </c>
    </row>
    <row r="23" customFormat="false" ht="17.15" hidden="false" customHeight="false" outlineLevel="0" collapsed="false">
      <c r="A23" s="4" t="n">
        <v>5</v>
      </c>
      <c r="B23" s="4" t="s">
        <v>20</v>
      </c>
      <c r="C23" s="8" t="s">
        <v>72</v>
      </c>
      <c r="D23" s="21" t="n">
        <v>39339</v>
      </c>
      <c r="E23" s="22" t="n">
        <v>236.54</v>
      </c>
      <c r="F23" s="21" t="n">
        <v>39342</v>
      </c>
      <c r="G23" s="22" t="n">
        <v>236.82</v>
      </c>
      <c r="H23" s="22" t="n">
        <v>212.89</v>
      </c>
      <c r="I23" s="21" t="n">
        <v>39343</v>
      </c>
      <c r="J23" s="22" t="n">
        <v>232.42</v>
      </c>
      <c r="K23" s="21" t="n">
        <v>39344</v>
      </c>
      <c r="L23" s="22" t="n">
        <v>239.51</v>
      </c>
      <c r="M23" s="8" t="s">
        <v>73</v>
      </c>
      <c r="N23" s="4" t="n">
        <v>2</v>
      </c>
      <c r="O23" s="6" t="n">
        <f aca="false">IF(C23="롱",(J23-E23)/E23,(E23-J23)/E23)</f>
        <v>-0.0174177728925341</v>
      </c>
    </row>
    <row r="24" customFormat="false" ht="17.15" hidden="false" customHeight="false" outlineLevel="0" collapsed="false">
      <c r="A24" s="4" t="n">
        <v>5</v>
      </c>
      <c r="B24" s="4" t="s">
        <v>20</v>
      </c>
      <c r="C24" s="8" t="s">
        <v>72</v>
      </c>
      <c r="D24" s="21" t="n">
        <v>39344</v>
      </c>
      <c r="E24" s="22" t="n">
        <v>241.08</v>
      </c>
      <c r="F24" s="21" t="n">
        <v>39345</v>
      </c>
      <c r="G24" s="22" t="n">
        <v>241.04</v>
      </c>
      <c r="H24" s="22" t="n">
        <v>216.97</v>
      </c>
      <c r="I24" s="21" t="n">
        <v>39377</v>
      </c>
      <c r="J24" s="22" t="n">
        <v>239.94</v>
      </c>
      <c r="K24" s="21" t="n">
        <v>39378</v>
      </c>
      <c r="L24" s="22" t="n">
        <v>243.9</v>
      </c>
      <c r="M24" s="8" t="s">
        <v>73</v>
      </c>
      <c r="N24" s="4" t="n">
        <v>19</v>
      </c>
      <c r="O24" s="6" t="n">
        <f aca="false">IF(C24="롱",(J24-E24)/E24,(E24-J24)/E24)</f>
        <v>-0.00472872075659538</v>
      </c>
    </row>
    <row r="25" customFormat="false" ht="17.15" hidden="false" customHeight="false" outlineLevel="0" collapsed="false">
      <c r="A25" s="4" t="n">
        <v>5</v>
      </c>
      <c r="B25" s="4" t="s">
        <v>20</v>
      </c>
      <c r="C25" s="8" t="s">
        <v>72</v>
      </c>
      <c r="D25" s="21" t="n">
        <v>39378</v>
      </c>
      <c r="E25" s="22" t="n">
        <v>244.9</v>
      </c>
      <c r="F25" s="21" t="n">
        <v>39379</v>
      </c>
      <c r="G25" s="22" t="n">
        <v>247.03</v>
      </c>
      <c r="H25" s="22" t="n">
        <v>221.54</v>
      </c>
      <c r="I25" s="21" t="n">
        <v>39402</v>
      </c>
      <c r="J25" s="22" t="n">
        <v>244.13</v>
      </c>
      <c r="K25" s="21" t="n">
        <v>39405</v>
      </c>
      <c r="L25" s="22" t="n">
        <v>245.42</v>
      </c>
      <c r="M25" s="8" t="s">
        <v>73</v>
      </c>
      <c r="N25" s="4" t="n">
        <v>18</v>
      </c>
      <c r="O25" s="6" t="n">
        <f aca="false">IF(C25="롱",(J25-E25)/E25,(E25-J25)/E25)</f>
        <v>-0.00314414046549616</v>
      </c>
    </row>
    <row r="26" customFormat="false" ht="17.15" hidden="false" customHeight="false" outlineLevel="0" collapsed="false">
      <c r="A26" s="4" t="n">
        <v>5</v>
      </c>
      <c r="B26" s="4" t="s">
        <v>20</v>
      </c>
      <c r="C26" s="8" t="s">
        <v>72</v>
      </c>
      <c r="D26" s="21" t="n">
        <v>39421</v>
      </c>
      <c r="E26" s="22" t="n">
        <v>247.03</v>
      </c>
      <c r="F26" s="21" t="n">
        <v>39422</v>
      </c>
      <c r="G26" s="22" t="n">
        <v>250.8</v>
      </c>
      <c r="H26" s="22" t="n">
        <v>222.33</v>
      </c>
      <c r="I26" s="21" t="n">
        <v>39426</v>
      </c>
      <c r="J26" s="22" t="n">
        <v>244.25</v>
      </c>
      <c r="K26" s="21" t="n">
        <v>39427</v>
      </c>
      <c r="L26" s="22" t="n">
        <v>246.22</v>
      </c>
      <c r="M26" s="8" t="s">
        <v>73</v>
      </c>
      <c r="N26" s="4" t="n">
        <v>3</v>
      </c>
      <c r="O26" s="6" t="n">
        <f aca="false">IF(C26="롱",(J26-E26)/E26,(E26-J26)/E26)</f>
        <v>-0.011253693883334</v>
      </c>
    </row>
    <row r="27" customFormat="false" ht="17.15" hidden="false" customHeight="false" outlineLevel="0" collapsed="false">
      <c r="A27" s="4" t="n">
        <v>5</v>
      </c>
      <c r="B27" s="4" t="s">
        <v>20</v>
      </c>
      <c r="C27" s="8" t="s">
        <v>72</v>
      </c>
      <c r="D27" s="21" t="n">
        <v>39427</v>
      </c>
      <c r="E27" s="22" t="n">
        <v>246.85</v>
      </c>
      <c r="F27" s="21" t="n">
        <v>39428</v>
      </c>
      <c r="G27" s="22" t="n">
        <v>241.93</v>
      </c>
      <c r="H27" s="22" t="n">
        <v>222.16</v>
      </c>
      <c r="I27" s="21" t="n">
        <v>39429</v>
      </c>
      <c r="J27" s="22" t="n">
        <v>245.21</v>
      </c>
      <c r="K27" s="21" t="n">
        <v>39430</v>
      </c>
      <c r="L27" s="22" t="n">
        <v>244.51</v>
      </c>
      <c r="M27" s="8" t="s">
        <v>73</v>
      </c>
      <c r="N27" s="4" t="n">
        <v>2</v>
      </c>
      <c r="O27" s="6" t="n">
        <f aca="false">IF(C27="롱",(J27-E27)/E27,(E27-J27)/E27)</f>
        <v>-0.00664371075551949</v>
      </c>
    </row>
    <row r="28" customFormat="false" ht="17.15" hidden="false" customHeight="false" outlineLevel="0" collapsed="false">
      <c r="A28" s="4" t="n">
        <v>5</v>
      </c>
      <c r="B28" s="4" t="s">
        <v>20</v>
      </c>
      <c r="C28" s="8" t="s">
        <v>72</v>
      </c>
      <c r="D28" s="21" t="n">
        <v>39988</v>
      </c>
      <c r="E28" s="22" t="n">
        <v>175.08</v>
      </c>
      <c r="F28" s="21" t="n">
        <v>39989</v>
      </c>
      <c r="G28" s="22" t="n">
        <v>175.5</v>
      </c>
      <c r="H28" s="22" t="n">
        <v>157.57</v>
      </c>
      <c r="I28" s="21" t="n">
        <v>40007</v>
      </c>
      <c r="J28" s="22" t="n">
        <v>178.15</v>
      </c>
      <c r="K28" s="21" t="n">
        <v>40008</v>
      </c>
      <c r="L28" s="22" t="n">
        <v>181.13</v>
      </c>
      <c r="M28" s="8" t="s">
        <v>73</v>
      </c>
      <c r="N28" s="4" t="n">
        <v>13</v>
      </c>
      <c r="O28" s="6" t="n">
        <f aca="false">IF(C28="롱",(J28-E28)/E28,(E28-J28)/E28)</f>
        <v>0.0175348412154443</v>
      </c>
    </row>
    <row r="29" customFormat="false" ht="17.15" hidden="false" customHeight="false" outlineLevel="0" collapsed="false">
      <c r="A29" s="4" t="n">
        <v>5</v>
      </c>
      <c r="B29" s="4" t="s">
        <v>20</v>
      </c>
      <c r="C29" s="8" t="s">
        <v>72</v>
      </c>
      <c r="D29" s="21" t="n">
        <v>40008</v>
      </c>
      <c r="E29" s="22" t="n">
        <v>179.43</v>
      </c>
      <c r="F29" s="21" t="n">
        <v>40009</v>
      </c>
      <c r="G29" s="22" t="n">
        <v>181.94</v>
      </c>
      <c r="H29" s="22" t="n">
        <v>163.08</v>
      </c>
      <c r="I29" s="21" t="n">
        <v>40114</v>
      </c>
      <c r="J29" s="22" t="n">
        <v>211.03</v>
      </c>
      <c r="K29" s="21" t="n">
        <v>40115</v>
      </c>
      <c r="L29" s="22" t="n">
        <v>207.5</v>
      </c>
      <c r="M29" s="8" t="s">
        <v>73</v>
      </c>
      <c r="N29" s="4" t="n">
        <v>75</v>
      </c>
      <c r="O29" s="6" t="n">
        <f aca="false">IF(C29="롱",(J29-E29)/E29,(E29-J29)/E29)</f>
        <v>0.176113247505991</v>
      </c>
    </row>
    <row r="30" customFormat="false" ht="17.15" hidden="false" customHeight="false" outlineLevel="0" collapsed="false">
      <c r="A30" s="4" t="n">
        <v>5</v>
      </c>
      <c r="B30" s="4" t="s">
        <v>20</v>
      </c>
      <c r="C30" s="8" t="s">
        <v>72</v>
      </c>
      <c r="D30" s="21" t="n">
        <v>40136</v>
      </c>
      <c r="E30" s="22" t="n">
        <v>213.89</v>
      </c>
      <c r="F30" s="21" t="n">
        <v>40137</v>
      </c>
      <c r="G30" s="22" t="n">
        <v>212.88</v>
      </c>
      <c r="H30" s="22" t="n">
        <v>195.23</v>
      </c>
      <c r="I30" s="21" t="n">
        <v>40141</v>
      </c>
      <c r="J30" s="22" t="n">
        <v>211.92</v>
      </c>
      <c r="K30" s="21" t="n">
        <v>40142</v>
      </c>
      <c r="L30" s="22" t="n">
        <v>212.18</v>
      </c>
      <c r="M30" s="8" t="s">
        <v>73</v>
      </c>
      <c r="N30" s="4" t="n">
        <v>3</v>
      </c>
      <c r="O30" s="6" t="n">
        <f aca="false">IF(C30="롱",(J30-E30)/E30,(E30-J30)/E30)</f>
        <v>-0.00921034176445836</v>
      </c>
    </row>
    <row r="31" customFormat="false" ht="17.15" hidden="false" customHeight="false" outlineLevel="0" collapsed="false">
      <c r="A31" s="4" t="n">
        <v>5</v>
      </c>
      <c r="B31" s="4" t="s">
        <v>20</v>
      </c>
      <c r="C31" s="8" t="s">
        <v>72</v>
      </c>
      <c r="D31" s="21" t="n">
        <v>40150</v>
      </c>
      <c r="E31" s="22" t="n">
        <v>213.31</v>
      </c>
      <c r="F31" s="21" t="n">
        <v>40151</v>
      </c>
      <c r="G31" s="22" t="n">
        <v>212.43</v>
      </c>
      <c r="H31" s="22" t="n">
        <v>194.54</v>
      </c>
      <c r="I31" s="21" t="n">
        <v>40204</v>
      </c>
      <c r="J31" s="22" t="n">
        <v>214.89</v>
      </c>
      <c r="K31" s="21" t="n">
        <v>40205</v>
      </c>
      <c r="L31" s="22" t="n">
        <v>215.38</v>
      </c>
      <c r="M31" s="8" t="s">
        <v>73</v>
      </c>
      <c r="N31" s="4" t="n">
        <v>35</v>
      </c>
      <c r="O31" s="6" t="n">
        <f aca="false">IF(C31="롱",(J31-E31)/E31,(E31-J31)/E31)</f>
        <v>0.00740706014720353</v>
      </c>
    </row>
    <row r="32" customFormat="false" ht="17.15" hidden="false" customHeight="false" outlineLevel="0" collapsed="false">
      <c r="A32" s="4" t="n">
        <v>5</v>
      </c>
      <c r="B32" s="4" t="s">
        <v>20</v>
      </c>
      <c r="C32" s="8" t="s">
        <v>72</v>
      </c>
      <c r="D32" s="21" t="n">
        <v>40206</v>
      </c>
      <c r="E32" s="22" t="n">
        <v>215.67</v>
      </c>
      <c r="F32" s="21" t="n">
        <v>40207</v>
      </c>
      <c r="G32" s="22" t="n">
        <v>212.77</v>
      </c>
      <c r="H32" s="22" t="n">
        <v>198.9</v>
      </c>
      <c r="I32" s="21" t="n">
        <v>40207</v>
      </c>
      <c r="J32" s="22" t="n">
        <v>210.34</v>
      </c>
      <c r="K32" s="21" t="n">
        <v>40210</v>
      </c>
      <c r="L32" s="22" t="n">
        <v>210.53</v>
      </c>
      <c r="M32" s="8" t="s">
        <v>73</v>
      </c>
      <c r="N32" s="4" t="n">
        <v>1</v>
      </c>
      <c r="O32" s="6" t="n">
        <f aca="false">IF(C32="롱",(J32-E32)/E32,(E32-J32)/E32)</f>
        <v>-0.024713682941531</v>
      </c>
    </row>
    <row r="33" customFormat="false" ht="17.15" hidden="false" customHeight="false" outlineLevel="0" collapsed="false">
      <c r="A33" s="4" t="n">
        <v>5</v>
      </c>
      <c r="B33" s="4" t="s">
        <v>20</v>
      </c>
      <c r="C33" s="8" t="s">
        <v>72</v>
      </c>
      <c r="D33" s="21" t="n">
        <v>40245</v>
      </c>
      <c r="E33" s="22" t="n">
        <v>217.73</v>
      </c>
      <c r="F33" s="21" t="n">
        <v>40246</v>
      </c>
      <c r="G33" s="22" t="n">
        <v>217.4</v>
      </c>
      <c r="H33" s="22" t="n">
        <v>200.78</v>
      </c>
      <c r="I33" s="21" t="n">
        <v>40252</v>
      </c>
      <c r="J33" s="22" t="n">
        <v>215.49</v>
      </c>
      <c r="K33" s="21" t="n">
        <v>40253</v>
      </c>
      <c r="L33" s="22" t="n">
        <v>216.15</v>
      </c>
      <c r="M33" s="8" t="s">
        <v>73</v>
      </c>
      <c r="N33" s="4" t="n">
        <v>5</v>
      </c>
      <c r="O33" s="6" t="n">
        <f aca="false">IF(C33="롱",(J33-E33)/E33,(E33-J33)/E33)</f>
        <v>-0.0102879713406512</v>
      </c>
    </row>
    <row r="34" customFormat="false" ht="17.15" hidden="false" customHeight="false" outlineLevel="0" collapsed="false">
      <c r="A34" s="4" t="n">
        <v>5</v>
      </c>
      <c r="B34" s="4" t="s">
        <v>20</v>
      </c>
      <c r="C34" s="8" t="s">
        <v>72</v>
      </c>
      <c r="D34" s="21" t="n">
        <v>40311</v>
      </c>
      <c r="E34" s="22" t="n">
        <v>220.8</v>
      </c>
      <c r="F34" s="21" t="n">
        <v>40312</v>
      </c>
      <c r="G34" s="22" t="n">
        <v>219.58</v>
      </c>
      <c r="H34" s="22" t="n">
        <v>202.02</v>
      </c>
      <c r="I34" s="21" t="n">
        <v>40315</v>
      </c>
      <c r="J34" s="22" t="n">
        <v>215.36</v>
      </c>
      <c r="K34" s="21" t="n">
        <v>40316</v>
      </c>
      <c r="L34" s="22" t="n">
        <v>216.68</v>
      </c>
      <c r="M34" s="8" t="s">
        <v>73</v>
      </c>
      <c r="N34" s="4" t="n">
        <v>2</v>
      </c>
      <c r="O34" s="6" t="n">
        <f aca="false">IF(C34="롱",(J34-E34)/E34,(E34-J34)/E34)</f>
        <v>-0.0246376811594203</v>
      </c>
    </row>
    <row r="35" customFormat="false" ht="17.15" hidden="false" customHeight="false" outlineLevel="0" collapsed="false">
      <c r="A35" s="4" t="n">
        <v>5</v>
      </c>
      <c r="B35" s="4" t="s">
        <v>20</v>
      </c>
      <c r="C35" s="8" t="s">
        <v>72</v>
      </c>
      <c r="D35" s="21" t="n">
        <v>40343</v>
      </c>
      <c r="E35" s="22" t="n">
        <v>221.43</v>
      </c>
      <c r="F35" s="21" t="n">
        <v>40344</v>
      </c>
      <c r="G35" s="22" t="n">
        <v>220.94</v>
      </c>
      <c r="H35" s="22" t="n">
        <v>199.85</v>
      </c>
      <c r="I35" s="21" t="n">
        <v>40359</v>
      </c>
      <c r="J35" s="22" t="n">
        <v>220.85</v>
      </c>
      <c r="K35" s="21" t="n">
        <v>40360</v>
      </c>
      <c r="L35" s="22" t="n">
        <v>219.26</v>
      </c>
      <c r="M35" s="8" t="s">
        <v>73</v>
      </c>
      <c r="N35" s="4" t="n">
        <v>12</v>
      </c>
      <c r="O35" s="6" t="n">
        <f aca="false">IF(C35="롱",(J35-E35)/E35,(E35-J35)/E35)</f>
        <v>-0.00261933793975528</v>
      </c>
    </row>
    <row r="36" customFormat="false" ht="17.15" hidden="false" customHeight="false" outlineLevel="0" collapsed="false">
      <c r="A36" s="4" t="n">
        <v>5</v>
      </c>
      <c r="B36" s="4" t="s">
        <v>20</v>
      </c>
      <c r="C36" s="8" t="s">
        <v>72</v>
      </c>
      <c r="D36" s="21" t="n">
        <v>40367</v>
      </c>
      <c r="E36" s="22" t="n">
        <v>220.78</v>
      </c>
      <c r="F36" s="21" t="n">
        <v>40368</v>
      </c>
      <c r="G36" s="22" t="n">
        <v>222.07</v>
      </c>
      <c r="H36" s="22" t="n">
        <v>205.39</v>
      </c>
      <c r="I36" s="21" t="n">
        <v>40417</v>
      </c>
      <c r="J36" s="22" t="n">
        <v>225.52</v>
      </c>
      <c r="K36" s="21" t="n">
        <v>40420</v>
      </c>
      <c r="L36" s="22" t="n">
        <v>228.17</v>
      </c>
      <c r="M36" s="8" t="s">
        <v>73</v>
      </c>
      <c r="N36" s="4" t="n">
        <v>36</v>
      </c>
      <c r="O36" s="6" t="n">
        <f aca="false">IF(C36="롱",(J36-E36)/E36,(E36-J36)/E36)</f>
        <v>0.0214693359905789</v>
      </c>
    </row>
    <row r="37" customFormat="false" ht="17.15" hidden="false" customHeight="false" outlineLevel="0" collapsed="false">
      <c r="A37" s="4" t="n">
        <v>5</v>
      </c>
      <c r="B37" s="4" t="s">
        <v>20</v>
      </c>
      <c r="C37" s="8" t="s">
        <v>72</v>
      </c>
      <c r="D37" s="21" t="n">
        <v>40420</v>
      </c>
      <c r="E37" s="22" t="n">
        <v>229.63</v>
      </c>
      <c r="F37" s="21" t="n">
        <v>40421</v>
      </c>
      <c r="G37" s="22" t="n">
        <v>227.88</v>
      </c>
      <c r="H37" s="22" t="n">
        <v>214.94</v>
      </c>
      <c r="I37" s="21" t="n">
        <v>40584</v>
      </c>
      <c r="J37" s="22" t="n">
        <v>264.57</v>
      </c>
      <c r="K37" s="21" t="n">
        <v>40585</v>
      </c>
      <c r="L37" s="22" t="n">
        <v>264.8</v>
      </c>
      <c r="M37" s="8" t="s">
        <v>73</v>
      </c>
      <c r="N37" s="4" t="n">
        <v>111</v>
      </c>
      <c r="O37" s="6" t="n">
        <f aca="false">IF(C37="롱",(J37-E37)/E37,(E37-J37)/E37)</f>
        <v>0.152157819100292</v>
      </c>
    </row>
    <row r="38" customFormat="false" ht="17.15" hidden="false" customHeight="false" outlineLevel="0" collapsed="false">
      <c r="A38" s="4" t="n">
        <v>5</v>
      </c>
      <c r="B38" s="4" t="s">
        <v>20</v>
      </c>
      <c r="C38" s="8" t="s">
        <v>72</v>
      </c>
      <c r="D38" s="21" t="n">
        <v>40626</v>
      </c>
      <c r="E38" s="22" t="n">
        <v>268.93</v>
      </c>
      <c r="F38" s="21" t="n">
        <v>40627</v>
      </c>
      <c r="G38" s="22" t="n">
        <v>271.91</v>
      </c>
      <c r="H38" s="22" t="n">
        <v>246.28</v>
      </c>
      <c r="I38" s="21" t="n">
        <v>40686</v>
      </c>
      <c r="J38" s="22" t="n">
        <v>271.19</v>
      </c>
      <c r="K38" s="21" t="n">
        <v>40687</v>
      </c>
      <c r="L38" s="22" t="n">
        <v>270.87</v>
      </c>
      <c r="M38" s="8" t="s">
        <v>73</v>
      </c>
      <c r="N38" s="4" t="n">
        <v>40</v>
      </c>
      <c r="O38" s="6" t="n">
        <f aca="false">IF(C38="롱",(J38-E38)/E38,(E38-J38)/E38)</f>
        <v>0.00840367381846574</v>
      </c>
    </row>
    <row r="39" customFormat="false" ht="17.15" hidden="false" customHeight="false" outlineLevel="0" collapsed="false">
      <c r="A39" s="4" t="n">
        <v>5</v>
      </c>
      <c r="B39" s="4" t="s">
        <v>20</v>
      </c>
      <c r="C39" s="8" t="s">
        <v>72</v>
      </c>
      <c r="D39" s="21" t="n">
        <v>40689</v>
      </c>
      <c r="E39" s="22" t="n">
        <v>276.33</v>
      </c>
      <c r="F39" s="21" t="n">
        <v>40690</v>
      </c>
      <c r="G39" s="22" t="n">
        <v>275.62</v>
      </c>
      <c r="H39" s="22" t="n">
        <v>251.2</v>
      </c>
      <c r="I39" s="21" t="n">
        <v>40701</v>
      </c>
      <c r="J39" s="22" t="n">
        <v>276.97</v>
      </c>
      <c r="K39" s="21" t="n">
        <v>40702</v>
      </c>
      <c r="L39" s="22" t="n">
        <v>277.39</v>
      </c>
      <c r="M39" s="8" t="s">
        <v>73</v>
      </c>
      <c r="N39" s="4" t="n">
        <v>7</v>
      </c>
      <c r="O39" s="6" t="n">
        <f aca="false">IF(C39="롱",(J39-E39)/E39,(E39-J39)/E39)</f>
        <v>0.00231607136394906</v>
      </c>
    </row>
    <row r="40" customFormat="false" ht="17.15" hidden="false" customHeight="false" outlineLevel="0" collapsed="false">
      <c r="A40" s="4" t="n">
        <v>5</v>
      </c>
      <c r="B40" s="4" t="s">
        <v>20</v>
      </c>
      <c r="C40" s="8" t="s">
        <v>72</v>
      </c>
      <c r="D40" s="21" t="n">
        <v>40739</v>
      </c>
      <c r="E40" s="22" t="n">
        <v>279.59</v>
      </c>
      <c r="F40" s="21" t="n">
        <v>40742</v>
      </c>
      <c r="G40" s="22" t="n">
        <v>279.93</v>
      </c>
      <c r="H40" s="22" t="n">
        <v>260.5</v>
      </c>
      <c r="I40" s="21" t="n">
        <v>40742</v>
      </c>
      <c r="J40" s="22" t="n">
        <v>276.71</v>
      </c>
      <c r="K40" s="21" t="n">
        <v>40743</v>
      </c>
      <c r="L40" s="22" t="n">
        <v>276.16</v>
      </c>
      <c r="M40" s="8" t="s">
        <v>73</v>
      </c>
      <c r="N40" s="4" t="n">
        <v>1</v>
      </c>
      <c r="O40" s="6" t="n">
        <f aca="false">IF(C40="롱",(J40-E40)/E40,(E40-J40)/E40)</f>
        <v>-0.0103007975964805</v>
      </c>
    </row>
    <row r="41" customFormat="false" ht="17.15" hidden="false" customHeight="false" outlineLevel="0" collapsed="false">
      <c r="A41" s="4" t="n">
        <v>5</v>
      </c>
      <c r="B41" s="4" t="s">
        <v>20</v>
      </c>
      <c r="C41" s="8" t="s">
        <v>72</v>
      </c>
      <c r="D41" s="21" t="n">
        <v>40876</v>
      </c>
      <c r="E41" s="22" t="n">
        <v>242.5</v>
      </c>
      <c r="F41" s="21" t="n">
        <v>40877</v>
      </c>
      <c r="G41" s="22" t="n">
        <v>241.15</v>
      </c>
      <c r="H41" s="22" t="n">
        <v>218.25</v>
      </c>
      <c r="I41" s="21" t="n">
        <v>40892</v>
      </c>
      <c r="J41" s="22" t="n">
        <v>236.72</v>
      </c>
      <c r="K41" s="21" t="n">
        <v>40893</v>
      </c>
      <c r="L41" s="22" t="n">
        <v>237.85</v>
      </c>
      <c r="M41" s="8" t="s">
        <v>73</v>
      </c>
      <c r="N41" s="4" t="n">
        <v>12</v>
      </c>
      <c r="O41" s="6" t="n">
        <f aca="false">IF(C41="롱",(J41-E41)/E41,(E41-J41)/E41)</f>
        <v>-0.0238350515463918</v>
      </c>
    </row>
    <row r="42" customFormat="false" ht="17.15" hidden="false" customHeight="false" outlineLevel="0" collapsed="false">
      <c r="A42" s="4" t="n">
        <v>5</v>
      </c>
      <c r="B42" s="4" t="s">
        <v>20</v>
      </c>
      <c r="C42" s="8" t="s">
        <v>72</v>
      </c>
      <c r="D42" s="21" t="n">
        <v>40898</v>
      </c>
      <c r="E42" s="22" t="n">
        <v>241.51</v>
      </c>
      <c r="F42" s="21" t="n">
        <v>40899</v>
      </c>
      <c r="G42" s="22" t="n">
        <v>240.5</v>
      </c>
      <c r="H42" s="22" t="n">
        <v>217.36</v>
      </c>
      <c r="I42" s="21" t="n">
        <v>40904</v>
      </c>
      <c r="J42" s="22" t="n">
        <v>240.79</v>
      </c>
      <c r="K42" s="21" t="n">
        <v>40905</v>
      </c>
      <c r="L42" s="22" t="n">
        <v>239.44</v>
      </c>
      <c r="M42" s="8" t="s">
        <v>73</v>
      </c>
      <c r="N42" s="4" t="n">
        <v>4</v>
      </c>
      <c r="O42" s="6" t="n">
        <f aca="false">IF(C42="롱",(J42-E42)/E42,(E42-J42)/E42)</f>
        <v>-0.00298124301271168</v>
      </c>
    </row>
    <row r="43" customFormat="false" ht="17.15" hidden="false" customHeight="false" outlineLevel="0" collapsed="false">
      <c r="A43" s="4" t="n">
        <v>5</v>
      </c>
      <c r="B43" s="4" t="s">
        <v>20</v>
      </c>
      <c r="C43" s="8" t="s">
        <v>72</v>
      </c>
      <c r="D43" s="21" t="n">
        <v>40911</v>
      </c>
      <c r="E43" s="22" t="n">
        <v>245.82</v>
      </c>
      <c r="F43" s="21" t="n">
        <v>40912</v>
      </c>
      <c r="G43" s="22" t="n">
        <v>246.89</v>
      </c>
      <c r="H43" s="22" t="n">
        <v>222.47</v>
      </c>
      <c r="I43" s="21" t="n">
        <v>40914</v>
      </c>
      <c r="J43" s="22" t="n">
        <v>240.57</v>
      </c>
      <c r="K43" s="21" t="n">
        <v>40917</v>
      </c>
      <c r="L43" s="22" t="n">
        <v>238.88</v>
      </c>
      <c r="M43" s="8" t="s">
        <v>73</v>
      </c>
      <c r="N43" s="4" t="n">
        <v>3</v>
      </c>
      <c r="O43" s="6" t="n">
        <f aca="false">IF(C43="롱",(J43-E43)/E43,(E43-J43)/E43)</f>
        <v>-0.021357090554064</v>
      </c>
    </row>
    <row r="44" customFormat="false" ht="17.15" hidden="false" customHeight="false" outlineLevel="0" collapsed="false">
      <c r="A44" s="4" t="n">
        <v>5</v>
      </c>
      <c r="B44" s="4" t="s">
        <v>20</v>
      </c>
      <c r="C44" s="8" t="s">
        <v>72</v>
      </c>
      <c r="D44" s="21" t="n">
        <v>40920</v>
      </c>
      <c r="E44" s="22" t="n">
        <v>243.46</v>
      </c>
      <c r="F44" s="21" t="n">
        <v>40921</v>
      </c>
      <c r="G44" s="22" t="n">
        <v>243.6</v>
      </c>
      <c r="H44" s="22" t="n">
        <v>220.48</v>
      </c>
      <c r="I44" s="21" t="n">
        <v>40924</v>
      </c>
      <c r="J44" s="22" t="n">
        <v>243.1</v>
      </c>
      <c r="K44" s="21" t="n">
        <v>40925</v>
      </c>
      <c r="L44" s="22" t="n">
        <v>245.79</v>
      </c>
      <c r="M44" s="8" t="s">
        <v>73</v>
      </c>
      <c r="N44" s="4" t="n">
        <v>2</v>
      </c>
      <c r="O44" s="6" t="n">
        <f aca="false">IF(C44="롱",(J44-E44)/E44,(E44-J44)/E44)</f>
        <v>-0.00147868232974622</v>
      </c>
    </row>
    <row r="45" customFormat="false" ht="17.15" hidden="false" customHeight="false" outlineLevel="0" collapsed="false">
      <c r="A45" s="4" t="n">
        <v>5</v>
      </c>
      <c r="B45" s="4" t="s">
        <v>20</v>
      </c>
      <c r="C45" s="8" t="s">
        <v>72</v>
      </c>
      <c r="D45" s="21" t="n">
        <v>40925</v>
      </c>
      <c r="E45" s="22" t="n">
        <v>247.81</v>
      </c>
      <c r="F45" s="21" t="n">
        <v>40926</v>
      </c>
      <c r="G45" s="22" t="n">
        <v>247.57</v>
      </c>
      <c r="H45" s="22" t="n">
        <v>227.18</v>
      </c>
      <c r="I45" s="21" t="n">
        <v>41016</v>
      </c>
      <c r="J45" s="22" t="n">
        <v>263.32</v>
      </c>
      <c r="K45" s="21" t="n">
        <v>41017</v>
      </c>
      <c r="L45" s="22" t="n">
        <v>267.39</v>
      </c>
      <c r="M45" s="8" t="s">
        <v>73</v>
      </c>
      <c r="N45" s="4" t="n">
        <v>61</v>
      </c>
      <c r="O45" s="6" t="n">
        <f aca="false">IF(C45="롱",(J45-E45)/E45,(E45-J45)/E45)</f>
        <v>0.0625882732738791</v>
      </c>
    </row>
    <row r="46" customFormat="false" ht="17.15" hidden="false" customHeight="false" outlineLevel="0" collapsed="false">
      <c r="A46" s="4" t="n">
        <v>5</v>
      </c>
      <c r="B46" s="4" t="s">
        <v>20</v>
      </c>
      <c r="C46" s="8" t="s">
        <v>72</v>
      </c>
      <c r="D46" s="21" t="n">
        <v>41017</v>
      </c>
      <c r="E46" s="22" t="n">
        <v>266.22</v>
      </c>
      <c r="F46" s="21" t="n">
        <v>41018</v>
      </c>
      <c r="G46" s="22" t="n">
        <v>265.6</v>
      </c>
      <c r="H46" s="22" t="n">
        <v>250.3</v>
      </c>
      <c r="I46" s="21" t="n">
        <v>41019</v>
      </c>
      <c r="J46" s="22" t="n">
        <v>261.84</v>
      </c>
      <c r="K46" s="21" t="n">
        <v>41022</v>
      </c>
      <c r="L46" s="22" t="n">
        <v>261.31</v>
      </c>
      <c r="M46" s="8" t="s">
        <v>73</v>
      </c>
      <c r="N46" s="4" t="n">
        <v>2</v>
      </c>
      <c r="O46" s="6" t="n">
        <f aca="false">IF(C46="롱",(J46-E46)/E46,(E46-J46)/E46)</f>
        <v>-0.0164525580347083</v>
      </c>
    </row>
    <row r="47" customFormat="false" ht="17.15" hidden="false" customHeight="false" outlineLevel="0" collapsed="false">
      <c r="A47" s="4" t="n">
        <v>5</v>
      </c>
      <c r="B47" s="4" t="s">
        <v>20</v>
      </c>
      <c r="C47" s="8" t="s">
        <v>72</v>
      </c>
      <c r="D47" s="21" t="n">
        <v>41031</v>
      </c>
      <c r="E47" s="22" t="n">
        <v>266.61</v>
      </c>
      <c r="F47" s="21" t="n">
        <v>41032</v>
      </c>
      <c r="G47" s="22" t="n">
        <v>266.05</v>
      </c>
      <c r="H47" s="22" t="n">
        <v>250.5</v>
      </c>
      <c r="I47" s="21" t="n">
        <v>41033</v>
      </c>
      <c r="J47" s="22" t="n">
        <v>264.4</v>
      </c>
      <c r="K47" s="21" t="n">
        <v>41036</v>
      </c>
      <c r="L47" s="22" t="n">
        <v>259.71</v>
      </c>
      <c r="M47" s="8" t="s">
        <v>73</v>
      </c>
      <c r="N47" s="4" t="n">
        <v>2</v>
      </c>
      <c r="O47" s="6" t="n">
        <f aca="false">IF(C47="롱",(J47-E47)/E47,(E47-J47)/E47)</f>
        <v>-0.0082892614680621</v>
      </c>
    </row>
    <row r="48" customFormat="false" ht="17.15" hidden="false" customHeight="false" outlineLevel="0" collapsed="false">
      <c r="A48" s="4" t="n">
        <v>5</v>
      </c>
      <c r="B48" s="4" t="s">
        <v>20</v>
      </c>
      <c r="C48" s="8" t="s">
        <v>72</v>
      </c>
      <c r="D48" s="21" t="n">
        <v>41159</v>
      </c>
      <c r="E48" s="22" t="n">
        <v>254.02</v>
      </c>
      <c r="F48" s="21" t="n">
        <v>41162</v>
      </c>
      <c r="G48" s="22" t="n">
        <v>254.8</v>
      </c>
      <c r="H48" s="22" t="n">
        <v>237.91</v>
      </c>
      <c r="I48" s="21" t="n">
        <v>41193</v>
      </c>
      <c r="J48" s="22" t="n">
        <v>252.84</v>
      </c>
      <c r="K48" s="21" t="n">
        <v>41194</v>
      </c>
      <c r="L48" s="22" t="n">
        <v>253.5</v>
      </c>
      <c r="M48" s="8" t="s">
        <v>73</v>
      </c>
      <c r="N48" s="4" t="n">
        <v>22</v>
      </c>
      <c r="O48" s="6" t="n">
        <f aca="false">IF(C48="롱",(J48-E48)/E48,(E48-J48)/E48)</f>
        <v>-0.00464530351940795</v>
      </c>
    </row>
    <row r="49" customFormat="false" ht="17.15" hidden="false" customHeight="false" outlineLevel="0" collapsed="false">
      <c r="A49" s="4" t="n">
        <v>5</v>
      </c>
      <c r="B49" s="4" t="s">
        <v>20</v>
      </c>
      <c r="C49" s="8" t="s">
        <v>72</v>
      </c>
      <c r="D49" s="21" t="n">
        <v>41198</v>
      </c>
      <c r="E49" s="22" t="n">
        <v>253.98</v>
      </c>
      <c r="F49" s="21" t="n">
        <v>41199</v>
      </c>
      <c r="G49" s="22" t="n">
        <v>255.98</v>
      </c>
      <c r="H49" s="22" t="n">
        <v>240.81</v>
      </c>
      <c r="I49" s="21" t="n">
        <v>41204</v>
      </c>
      <c r="J49" s="22" t="n">
        <v>254.22</v>
      </c>
      <c r="K49" s="21" t="n">
        <v>41205</v>
      </c>
      <c r="L49" s="22" t="n">
        <v>254.41</v>
      </c>
      <c r="M49" s="8" t="s">
        <v>73</v>
      </c>
      <c r="N49" s="4" t="n">
        <v>4</v>
      </c>
      <c r="O49" s="6" t="n">
        <f aca="false">IF(C49="롱",(J49-E49)/E49,(E49-J49)/E49)</f>
        <v>0.000944956295771357</v>
      </c>
    </row>
    <row r="50" customFormat="false" ht="17.15" hidden="false" customHeight="false" outlineLevel="0" collapsed="false">
      <c r="A50" s="4" t="n">
        <v>5</v>
      </c>
      <c r="B50" s="4" t="s">
        <v>20</v>
      </c>
      <c r="C50" s="8" t="s">
        <v>72</v>
      </c>
      <c r="D50" s="21" t="n">
        <v>41303</v>
      </c>
      <c r="E50" s="22" t="n">
        <v>257.22</v>
      </c>
      <c r="F50" s="21" t="n">
        <v>41304</v>
      </c>
      <c r="G50" s="22" t="n">
        <v>258.08</v>
      </c>
      <c r="H50" s="22" t="n">
        <v>240.71</v>
      </c>
      <c r="I50" s="21" t="n">
        <v>41309</v>
      </c>
      <c r="J50" s="22" t="n">
        <v>256.89</v>
      </c>
      <c r="K50" s="21" t="n">
        <v>41310</v>
      </c>
      <c r="L50" s="22" t="n">
        <v>254.49</v>
      </c>
      <c r="M50" s="8" t="s">
        <v>73</v>
      </c>
      <c r="N50" s="4" t="n">
        <v>4</v>
      </c>
      <c r="O50" s="6" t="n">
        <f aca="false">IF(C50="롱",(J50-E50)/E50,(E50-J50)/E50)</f>
        <v>-0.00128294844879885</v>
      </c>
    </row>
    <row r="51" customFormat="false" ht="17.15" hidden="false" customHeight="false" outlineLevel="0" collapsed="false">
      <c r="A51" s="4" t="n">
        <v>5</v>
      </c>
      <c r="B51" s="4" t="s">
        <v>20</v>
      </c>
      <c r="C51" s="8" t="s">
        <v>72</v>
      </c>
      <c r="D51" s="21" t="n">
        <v>41318</v>
      </c>
      <c r="E51" s="22" t="n">
        <v>260.92</v>
      </c>
      <c r="F51" s="21" t="n">
        <v>41319</v>
      </c>
      <c r="G51" s="22" t="n">
        <v>261.14</v>
      </c>
      <c r="H51" s="22" t="n">
        <v>246.16</v>
      </c>
      <c r="I51" s="21" t="n">
        <v>41348</v>
      </c>
      <c r="J51" s="22" t="n">
        <v>260.84</v>
      </c>
      <c r="K51" s="21" t="n">
        <v>41351</v>
      </c>
      <c r="L51" s="22" t="n">
        <v>259.03</v>
      </c>
      <c r="M51" s="8" t="s">
        <v>73</v>
      </c>
      <c r="N51" s="4" t="n">
        <v>21</v>
      </c>
      <c r="O51" s="6" t="n">
        <f aca="false">IF(C51="롱",(J51-E51)/E51,(E51-J51)/E51)</f>
        <v>-0.000306607389238238</v>
      </c>
    </row>
    <row r="52" customFormat="false" ht="17.15" hidden="false" customHeight="false" outlineLevel="0" collapsed="false">
      <c r="A52" s="4" t="n">
        <v>5</v>
      </c>
      <c r="B52" s="4" t="s">
        <v>20</v>
      </c>
      <c r="C52" s="8" t="s">
        <v>72</v>
      </c>
      <c r="D52" s="21" t="n">
        <v>41360</v>
      </c>
      <c r="E52" s="22" t="n">
        <v>261.86</v>
      </c>
      <c r="F52" s="21" t="n">
        <v>41361</v>
      </c>
      <c r="G52" s="22" t="n">
        <v>261.44</v>
      </c>
      <c r="H52" s="22" t="n">
        <v>247.32</v>
      </c>
      <c r="I52" s="21" t="n">
        <v>41366</v>
      </c>
      <c r="J52" s="22" t="n">
        <v>260.79</v>
      </c>
      <c r="K52" s="21" t="n">
        <v>41367</v>
      </c>
      <c r="L52" s="22" t="n">
        <v>261.32</v>
      </c>
      <c r="M52" s="8" t="s">
        <v>73</v>
      </c>
      <c r="N52" s="4" t="n">
        <v>4</v>
      </c>
      <c r="O52" s="6" t="n">
        <f aca="false">IF(C52="롱",(J52-E52)/E52,(E52-J52)/E52)</f>
        <v>-0.00408615290613302</v>
      </c>
    </row>
    <row r="53" customFormat="false" ht="17.15" hidden="false" customHeight="false" outlineLevel="0" collapsed="false">
      <c r="A53" s="4" t="n">
        <v>5</v>
      </c>
      <c r="B53" s="4" t="s">
        <v>20</v>
      </c>
      <c r="C53" s="8" t="s">
        <v>72</v>
      </c>
      <c r="D53" s="21" t="n">
        <v>41593</v>
      </c>
      <c r="E53" s="22" t="n">
        <v>264.2</v>
      </c>
      <c r="F53" s="21" t="n">
        <v>41596</v>
      </c>
      <c r="G53" s="22" t="n">
        <v>265.38</v>
      </c>
      <c r="H53" s="22" t="n">
        <v>249.46</v>
      </c>
      <c r="I53" s="21" t="n">
        <v>41612</v>
      </c>
      <c r="J53" s="22" t="n">
        <v>261.48</v>
      </c>
      <c r="K53" s="21" t="n">
        <v>41613</v>
      </c>
      <c r="L53" s="22" t="n">
        <v>262.5</v>
      </c>
      <c r="M53" s="8" t="s">
        <v>73</v>
      </c>
      <c r="N53" s="4" t="n">
        <v>13</v>
      </c>
      <c r="O53" s="6" t="n">
        <f aca="false">IF(C53="롱",(J53-E53)/E53,(E53-J53)/E53)</f>
        <v>-0.0102952308856925</v>
      </c>
    </row>
    <row r="54" customFormat="false" ht="17.15" hidden="false" customHeight="false" outlineLevel="0" collapsed="false">
      <c r="A54" s="4" t="n">
        <v>5</v>
      </c>
      <c r="B54" s="4" t="s">
        <v>20</v>
      </c>
      <c r="C54" s="8" t="s">
        <v>72</v>
      </c>
      <c r="D54" s="21" t="n">
        <v>41772</v>
      </c>
      <c r="E54" s="22" t="n">
        <v>258.4</v>
      </c>
      <c r="F54" s="21" t="n">
        <v>41773</v>
      </c>
      <c r="G54" s="22" t="n">
        <v>259.63</v>
      </c>
      <c r="H54" s="22" t="n">
        <v>246.88</v>
      </c>
      <c r="I54" s="21" t="n">
        <v>41808</v>
      </c>
      <c r="J54" s="22" t="n">
        <v>258.7</v>
      </c>
      <c r="K54" s="21" t="n">
        <v>41809</v>
      </c>
      <c r="L54" s="22" t="n">
        <v>259.19</v>
      </c>
      <c r="M54" s="8" t="s">
        <v>73</v>
      </c>
      <c r="N54" s="4" t="n">
        <v>24</v>
      </c>
      <c r="O54" s="6" t="n">
        <f aca="false">IF(C54="롱",(J54-E54)/E54,(E54-J54)/E54)</f>
        <v>0.00116099071207435</v>
      </c>
    </row>
    <row r="55" customFormat="false" ht="17.15" hidden="false" customHeight="false" outlineLevel="0" collapsed="false">
      <c r="A55" s="4" t="n">
        <v>5</v>
      </c>
      <c r="B55" s="4" t="s">
        <v>20</v>
      </c>
      <c r="C55" s="8" t="s">
        <v>72</v>
      </c>
      <c r="D55" s="21" t="n">
        <v>41814</v>
      </c>
      <c r="E55" s="22" t="n">
        <v>259.75</v>
      </c>
      <c r="F55" s="21" t="n">
        <v>41815</v>
      </c>
      <c r="G55" s="22" t="n">
        <v>259.51</v>
      </c>
      <c r="H55" s="22" t="n">
        <v>246.68</v>
      </c>
      <c r="I55" s="21" t="n">
        <v>41815</v>
      </c>
      <c r="J55" s="22" t="n">
        <v>258.16</v>
      </c>
      <c r="K55" s="21" t="n">
        <v>41816</v>
      </c>
      <c r="L55" s="22" t="n">
        <v>258.2</v>
      </c>
      <c r="M55" s="8" t="s">
        <v>73</v>
      </c>
      <c r="N55" s="4" t="n">
        <v>1</v>
      </c>
      <c r="O55" s="6" t="n">
        <f aca="false">IF(C55="롱",(J55-E55)/E55,(E55-J55)/E55)</f>
        <v>-0.00612127045235794</v>
      </c>
    </row>
    <row r="56" customFormat="false" ht="17.15" hidden="false" customHeight="false" outlineLevel="0" collapsed="false">
      <c r="A56" s="4" t="n">
        <v>5</v>
      </c>
      <c r="B56" s="4" t="s">
        <v>20</v>
      </c>
      <c r="C56" s="8" t="s">
        <v>72</v>
      </c>
      <c r="D56" s="21" t="n">
        <v>41816</v>
      </c>
      <c r="E56" s="22" t="n">
        <v>260.03</v>
      </c>
      <c r="F56" s="21" t="n">
        <v>41817</v>
      </c>
      <c r="G56" s="22" t="n">
        <v>259.28</v>
      </c>
      <c r="H56" s="22" t="n">
        <v>247.38</v>
      </c>
      <c r="I56" s="21" t="n">
        <v>41817</v>
      </c>
      <c r="J56" s="22" t="n">
        <v>258.78</v>
      </c>
      <c r="K56" s="21" t="n">
        <v>41820</v>
      </c>
      <c r="L56" s="22" t="n">
        <v>259.81</v>
      </c>
      <c r="M56" s="8" t="s">
        <v>73</v>
      </c>
      <c r="N56" s="4" t="n">
        <v>1</v>
      </c>
      <c r="O56" s="6" t="n">
        <f aca="false">IF(C56="롱",(J56-E56)/E56,(E56-J56)/E56)</f>
        <v>-0.00480713763796485</v>
      </c>
    </row>
    <row r="57" customFormat="false" ht="17.15" hidden="false" customHeight="false" outlineLevel="0" collapsed="false">
      <c r="A57" s="4" t="n">
        <v>5</v>
      </c>
      <c r="B57" s="4" t="s">
        <v>20</v>
      </c>
      <c r="C57" s="8" t="s">
        <v>72</v>
      </c>
      <c r="D57" s="21" t="n">
        <v>41820</v>
      </c>
      <c r="E57" s="22" t="n">
        <v>260.56</v>
      </c>
      <c r="F57" s="21" t="n">
        <v>41821</v>
      </c>
      <c r="G57" s="22" t="n">
        <v>259.14</v>
      </c>
      <c r="H57" s="22" t="n">
        <v>248.09</v>
      </c>
      <c r="I57" s="21" t="n">
        <v>41821</v>
      </c>
      <c r="J57" s="22" t="n">
        <v>259.74</v>
      </c>
      <c r="K57" s="21" t="n">
        <v>41822</v>
      </c>
      <c r="L57" s="22" t="n">
        <v>261.01</v>
      </c>
      <c r="M57" s="8" t="s">
        <v>73</v>
      </c>
      <c r="N57" s="4" t="n">
        <v>1</v>
      </c>
      <c r="O57" s="6" t="n">
        <f aca="false">IF(C57="롱",(J57-E57)/E57,(E57-J57)/E57)</f>
        <v>-0.00314706785385321</v>
      </c>
    </row>
    <row r="58" customFormat="false" ht="17.15" hidden="false" customHeight="false" outlineLevel="0" collapsed="false">
      <c r="A58" s="4" t="n">
        <v>5</v>
      </c>
      <c r="B58" s="4" t="s">
        <v>20</v>
      </c>
      <c r="C58" s="8" t="s">
        <v>72</v>
      </c>
      <c r="D58" s="21" t="n">
        <v>41822</v>
      </c>
      <c r="E58" s="22" t="n">
        <v>262.04</v>
      </c>
      <c r="F58" s="21" t="n">
        <v>41823</v>
      </c>
      <c r="G58" s="22" t="n">
        <v>262.03</v>
      </c>
      <c r="H58" s="22" t="n">
        <v>249.87</v>
      </c>
      <c r="I58" s="21" t="n">
        <v>41828</v>
      </c>
      <c r="J58" s="22" t="n">
        <v>259.93</v>
      </c>
      <c r="K58" s="21" t="n">
        <v>41829</v>
      </c>
      <c r="L58" s="22" t="n">
        <v>258.6</v>
      </c>
      <c r="M58" s="8" t="s">
        <v>73</v>
      </c>
      <c r="N58" s="4" t="n">
        <v>4</v>
      </c>
      <c r="O58" s="6" t="n">
        <f aca="false">IF(C58="롱",(J58-E58)/E58,(E58-J58)/E58)</f>
        <v>-0.00805220577011149</v>
      </c>
    </row>
    <row r="59" customFormat="false" ht="17.15" hidden="false" customHeight="false" outlineLevel="0" collapsed="false">
      <c r="A59" s="4" t="n">
        <v>5</v>
      </c>
      <c r="B59" s="4" t="s">
        <v>20</v>
      </c>
      <c r="C59" s="8" t="s">
        <v>72</v>
      </c>
      <c r="D59" s="21" t="n">
        <v>41835</v>
      </c>
      <c r="E59" s="22" t="n">
        <v>260.4</v>
      </c>
      <c r="F59" s="21" t="n">
        <v>41836</v>
      </c>
      <c r="G59" s="22" t="n">
        <v>260.85</v>
      </c>
      <c r="H59" s="22" t="n">
        <v>249.26</v>
      </c>
      <c r="I59" s="21" t="n">
        <v>41885</v>
      </c>
      <c r="J59" s="22" t="n">
        <v>262.27</v>
      </c>
      <c r="K59" s="21" t="n">
        <v>41886</v>
      </c>
      <c r="L59" s="22" t="n">
        <v>263.52</v>
      </c>
      <c r="M59" s="8" t="s">
        <v>73</v>
      </c>
      <c r="N59" s="4" t="n">
        <v>35</v>
      </c>
      <c r="O59" s="6" t="n">
        <f aca="false">IF(C59="롱",(J59-E59)/E59,(E59-J59)/E59)</f>
        <v>0.00718125960061446</v>
      </c>
    </row>
    <row r="60" customFormat="false" ht="17.15" hidden="false" customHeight="false" outlineLevel="0" collapsed="false">
      <c r="A60" s="4" t="n">
        <v>5</v>
      </c>
      <c r="B60" s="4" t="s">
        <v>20</v>
      </c>
      <c r="C60" s="8" t="s">
        <v>72</v>
      </c>
      <c r="D60" s="21" t="n">
        <v>41886</v>
      </c>
      <c r="E60" s="22" t="n">
        <v>263.19</v>
      </c>
      <c r="F60" s="21" t="n">
        <v>41887</v>
      </c>
      <c r="G60" s="22" t="n">
        <v>262.9</v>
      </c>
      <c r="H60" s="22" t="n">
        <v>250.41</v>
      </c>
      <c r="I60" s="21" t="n">
        <v>41887</v>
      </c>
      <c r="J60" s="22" t="n">
        <v>262.09</v>
      </c>
      <c r="K60" s="21" t="n">
        <v>41893</v>
      </c>
      <c r="L60" s="22" t="n">
        <v>261.72</v>
      </c>
      <c r="M60" s="8" t="s">
        <v>73</v>
      </c>
      <c r="N60" s="4" t="n">
        <v>1</v>
      </c>
      <c r="O60" s="6" t="n">
        <f aca="false">IF(C60="롱",(J60-E60)/E60,(E60-J60)/E60)</f>
        <v>-0.00417949010220762</v>
      </c>
    </row>
    <row r="61" customFormat="false" ht="17.15" hidden="false" customHeight="false" outlineLevel="0" collapsed="false">
      <c r="A61" s="4" t="n">
        <v>5</v>
      </c>
      <c r="B61" s="4" t="s">
        <v>20</v>
      </c>
      <c r="C61" s="8" t="s">
        <v>72</v>
      </c>
      <c r="D61" s="21" t="n">
        <v>41899</v>
      </c>
      <c r="E61" s="22" t="n">
        <v>264.01</v>
      </c>
      <c r="F61" s="21" t="n">
        <v>41900</v>
      </c>
      <c r="G61" s="22" t="n">
        <v>263.35</v>
      </c>
      <c r="H61" s="22" t="n">
        <v>252.08</v>
      </c>
      <c r="I61" s="21" t="n">
        <v>41900</v>
      </c>
      <c r="J61" s="22" t="n">
        <v>261.72</v>
      </c>
      <c r="K61" s="21" t="n">
        <v>41901</v>
      </c>
      <c r="L61" s="22" t="n">
        <v>262.99</v>
      </c>
      <c r="M61" s="8" t="s">
        <v>73</v>
      </c>
      <c r="N61" s="4" t="n">
        <v>1</v>
      </c>
      <c r="O61" s="6" t="n">
        <f aca="false">IF(C61="롱",(J61-E61)/E61,(E61-J61)/E61)</f>
        <v>-0.00867391386689884</v>
      </c>
    </row>
    <row r="62" customFormat="false" ht="17.15" hidden="false" customHeight="false" outlineLevel="0" collapsed="false">
      <c r="A62" s="4" t="n">
        <v>5</v>
      </c>
      <c r="B62" s="4" t="s">
        <v>20</v>
      </c>
      <c r="C62" s="8" t="s">
        <v>72</v>
      </c>
      <c r="D62" s="21" t="n">
        <v>42048</v>
      </c>
      <c r="E62" s="22" t="n">
        <v>249.76</v>
      </c>
      <c r="F62" s="21" t="n">
        <v>42051</v>
      </c>
      <c r="G62" s="22" t="n">
        <v>250.17</v>
      </c>
      <c r="H62" s="22" t="n">
        <v>238.48</v>
      </c>
      <c r="I62" s="21" t="n">
        <v>42151</v>
      </c>
      <c r="J62" s="22" t="n">
        <v>260.16</v>
      </c>
      <c r="K62" s="21" t="n">
        <v>42152</v>
      </c>
      <c r="L62" s="22" t="n">
        <v>261.13</v>
      </c>
      <c r="M62" s="8" t="s">
        <v>73</v>
      </c>
      <c r="N62" s="4" t="n">
        <v>67</v>
      </c>
      <c r="O62" s="6" t="n">
        <f aca="false">IF(C62="롱",(J62-E62)/E62,(E62-J62)/E62)</f>
        <v>0.0416399743754005</v>
      </c>
    </row>
    <row r="63" customFormat="false" ht="17.15" hidden="false" customHeight="false" outlineLevel="0" collapsed="false">
      <c r="A63" s="4" t="n">
        <v>5</v>
      </c>
      <c r="B63" s="4" t="s">
        <v>20</v>
      </c>
      <c r="C63" s="8" t="s">
        <v>72</v>
      </c>
      <c r="D63" s="21" t="n">
        <v>42360</v>
      </c>
      <c r="E63" s="22" t="n">
        <v>245.48</v>
      </c>
      <c r="F63" s="21" t="n">
        <v>42361</v>
      </c>
      <c r="G63" s="22" t="n">
        <v>245.64</v>
      </c>
      <c r="H63" s="22" t="n">
        <v>230.75</v>
      </c>
      <c r="I63" s="21" t="n">
        <v>42366</v>
      </c>
      <c r="J63" s="22" t="n">
        <v>241.79</v>
      </c>
      <c r="K63" s="21" t="n">
        <v>42367</v>
      </c>
      <c r="L63" s="22" t="n">
        <v>240.69</v>
      </c>
      <c r="M63" s="8" t="s">
        <v>73</v>
      </c>
      <c r="N63" s="4" t="n">
        <v>3</v>
      </c>
      <c r="O63" s="6" t="n">
        <f aca="false">IF(C63="롱",(J63-E63)/E63,(E63-J63)/E63)</f>
        <v>-0.0150317744826462</v>
      </c>
    </row>
    <row r="64" customFormat="false" ht="17.15" hidden="false" customHeight="false" outlineLevel="0" collapsed="false">
      <c r="A64" s="4" t="n">
        <v>5</v>
      </c>
      <c r="B64" s="4" t="s">
        <v>20</v>
      </c>
      <c r="C64" s="8" t="s">
        <v>72</v>
      </c>
      <c r="D64" s="21" t="n">
        <v>42521</v>
      </c>
      <c r="E64" s="22" t="n">
        <v>243.63</v>
      </c>
      <c r="F64" s="21" t="n">
        <v>42522</v>
      </c>
      <c r="G64" s="22" t="n">
        <v>242.7</v>
      </c>
      <c r="H64" s="22" t="n">
        <v>233.41</v>
      </c>
      <c r="I64" s="21" t="n">
        <v>42534</v>
      </c>
      <c r="J64" s="22" t="n">
        <v>244.05</v>
      </c>
      <c r="K64" s="21" t="n">
        <v>42535</v>
      </c>
      <c r="L64" s="22" t="n">
        <v>243.79</v>
      </c>
      <c r="M64" s="8" t="s">
        <v>73</v>
      </c>
      <c r="N64" s="4" t="n">
        <v>8</v>
      </c>
      <c r="O64" s="6" t="n">
        <f aca="false">IF(C64="롱",(J64-E64)/E64,(E64-J64)/E64)</f>
        <v>0.0017239256249231</v>
      </c>
    </row>
    <row r="65" customFormat="false" ht="17.15" hidden="false" customHeight="false" outlineLevel="0" collapsed="false">
      <c r="A65" s="4" t="n">
        <v>5</v>
      </c>
      <c r="B65" s="4" t="s">
        <v>20</v>
      </c>
      <c r="C65" s="8" t="s">
        <v>72</v>
      </c>
      <c r="D65" s="21" t="n">
        <v>42541</v>
      </c>
      <c r="E65" s="22" t="n">
        <v>245.17</v>
      </c>
      <c r="F65" s="21" t="n">
        <v>42542</v>
      </c>
      <c r="G65" s="22" t="n">
        <v>244.6</v>
      </c>
      <c r="H65" s="22" t="n">
        <v>232.39</v>
      </c>
      <c r="I65" s="21" t="n">
        <v>42545</v>
      </c>
      <c r="J65" s="22" t="n">
        <v>239.21</v>
      </c>
      <c r="K65" s="21" t="n">
        <v>42548</v>
      </c>
      <c r="L65" s="22" t="n">
        <v>236.79</v>
      </c>
      <c r="M65" s="8" t="s">
        <v>73</v>
      </c>
      <c r="N65" s="4" t="n">
        <v>4</v>
      </c>
      <c r="O65" s="6" t="n">
        <f aca="false">IF(C65="롱",(J65-E65)/E65,(E65-J65)/E65)</f>
        <v>-0.0243096626830362</v>
      </c>
    </row>
    <row r="66" customFormat="false" ht="17.15" hidden="false" customHeight="false" outlineLevel="0" collapsed="false">
      <c r="A66" s="4" t="n">
        <v>5</v>
      </c>
      <c r="B66" s="4" t="s">
        <v>20</v>
      </c>
      <c r="C66" s="8" t="s">
        <v>72</v>
      </c>
      <c r="D66" s="21" t="n">
        <v>42551</v>
      </c>
      <c r="E66" s="22" t="n">
        <v>244.14</v>
      </c>
      <c r="F66" s="21" t="n">
        <v>42552</v>
      </c>
      <c r="G66" s="22" t="n">
        <v>244.96</v>
      </c>
      <c r="H66" s="22" t="n">
        <v>228.41</v>
      </c>
      <c r="I66" s="21" t="n">
        <v>42557</v>
      </c>
      <c r="J66" s="22" t="n">
        <v>241.86</v>
      </c>
      <c r="K66" s="21" t="n">
        <v>42558</v>
      </c>
      <c r="L66" s="22" t="n">
        <v>243.15</v>
      </c>
      <c r="M66" s="8" t="s">
        <v>73</v>
      </c>
      <c r="N66" s="4" t="n">
        <v>4</v>
      </c>
      <c r="O66" s="6" t="n">
        <f aca="false">IF(C66="롱",(J66-E66)/E66,(E66-J66)/E66)</f>
        <v>-0.00933890390759389</v>
      </c>
    </row>
    <row r="67" customFormat="false" ht="17.15" hidden="false" customHeight="false" outlineLevel="0" collapsed="false">
      <c r="A67" s="4" t="n">
        <v>5</v>
      </c>
      <c r="B67" s="4" t="s">
        <v>20</v>
      </c>
      <c r="C67" s="8" t="s">
        <v>72</v>
      </c>
      <c r="D67" s="21" t="n">
        <v>42558</v>
      </c>
      <c r="E67" s="22" t="n">
        <v>244.6</v>
      </c>
      <c r="F67" s="21" t="n">
        <v>42559</v>
      </c>
      <c r="G67" s="22" t="n">
        <v>244.3</v>
      </c>
      <c r="H67" s="22" t="n">
        <v>227.78</v>
      </c>
      <c r="I67" s="21" t="n">
        <v>42559</v>
      </c>
      <c r="J67" s="22" t="n">
        <v>243.43</v>
      </c>
      <c r="K67" s="21" t="n">
        <v>42562</v>
      </c>
      <c r="L67" s="22" t="n">
        <v>245.64</v>
      </c>
      <c r="M67" s="8" t="s">
        <v>73</v>
      </c>
      <c r="N67" s="4" t="n">
        <v>1</v>
      </c>
      <c r="O67" s="6" t="n">
        <f aca="false">IF(C67="롱",(J67-E67)/E67,(E67-J67)/E67)</f>
        <v>-0.00478331970564181</v>
      </c>
    </row>
    <row r="68" customFormat="false" ht="17.15" hidden="false" customHeight="false" outlineLevel="0" collapsed="false">
      <c r="A68" s="4" t="n">
        <v>5</v>
      </c>
      <c r="B68" s="4" t="s">
        <v>20</v>
      </c>
      <c r="C68" s="8" t="s">
        <v>72</v>
      </c>
      <c r="D68" s="21" t="n">
        <v>42562</v>
      </c>
      <c r="E68" s="22" t="n">
        <v>246.99</v>
      </c>
      <c r="F68" s="21" t="n">
        <v>42563</v>
      </c>
      <c r="G68" s="22" t="n">
        <v>247.36</v>
      </c>
      <c r="H68" s="22" t="n">
        <v>230.2</v>
      </c>
      <c r="I68" s="21" t="n">
        <v>42625</v>
      </c>
      <c r="J68" s="22" t="n">
        <v>250.53</v>
      </c>
      <c r="K68" s="21" t="n">
        <v>42626</v>
      </c>
      <c r="L68" s="22" t="n">
        <v>253.39</v>
      </c>
      <c r="M68" s="8" t="s">
        <v>73</v>
      </c>
      <c r="N68" s="4" t="n">
        <v>44</v>
      </c>
      <c r="O68" s="6" t="n">
        <f aca="false">IF(C68="롱",(J68-E68)/E68,(E68-J68)/E68)</f>
        <v>0.0143325640714199</v>
      </c>
    </row>
    <row r="69" customFormat="false" ht="17.15" hidden="false" customHeight="false" outlineLevel="0" collapsed="false">
      <c r="A69" s="4" t="n">
        <v>5</v>
      </c>
      <c r="B69" s="4" t="s">
        <v>20</v>
      </c>
      <c r="C69" s="8" t="s">
        <v>72</v>
      </c>
      <c r="D69" s="21" t="n">
        <v>42626</v>
      </c>
      <c r="E69" s="22" t="n">
        <v>251.77</v>
      </c>
      <c r="F69" s="21" t="n">
        <v>42632</v>
      </c>
      <c r="G69" s="22" t="n">
        <v>251.51</v>
      </c>
      <c r="H69" s="22" t="n">
        <v>239.59</v>
      </c>
      <c r="I69" s="21" t="n">
        <v>42656</v>
      </c>
      <c r="J69" s="22" t="n">
        <v>253.93</v>
      </c>
      <c r="K69" s="21" t="n">
        <v>42657</v>
      </c>
      <c r="L69" s="22" t="n">
        <v>254.7</v>
      </c>
      <c r="M69" s="8" t="s">
        <v>73</v>
      </c>
      <c r="N69" s="4" t="n">
        <v>18</v>
      </c>
      <c r="O69" s="6" t="n">
        <f aca="false">IF(C69="롱",(J69-E69)/E69,(E69-J69)/E69)</f>
        <v>0.00857925884736067</v>
      </c>
    </row>
    <row r="70" customFormat="false" ht="17.15" hidden="false" customHeight="false" outlineLevel="0" collapsed="false">
      <c r="A70" s="4" t="n">
        <v>5</v>
      </c>
      <c r="B70" s="4" t="s">
        <v>20</v>
      </c>
      <c r="C70" s="8" t="s">
        <v>72</v>
      </c>
      <c r="D70" s="21" t="n">
        <v>42660</v>
      </c>
      <c r="E70" s="22" t="n">
        <v>256.19</v>
      </c>
      <c r="F70" s="21" t="n">
        <v>42661</v>
      </c>
      <c r="G70" s="22" t="n">
        <v>256.17</v>
      </c>
      <c r="H70" s="22" t="n">
        <v>242.74</v>
      </c>
      <c r="I70" s="21" t="n">
        <v>42669</v>
      </c>
      <c r="J70" s="22" t="n">
        <v>255.52</v>
      </c>
      <c r="K70" s="21" t="n">
        <v>42670</v>
      </c>
      <c r="L70" s="22" t="n">
        <v>256.25</v>
      </c>
      <c r="M70" s="8" t="s">
        <v>73</v>
      </c>
      <c r="N70" s="4" t="n">
        <v>7</v>
      </c>
      <c r="O70" s="6" t="n">
        <f aca="false">IF(C70="롱",(J70-E70)/E70,(E70-J70)/E70)</f>
        <v>-0.00261524649674065</v>
      </c>
    </row>
    <row r="71" customFormat="false" ht="17.15" hidden="false" customHeight="false" outlineLevel="0" collapsed="false">
      <c r="A71" s="4" t="n">
        <v>5</v>
      </c>
      <c r="B71" s="4" t="s">
        <v>20</v>
      </c>
      <c r="C71" s="8" t="s">
        <v>72</v>
      </c>
      <c r="D71" s="21" t="n">
        <v>42670</v>
      </c>
      <c r="E71" s="22" t="n">
        <v>256.66</v>
      </c>
      <c r="F71" s="21" t="n">
        <v>42671</v>
      </c>
      <c r="G71" s="22" t="n">
        <v>256.45</v>
      </c>
      <c r="H71" s="22" t="n">
        <v>244.03</v>
      </c>
      <c r="I71" s="21" t="n">
        <v>42671</v>
      </c>
      <c r="J71" s="22" t="n">
        <v>256.53</v>
      </c>
      <c r="K71" s="21" t="n">
        <v>42674</v>
      </c>
      <c r="L71" s="22" t="n">
        <v>255.6</v>
      </c>
      <c r="M71" s="8" t="s">
        <v>73</v>
      </c>
      <c r="N71" s="4" t="n">
        <v>1</v>
      </c>
      <c r="O71" s="6" t="n">
        <f aca="false">IF(C71="롱",(J71-E71)/E71,(E71-J71)/E71)</f>
        <v>-0.000506506662510918</v>
      </c>
    </row>
    <row r="72" customFormat="false" ht="17.15" hidden="false" customHeight="false" outlineLevel="0" collapsed="false">
      <c r="A72" s="4" t="n">
        <v>5</v>
      </c>
      <c r="B72" s="4" t="s">
        <v>20</v>
      </c>
      <c r="C72" s="8" t="s">
        <v>72</v>
      </c>
      <c r="D72" s="21" t="n">
        <v>42992</v>
      </c>
      <c r="E72" s="22" t="n">
        <v>312.52</v>
      </c>
      <c r="F72" s="21" t="n">
        <v>42993</v>
      </c>
      <c r="G72" s="22" t="n">
        <v>311.19</v>
      </c>
      <c r="H72" s="22" t="n">
        <v>298.76</v>
      </c>
      <c r="I72" s="21" t="n">
        <v>43075</v>
      </c>
      <c r="J72" s="22" t="n">
        <v>324.52</v>
      </c>
      <c r="K72" s="21" t="n">
        <v>43076</v>
      </c>
      <c r="L72" s="22" t="n">
        <v>325.31</v>
      </c>
      <c r="M72" s="8" t="s">
        <v>73</v>
      </c>
      <c r="N72" s="4" t="n">
        <v>53</v>
      </c>
      <c r="O72" s="6" t="n">
        <f aca="false">IF(C72="롱",(J72-E72)/E72,(E72-J72)/E72)</f>
        <v>0.0383975425572763</v>
      </c>
    </row>
    <row r="73" customFormat="false" ht="17.15" hidden="false" customHeight="false" outlineLevel="0" collapsed="false">
      <c r="A73" s="4" t="n">
        <v>5</v>
      </c>
      <c r="B73" s="4" t="s">
        <v>20</v>
      </c>
      <c r="C73" s="8" t="s">
        <v>72</v>
      </c>
      <c r="D73" s="21" t="n">
        <v>43108</v>
      </c>
      <c r="E73" s="22" t="n">
        <v>331.28</v>
      </c>
      <c r="F73" s="21" t="n">
        <v>43109</v>
      </c>
      <c r="G73" s="22" t="n">
        <v>330.67</v>
      </c>
      <c r="H73" s="22" t="n">
        <v>314.35</v>
      </c>
      <c r="I73" s="21" t="n">
        <v>43110</v>
      </c>
      <c r="J73" s="22" t="n">
        <v>327.61</v>
      </c>
      <c r="K73" s="21" t="n">
        <v>43111</v>
      </c>
      <c r="L73" s="22" t="n">
        <v>326.92</v>
      </c>
      <c r="M73" s="8" t="s">
        <v>73</v>
      </c>
      <c r="N73" s="4" t="n">
        <v>2</v>
      </c>
      <c r="O73" s="6" t="n">
        <f aca="false">IF(C73="롱",(J73-E73)/E73,(E73-J73)/E73)</f>
        <v>-0.0110782419705384</v>
      </c>
    </row>
    <row r="74" customFormat="false" ht="17.15" hidden="false" customHeight="false" outlineLevel="0" collapsed="false">
      <c r="A74" s="4" t="n">
        <v>5</v>
      </c>
      <c r="B74" s="4" t="s">
        <v>20</v>
      </c>
      <c r="C74" s="8" t="s">
        <v>72</v>
      </c>
      <c r="D74" s="21" t="n">
        <v>43116</v>
      </c>
      <c r="E74" s="22" t="n">
        <v>330.02</v>
      </c>
      <c r="F74" s="21" t="n">
        <v>43117</v>
      </c>
      <c r="G74" s="22" t="n">
        <v>329.31</v>
      </c>
      <c r="H74" s="22" t="n">
        <v>312.64</v>
      </c>
      <c r="I74" s="21" t="n">
        <v>43117</v>
      </c>
      <c r="J74" s="22" t="n">
        <v>329.19</v>
      </c>
      <c r="K74" s="21" t="n">
        <v>43118</v>
      </c>
      <c r="L74" s="22" t="n">
        <v>331.03</v>
      </c>
      <c r="M74" s="8" t="s">
        <v>73</v>
      </c>
      <c r="N74" s="4" t="n">
        <v>1</v>
      </c>
      <c r="O74" s="6" t="n">
        <f aca="false">IF(C74="롱",(J74-E74)/E74,(E74-J74)/E74)</f>
        <v>-0.00251499909096414</v>
      </c>
    </row>
    <row r="75" customFormat="false" ht="17.15" hidden="false" customHeight="false" outlineLevel="0" collapsed="false">
      <c r="A75" s="4" t="n">
        <v>5</v>
      </c>
      <c r="B75" s="4" t="s">
        <v>20</v>
      </c>
      <c r="C75" s="8" t="s">
        <v>72</v>
      </c>
      <c r="D75" s="21" t="n">
        <v>43119</v>
      </c>
      <c r="E75" s="22" t="n">
        <v>329.52</v>
      </c>
      <c r="F75" s="21" t="n">
        <v>43122</v>
      </c>
      <c r="G75" s="22" t="n">
        <v>328.78</v>
      </c>
      <c r="H75" s="22" t="n">
        <v>312.5</v>
      </c>
      <c r="I75" s="21" t="n">
        <v>43122</v>
      </c>
      <c r="J75" s="22" t="n">
        <v>326.27</v>
      </c>
      <c r="K75" s="21" t="n">
        <v>43123</v>
      </c>
      <c r="L75" s="22" t="n">
        <v>327.42</v>
      </c>
      <c r="M75" s="8" t="s">
        <v>73</v>
      </c>
      <c r="N75" s="4" t="n">
        <v>1</v>
      </c>
      <c r="O75" s="6" t="n">
        <f aca="false">IF(C75="롱",(J75-E75)/E75,(E75-J75)/E75)</f>
        <v>-0.00986283078417092</v>
      </c>
    </row>
    <row r="76" customFormat="false" ht="17.15" hidden="false" customHeight="false" outlineLevel="0" collapsed="false">
      <c r="A76" s="4" t="n">
        <v>5</v>
      </c>
      <c r="B76" s="4" t="s">
        <v>20</v>
      </c>
      <c r="C76" s="8" t="s">
        <v>72</v>
      </c>
      <c r="D76" s="21" t="n">
        <v>43123</v>
      </c>
      <c r="E76" s="22" t="n">
        <v>330.93</v>
      </c>
      <c r="F76" s="21" t="n">
        <v>43124</v>
      </c>
      <c r="G76" s="22" t="n">
        <v>330.37</v>
      </c>
      <c r="H76" s="22" t="n">
        <v>313.53</v>
      </c>
      <c r="I76" s="21" t="n">
        <v>43133</v>
      </c>
      <c r="J76" s="22" t="n">
        <v>327.01</v>
      </c>
      <c r="K76" s="21" t="n">
        <v>43136</v>
      </c>
      <c r="L76" s="22" t="n">
        <v>322.05</v>
      </c>
      <c r="M76" s="8" t="s">
        <v>73</v>
      </c>
      <c r="N76" s="4" t="n">
        <v>8</v>
      </c>
      <c r="O76" s="6" t="n">
        <f aca="false">IF(C76="롱",(J76-E76)/E76,(E76-J76)/E76)</f>
        <v>-0.0118454053727375</v>
      </c>
    </row>
    <row r="77" customFormat="false" ht="17.15" hidden="false" customHeight="false" outlineLevel="0" collapsed="false">
      <c r="A77" s="4" t="n">
        <v>5</v>
      </c>
      <c r="B77" s="4" t="s">
        <v>20</v>
      </c>
      <c r="C77" s="8" t="s">
        <v>72</v>
      </c>
      <c r="D77" s="21" t="n">
        <v>43258</v>
      </c>
      <c r="E77" s="22" t="n">
        <v>317.67</v>
      </c>
      <c r="F77" s="21" t="n">
        <v>43259</v>
      </c>
      <c r="G77" s="22" t="n">
        <v>316.94</v>
      </c>
      <c r="H77" s="22" t="n">
        <v>301.32</v>
      </c>
      <c r="I77" s="21" t="n">
        <v>43259</v>
      </c>
      <c r="J77" s="22" t="n">
        <v>314.97</v>
      </c>
      <c r="K77" s="21" t="n">
        <v>43262</v>
      </c>
      <c r="L77" s="22" t="n">
        <v>315.24</v>
      </c>
      <c r="M77" s="8" t="s">
        <v>73</v>
      </c>
      <c r="N77" s="4" t="n">
        <v>1</v>
      </c>
      <c r="O77" s="6" t="n">
        <f aca="false">IF(C77="롱",(J77-E77)/E77,(E77-J77)/E77)</f>
        <v>-0.00849938615544429</v>
      </c>
    </row>
    <row r="78" customFormat="false" ht="17.15" hidden="false" customHeight="false" outlineLevel="0" collapsed="false">
      <c r="A78" s="4" t="n">
        <v>5</v>
      </c>
      <c r="B78" s="4" t="s">
        <v>20</v>
      </c>
      <c r="C78" s="8" t="s">
        <v>72</v>
      </c>
      <c r="D78" s="21" t="n">
        <v>43262</v>
      </c>
      <c r="E78" s="22" t="n">
        <v>317.22</v>
      </c>
      <c r="F78" s="21" t="n">
        <v>43263</v>
      </c>
      <c r="G78" s="22" t="n">
        <v>317.81</v>
      </c>
      <c r="H78" s="22" t="n">
        <v>300.9</v>
      </c>
      <c r="I78" s="21" t="n">
        <v>43265</v>
      </c>
      <c r="J78" s="22" t="n">
        <v>311.2</v>
      </c>
      <c r="K78" s="21" t="n">
        <v>43266</v>
      </c>
      <c r="L78" s="22" t="n">
        <v>312.43</v>
      </c>
      <c r="M78" s="8" t="s">
        <v>73</v>
      </c>
      <c r="N78" s="4" t="n">
        <v>2</v>
      </c>
      <c r="O78" s="6" t="n">
        <f aca="false">IF(C78="롱",(J78-E78)/E78,(E78-J78)/E78)</f>
        <v>-0.0189773658659607</v>
      </c>
    </row>
    <row r="79" customFormat="false" ht="17.15" hidden="false" customHeight="false" outlineLevel="0" collapsed="false">
      <c r="A79" s="4" t="n">
        <v>5</v>
      </c>
      <c r="B79" s="4" t="s">
        <v>20</v>
      </c>
      <c r="C79" s="8" t="s">
        <v>72</v>
      </c>
      <c r="D79" s="21" t="n">
        <v>43556</v>
      </c>
      <c r="E79" s="22" t="n">
        <v>280.32</v>
      </c>
      <c r="F79" s="21" t="n">
        <v>43557</v>
      </c>
      <c r="G79" s="22" t="n">
        <v>281.67</v>
      </c>
      <c r="H79" s="22" t="n">
        <v>264.27</v>
      </c>
      <c r="I79" s="21" t="n">
        <v>43580</v>
      </c>
      <c r="J79" s="22" t="n">
        <v>282.83</v>
      </c>
      <c r="K79" s="21" t="n">
        <v>43581</v>
      </c>
      <c r="L79" s="22" t="n">
        <v>280.86</v>
      </c>
      <c r="M79" s="8" t="s">
        <v>73</v>
      </c>
      <c r="N79" s="4" t="n">
        <v>18</v>
      </c>
      <c r="O79" s="6" t="n">
        <f aca="false">IF(C79="롱",(J79-E79)/E79,(E79-J79)/E79)</f>
        <v>0.00895405251141549</v>
      </c>
    </row>
    <row r="80" customFormat="false" ht="17.15" hidden="false" customHeight="false" outlineLevel="0" collapsed="false">
      <c r="A80" s="4" t="n">
        <v>5</v>
      </c>
      <c r="B80" s="4" t="s">
        <v>20</v>
      </c>
      <c r="C80" s="8" t="s">
        <v>72</v>
      </c>
      <c r="D80" s="21" t="n">
        <v>43584</v>
      </c>
      <c r="E80" s="22" t="n">
        <v>286.79</v>
      </c>
      <c r="F80" s="21" t="n">
        <v>43585</v>
      </c>
      <c r="G80" s="22" t="n">
        <v>286.25</v>
      </c>
      <c r="H80" s="22" t="n">
        <v>272.07</v>
      </c>
      <c r="I80" s="21" t="n">
        <v>43592</v>
      </c>
      <c r="J80" s="22" t="n">
        <v>281.31</v>
      </c>
      <c r="K80" s="21" t="n">
        <v>43593</v>
      </c>
      <c r="L80" s="22" t="n">
        <v>277.85</v>
      </c>
      <c r="M80" s="8" t="s">
        <v>73</v>
      </c>
      <c r="N80" s="4" t="n">
        <v>4</v>
      </c>
      <c r="O80" s="6" t="n">
        <f aca="false">IF(C80="롱",(J80-E80)/E80,(E80-J80)/E80)</f>
        <v>-0.0191080581610238</v>
      </c>
    </row>
    <row r="81" customFormat="false" ht="17.15" hidden="false" customHeight="false" outlineLevel="0" collapsed="false">
      <c r="A81" s="4" t="n">
        <v>5</v>
      </c>
      <c r="B81" s="4" t="s">
        <v>20</v>
      </c>
      <c r="C81" s="8" t="s">
        <v>72</v>
      </c>
      <c r="D81" s="21" t="n">
        <v>43808</v>
      </c>
      <c r="E81" s="22" t="n">
        <v>278.03</v>
      </c>
      <c r="F81" s="21" t="n">
        <v>43809</v>
      </c>
      <c r="G81" s="22" t="n">
        <v>276.8</v>
      </c>
      <c r="H81" s="22" t="n">
        <v>261.24</v>
      </c>
      <c r="I81" s="21" t="n">
        <v>43861</v>
      </c>
      <c r="J81" s="22" t="n">
        <v>284.53</v>
      </c>
      <c r="K81" s="21" t="n">
        <v>43864</v>
      </c>
      <c r="L81" s="22" t="n">
        <v>280.17</v>
      </c>
      <c r="M81" s="8" t="s">
        <v>73</v>
      </c>
      <c r="N81" s="4" t="n">
        <v>34</v>
      </c>
      <c r="O81" s="6" t="n">
        <f aca="false">IF(C81="롱",(J81-E81)/E81,(E81-J81)/E81)</f>
        <v>0.0233787720749559</v>
      </c>
    </row>
    <row r="82" customFormat="false" ht="17.15" hidden="false" customHeight="false" outlineLevel="0" collapsed="false">
      <c r="A82" s="4" t="n">
        <v>5</v>
      </c>
      <c r="B82" s="4" t="s">
        <v>20</v>
      </c>
      <c r="C82" s="8" t="s">
        <v>72</v>
      </c>
      <c r="D82" s="21" t="n">
        <v>43865</v>
      </c>
      <c r="E82" s="22" t="n">
        <v>290.68</v>
      </c>
      <c r="F82" s="21" t="n">
        <v>43866</v>
      </c>
      <c r="G82" s="22" t="n">
        <v>293.57</v>
      </c>
      <c r="H82" s="22" t="n">
        <v>266.76</v>
      </c>
      <c r="I82" s="21" t="n">
        <v>43885</v>
      </c>
      <c r="J82" s="22" t="n">
        <v>281.02</v>
      </c>
      <c r="K82" s="21" t="n">
        <v>43886</v>
      </c>
      <c r="L82" s="22" t="n">
        <v>280.48</v>
      </c>
      <c r="M82" s="8" t="s">
        <v>73</v>
      </c>
      <c r="N82" s="4" t="n">
        <v>14</v>
      </c>
      <c r="O82" s="6" t="n">
        <f aca="false">IF(C82="롱",(J82-E82)/E82,(E82-J82)/E82)</f>
        <v>-0.0332324205311684</v>
      </c>
    </row>
    <row r="83" customFormat="false" ht="17.15" hidden="false" customHeight="false" outlineLevel="0" collapsed="false">
      <c r="A83" s="4" t="n">
        <v>5</v>
      </c>
      <c r="B83" s="4" t="s">
        <v>20</v>
      </c>
      <c r="C83" s="8" t="s">
        <v>72</v>
      </c>
      <c r="D83" s="21" t="n">
        <v>44102</v>
      </c>
      <c r="E83" s="22" t="n">
        <v>307.03</v>
      </c>
      <c r="F83" s="21" t="n">
        <v>44103</v>
      </c>
      <c r="G83" s="22" t="n">
        <v>310.01</v>
      </c>
      <c r="H83" s="22" t="n">
        <v>281.78</v>
      </c>
      <c r="I83" s="21" t="n">
        <v>44131</v>
      </c>
      <c r="J83" s="22" t="n">
        <v>311.8</v>
      </c>
      <c r="K83" s="21" t="n">
        <v>44132</v>
      </c>
      <c r="L83" s="22" t="n">
        <v>310.66</v>
      </c>
      <c r="M83" s="8" t="s">
        <v>73</v>
      </c>
      <c r="N83" s="4" t="n">
        <v>17</v>
      </c>
      <c r="O83" s="6" t="n">
        <f aca="false">IF(C83="롱",(J83-E83)/E83,(E83-J83)/E83)</f>
        <v>0.0155359411132464</v>
      </c>
    </row>
    <row r="84" customFormat="false" ht="17.15" hidden="false" customHeight="false" outlineLevel="0" collapsed="false">
      <c r="A84" s="4" t="n">
        <v>5</v>
      </c>
      <c r="B84" s="4" t="s">
        <v>20</v>
      </c>
      <c r="C84" s="8" t="s">
        <v>72</v>
      </c>
      <c r="D84" s="21" t="n">
        <v>44132</v>
      </c>
      <c r="E84" s="22" t="n">
        <v>313.17</v>
      </c>
      <c r="F84" s="21" t="n">
        <v>44133</v>
      </c>
      <c r="G84" s="22" t="n">
        <v>308.99</v>
      </c>
      <c r="H84" s="22" t="n">
        <v>292.87</v>
      </c>
      <c r="I84" s="21" t="n">
        <v>44133</v>
      </c>
      <c r="J84" s="22" t="n">
        <v>309.94</v>
      </c>
      <c r="K84" s="21" t="n">
        <v>44134</v>
      </c>
      <c r="L84" s="22" t="n">
        <v>308.91</v>
      </c>
      <c r="M84" s="8" t="s">
        <v>73</v>
      </c>
      <c r="N84" s="4" t="n">
        <v>1</v>
      </c>
      <c r="O84" s="6" t="n">
        <f aca="false">IF(C84="롱",(J84-E84)/E84,(E84-J84)/E84)</f>
        <v>-0.0103138870262159</v>
      </c>
    </row>
    <row r="85" customFormat="false" ht="17.15" hidden="false" customHeight="false" outlineLevel="0" collapsed="false">
      <c r="A85" s="4" t="n">
        <v>5</v>
      </c>
      <c r="B85" s="4" t="s">
        <v>20</v>
      </c>
      <c r="C85" s="8" t="s">
        <v>72</v>
      </c>
      <c r="D85" s="21" t="n">
        <v>44139</v>
      </c>
      <c r="E85" s="22" t="n">
        <v>313.83</v>
      </c>
      <c r="F85" s="21" t="n">
        <v>44140</v>
      </c>
      <c r="G85" s="22" t="n">
        <v>315.74</v>
      </c>
      <c r="H85" s="22" t="n">
        <v>291.3</v>
      </c>
      <c r="I85" s="21" t="n">
        <v>44265</v>
      </c>
      <c r="J85" s="22" t="n">
        <v>403.48</v>
      </c>
      <c r="K85" s="21" t="n">
        <v>44266</v>
      </c>
      <c r="L85" s="22" t="n">
        <v>404.36</v>
      </c>
      <c r="M85" s="8" t="s">
        <v>73</v>
      </c>
      <c r="N85" s="4" t="n">
        <v>84</v>
      </c>
      <c r="O85" s="6" t="n">
        <f aca="false">IF(C85="롱",(J85-E85)/E85,(E85-J85)/E85)</f>
        <v>0.285664213109008</v>
      </c>
    </row>
    <row r="86" customFormat="false" ht="17.15" hidden="false" customHeight="false" outlineLevel="0" collapsed="false">
      <c r="A86" s="4" t="n">
        <v>5</v>
      </c>
      <c r="B86" s="4" t="s">
        <v>20</v>
      </c>
      <c r="C86" s="8" t="s">
        <v>72</v>
      </c>
      <c r="D86" s="21" t="n">
        <v>44266</v>
      </c>
      <c r="E86" s="22" t="n">
        <v>411.02</v>
      </c>
      <c r="F86" s="21" t="n">
        <v>44267</v>
      </c>
      <c r="G86" s="22" t="n">
        <v>413.67</v>
      </c>
      <c r="H86" s="22" t="n">
        <v>369.92</v>
      </c>
      <c r="I86" s="21" t="n">
        <v>44278</v>
      </c>
      <c r="J86" s="22" t="n">
        <v>408.71</v>
      </c>
      <c r="K86" s="21" t="n">
        <v>44279</v>
      </c>
      <c r="L86" s="22" t="n">
        <v>407.32</v>
      </c>
      <c r="M86" s="8" t="s">
        <v>73</v>
      </c>
      <c r="N86" s="4" t="n">
        <v>8</v>
      </c>
      <c r="O86" s="6" t="n">
        <f aca="false">IF(C86="롱",(J86-E86)/E86,(E86-J86)/E86)</f>
        <v>-0.0056201644688823</v>
      </c>
    </row>
    <row r="87" customFormat="false" ht="17.15" hidden="false" customHeight="false" outlineLevel="0" collapsed="false">
      <c r="A87" s="4" t="n">
        <v>5</v>
      </c>
      <c r="B87" s="4" t="s">
        <v>20</v>
      </c>
      <c r="C87" s="8" t="s">
        <v>72</v>
      </c>
      <c r="D87" s="21" t="n">
        <v>44285</v>
      </c>
      <c r="E87" s="22" t="n">
        <v>416.61</v>
      </c>
      <c r="F87" s="21" t="n">
        <v>44286</v>
      </c>
      <c r="G87" s="22" t="n">
        <v>417.12</v>
      </c>
      <c r="H87" s="22" t="n">
        <v>383.38</v>
      </c>
      <c r="I87" s="21" t="n">
        <v>44286</v>
      </c>
      <c r="J87" s="22" t="n">
        <v>415.04</v>
      </c>
      <c r="K87" s="21" t="n">
        <v>44287</v>
      </c>
      <c r="L87" s="22" t="n">
        <v>416.99</v>
      </c>
      <c r="M87" s="8" t="s">
        <v>73</v>
      </c>
      <c r="N87" s="4" t="n">
        <v>1</v>
      </c>
      <c r="O87" s="6" t="n">
        <f aca="false">IF(C87="롱",(J87-E87)/E87,(E87-J87)/E87)</f>
        <v>-0.00376851251770239</v>
      </c>
    </row>
    <row r="88" customFormat="false" ht="17.15" hidden="false" customHeight="false" outlineLevel="0" collapsed="false">
      <c r="A88" s="4" t="n">
        <v>5</v>
      </c>
      <c r="B88" s="4" t="s">
        <v>20</v>
      </c>
      <c r="C88" s="8" t="s">
        <v>72</v>
      </c>
      <c r="D88" s="21" t="n">
        <v>44287</v>
      </c>
      <c r="E88" s="22" t="n">
        <v>419.42</v>
      </c>
      <c r="F88" s="21" t="n">
        <v>44288</v>
      </c>
      <c r="G88" s="22" t="n">
        <v>422.19</v>
      </c>
      <c r="H88" s="22" t="n">
        <v>387.94</v>
      </c>
      <c r="I88" s="21" t="n">
        <v>44329</v>
      </c>
      <c r="J88" s="22" t="n">
        <v>416.07</v>
      </c>
      <c r="K88" s="21" t="n">
        <v>44330</v>
      </c>
      <c r="L88" s="22" t="n">
        <v>417.5</v>
      </c>
      <c r="M88" s="8" t="s">
        <v>73</v>
      </c>
      <c r="N88" s="4" t="n">
        <v>29</v>
      </c>
      <c r="O88" s="6" t="n">
        <f aca="false">IF(C88="롱",(J88-E88)/E88,(E88-J88)/E88)</f>
        <v>-0.0079872204472844</v>
      </c>
    </row>
    <row r="89" customFormat="false" ht="17.15" hidden="false" customHeight="false" outlineLevel="0" collapsed="false">
      <c r="A89" s="4" t="n">
        <v>5</v>
      </c>
      <c r="B89" s="4" t="s">
        <v>20</v>
      </c>
      <c r="C89" s="8" t="s">
        <v>72</v>
      </c>
      <c r="D89" s="21" t="n">
        <v>44334</v>
      </c>
      <c r="E89" s="22" t="n">
        <v>423.09</v>
      </c>
      <c r="F89" s="21" t="n">
        <v>44336</v>
      </c>
      <c r="G89" s="22" t="n">
        <v>423.38</v>
      </c>
      <c r="H89" s="22" t="n">
        <v>393.36</v>
      </c>
      <c r="I89" s="21" t="n">
        <v>44386</v>
      </c>
      <c r="J89" s="22" t="n">
        <v>427.84</v>
      </c>
      <c r="K89" s="21" t="n">
        <v>44389</v>
      </c>
      <c r="L89" s="22" t="n">
        <v>429.33</v>
      </c>
      <c r="M89" s="8" t="s">
        <v>73</v>
      </c>
      <c r="N89" s="4" t="n">
        <v>37</v>
      </c>
      <c r="O89" s="6" t="n">
        <f aca="false">IF(C89="롱",(J89-E89)/E89,(E89-J89)/E89)</f>
        <v>0.0112269257132052</v>
      </c>
    </row>
    <row r="90" customFormat="false" ht="17.15" hidden="false" customHeight="false" outlineLevel="0" collapsed="false">
      <c r="A90" s="4" t="n">
        <v>5</v>
      </c>
      <c r="B90" s="4" t="s">
        <v>20</v>
      </c>
      <c r="C90" s="8" t="s">
        <v>72</v>
      </c>
      <c r="D90" s="21" t="n">
        <v>44389</v>
      </c>
      <c r="E90" s="22" t="n">
        <v>431.28</v>
      </c>
      <c r="F90" s="21" t="n">
        <v>44390</v>
      </c>
      <c r="G90" s="22" t="n">
        <v>432.39</v>
      </c>
      <c r="H90" s="22" t="n">
        <v>412.37</v>
      </c>
      <c r="I90" s="21" t="n">
        <v>44396</v>
      </c>
      <c r="J90" s="22" t="n">
        <v>429.89</v>
      </c>
      <c r="K90" s="21" t="n">
        <v>44397</v>
      </c>
      <c r="L90" s="22" t="n">
        <v>427.14</v>
      </c>
      <c r="M90" s="8" t="s">
        <v>73</v>
      </c>
      <c r="N90" s="4" t="n">
        <v>5</v>
      </c>
      <c r="O90" s="6" t="n">
        <f aca="false">IF(C90="롱",(J90-E90)/E90,(E90-J90)/E90)</f>
        <v>-0.00322296419959188</v>
      </c>
    </row>
    <row r="91" customFormat="false" ht="17.15" hidden="false" customHeight="false" outlineLevel="0" collapsed="false">
      <c r="A91" s="4" t="n">
        <v>5</v>
      </c>
      <c r="B91" s="4" t="s">
        <v>20</v>
      </c>
      <c r="C91" s="8" t="s">
        <v>72</v>
      </c>
      <c r="D91" s="21" t="n">
        <v>44399</v>
      </c>
      <c r="E91" s="22" t="n">
        <v>431.38</v>
      </c>
      <c r="F91" s="21" t="n">
        <v>44400</v>
      </c>
      <c r="G91" s="22" t="n">
        <v>431.75</v>
      </c>
      <c r="H91" s="22" t="n">
        <v>410.36</v>
      </c>
      <c r="I91" s="21" t="n">
        <v>44403</v>
      </c>
      <c r="J91" s="22" t="n">
        <v>427.47</v>
      </c>
      <c r="K91" s="21" t="n">
        <v>44404</v>
      </c>
      <c r="L91" s="22" t="n">
        <v>430.14</v>
      </c>
      <c r="M91" s="8" t="s">
        <v>73</v>
      </c>
      <c r="N91" s="4" t="n">
        <v>2</v>
      </c>
      <c r="O91" s="6" t="n">
        <f aca="false">IF(C91="롱",(J91-E91)/E91,(E91-J91)/E91)</f>
        <v>-0.00906393435022479</v>
      </c>
    </row>
    <row r="92" customFormat="false" ht="17.15" hidden="false" customHeight="false" outlineLevel="0" collapsed="false">
      <c r="A92" s="4" t="n">
        <v>5</v>
      </c>
      <c r="B92" s="4" t="s">
        <v>20</v>
      </c>
      <c r="C92" s="8" t="s">
        <v>72</v>
      </c>
      <c r="D92" s="21" t="n">
        <v>44412</v>
      </c>
      <c r="E92" s="22" t="n">
        <v>436.05</v>
      </c>
      <c r="F92" s="21" t="n">
        <v>44413</v>
      </c>
      <c r="G92" s="22" t="n">
        <v>436.46</v>
      </c>
      <c r="H92" s="22" t="n">
        <v>412.57</v>
      </c>
      <c r="I92" s="21" t="n">
        <v>44418</v>
      </c>
      <c r="J92" s="22" t="n">
        <v>428.56</v>
      </c>
      <c r="K92" s="21" t="n">
        <v>44419</v>
      </c>
      <c r="L92" s="22" t="n">
        <v>427.16</v>
      </c>
      <c r="M92" s="8" t="s">
        <v>73</v>
      </c>
      <c r="N92" s="4" t="n">
        <v>4</v>
      </c>
      <c r="O92" s="6" t="n">
        <f aca="false">IF(C92="롱",(J92-E92)/E92,(E92-J92)/E92)</f>
        <v>-0.0171769292512327</v>
      </c>
    </row>
    <row r="93" customFormat="false" ht="17.15" hidden="false" customHeight="false" outlineLevel="0" collapsed="false">
      <c r="A93" s="4" t="n">
        <v>5</v>
      </c>
      <c r="B93" s="4" t="s">
        <v>20</v>
      </c>
      <c r="C93" s="8" t="s">
        <v>72</v>
      </c>
      <c r="D93" s="21" t="n">
        <v>44922</v>
      </c>
      <c r="E93" s="22" t="n">
        <v>304.22</v>
      </c>
      <c r="F93" s="21" t="n">
        <v>44923</v>
      </c>
      <c r="G93" s="22" t="n">
        <v>299.36</v>
      </c>
      <c r="H93" s="22" t="n">
        <v>284</v>
      </c>
      <c r="I93" s="21" t="n">
        <v>44923</v>
      </c>
      <c r="J93" s="22" t="n">
        <v>297.09</v>
      </c>
      <c r="K93" s="21" t="n">
        <v>44924</v>
      </c>
      <c r="L93" s="22" t="n">
        <v>294.98</v>
      </c>
      <c r="M93" s="8" t="s">
        <v>73</v>
      </c>
      <c r="N93" s="4" t="n">
        <v>1</v>
      </c>
      <c r="O93" s="6" t="n">
        <f aca="false">IF(C93="롱",(J93-E93)/E93,(E93-J93)/E93)</f>
        <v>-0.0234369863914274</v>
      </c>
    </row>
    <row r="94" customFormat="false" ht="17.15" hidden="false" customHeight="false" outlineLevel="0" collapsed="false">
      <c r="A94" s="4" t="n">
        <v>5</v>
      </c>
      <c r="B94" s="4" t="s">
        <v>20</v>
      </c>
      <c r="C94" s="8" t="s">
        <v>72</v>
      </c>
      <c r="D94" s="21" t="n">
        <v>44935</v>
      </c>
      <c r="E94" s="22" t="n">
        <v>309.69</v>
      </c>
      <c r="F94" s="21" t="n">
        <v>44936</v>
      </c>
      <c r="G94" s="22" t="n">
        <v>308.69</v>
      </c>
      <c r="H94" s="22" t="n">
        <v>285.25</v>
      </c>
      <c r="I94" s="21" t="n">
        <v>44995</v>
      </c>
      <c r="J94" s="22" t="n">
        <v>310.65</v>
      </c>
      <c r="K94" s="21" t="n">
        <v>44998</v>
      </c>
      <c r="L94" s="22" t="n">
        <v>311.77</v>
      </c>
      <c r="M94" s="8" t="s">
        <v>73</v>
      </c>
      <c r="N94" s="4" t="n">
        <v>41</v>
      </c>
      <c r="O94" s="6" t="n">
        <f aca="false">IF(C94="롱",(J94-E94)/E94,(E94-J94)/E94)</f>
        <v>0.00309987406761594</v>
      </c>
    </row>
    <row r="95" customFormat="false" ht="17.15" hidden="false" customHeight="false" outlineLevel="0" collapsed="false">
      <c r="A95" s="4" t="n">
        <v>5</v>
      </c>
      <c r="B95" s="4" t="s">
        <v>20</v>
      </c>
      <c r="C95" s="8" t="s">
        <v>72</v>
      </c>
      <c r="D95" s="21" t="n">
        <v>45007</v>
      </c>
      <c r="E95" s="22" t="n">
        <v>314.11</v>
      </c>
      <c r="F95" s="21" t="n">
        <v>45008</v>
      </c>
      <c r="G95" s="22" t="n">
        <v>311.51</v>
      </c>
      <c r="H95" s="22" t="n">
        <v>291.26</v>
      </c>
      <c r="I95" s="21" t="n">
        <v>45012</v>
      </c>
      <c r="J95" s="22" t="n">
        <v>312.85</v>
      </c>
      <c r="K95" s="21" t="n">
        <v>45013</v>
      </c>
      <c r="L95" s="22" t="n">
        <v>314.15</v>
      </c>
      <c r="M95" s="8" t="s">
        <v>73</v>
      </c>
      <c r="N95" s="4" t="n">
        <v>3</v>
      </c>
      <c r="O95" s="6" t="n">
        <f aca="false">IF(C95="롱",(J95-E95)/E95,(E95-J95)/E95)</f>
        <v>-0.00401133360924514</v>
      </c>
    </row>
    <row r="96" customFormat="false" ht="17.15" hidden="false" customHeight="false" outlineLevel="0" collapsed="false">
      <c r="A96" s="4" t="n">
        <v>5</v>
      </c>
      <c r="B96" s="4" t="s">
        <v>20</v>
      </c>
      <c r="C96" s="8" t="s">
        <v>72</v>
      </c>
      <c r="D96" s="21" t="n">
        <v>45013</v>
      </c>
      <c r="E96" s="22" t="n">
        <v>316.36</v>
      </c>
      <c r="F96" s="21" t="n">
        <v>45014</v>
      </c>
      <c r="G96" s="22" t="n">
        <v>315.68</v>
      </c>
      <c r="H96" s="22" t="n">
        <v>294.98</v>
      </c>
      <c r="I96" s="21" t="n">
        <v>45114</v>
      </c>
      <c r="J96" s="22" t="n">
        <v>331.57</v>
      </c>
      <c r="K96" s="21" t="n">
        <v>45117</v>
      </c>
      <c r="L96" s="22" t="n">
        <v>331.82</v>
      </c>
      <c r="M96" s="8" t="s">
        <v>73</v>
      </c>
      <c r="N96" s="4" t="n">
        <v>69</v>
      </c>
      <c r="O96" s="6" t="n">
        <f aca="false">IF(C96="롱",(J96-E96)/E96,(E96-J96)/E96)</f>
        <v>0.0480781388291819</v>
      </c>
    </row>
    <row r="97" customFormat="false" ht="17.15" hidden="false" customHeight="false" outlineLevel="0" collapsed="false">
      <c r="A97" s="4" t="n">
        <v>5</v>
      </c>
      <c r="B97" s="4" t="s">
        <v>20</v>
      </c>
      <c r="C97" s="8" t="s">
        <v>72</v>
      </c>
      <c r="D97" s="21" t="n">
        <v>45118</v>
      </c>
      <c r="E97" s="22" t="n">
        <v>337.02</v>
      </c>
      <c r="F97" s="21" t="n">
        <v>45119</v>
      </c>
      <c r="G97" s="22" t="n">
        <v>336.82</v>
      </c>
      <c r="H97" s="22" t="n">
        <v>318.86</v>
      </c>
      <c r="I97" s="21" t="n">
        <v>45146</v>
      </c>
      <c r="J97" s="22" t="n">
        <v>337.95</v>
      </c>
      <c r="K97" s="21" t="n">
        <v>45147</v>
      </c>
      <c r="L97" s="22" t="n">
        <v>339</v>
      </c>
      <c r="M97" s="8" t="s">
        <v>73</v>
      </c>
      <c r="N97" s="4" t="n">
        <v>20</v>
      </c>
      <c r="O97" s="6" t="n">
        <f aca="false">IF(C97="롱",(J97-E97)/E97,(E97-J97)/E97)</f>
        <v>0.00275948014954604</v>
      </c>
    </row>
    <row r="98" customFormat="false" ht="17.15" hidden="false" customHeight="false" outlineLevel="0" collapsed="false">
      <c r="A98" s="4" t="n">
        <v>5</v>
      </c>
      <c r="B98" s="4" t="s">
        <v>20</v>
      </c>
      <c r="C98" s="8" t="s">
        <v>72</v>
      </c>
      <c r="D98" s="21" t="n">
        <v>45147</v>
      </c>
      <c r="E98" s="22" t="n">
        <v>341.61</v>
      </c>
      <c r="F98" s="21" t="n">
        <v>45148</v>
      </c>
      <c r="G98" s="22" t="n">
        <v>339.69</v>
      </c>
      <c r="H98" s="22" t="n">
        <v>319.84</v>
      </c>
      <c r="I98" s="21" t="n">
        <v>45149</v>
      </c>
      <c r="J98" s="22" t="n">
        <v>338.98</v>
      </c>
      <c r="K98" s="21" t="n">
        <v>45152</v>
      </c>
      <c r="L98" s="22" t="n">
        <v>338.58</v>
      </c>
      <c r="M98" s="8" t="s">
        <v>73</v>
      </c>
      <c r="N98" s="4" t="n">
        <v>2</v>
      </c>
      <c r="O98" s="6" t="n">
        <f aca="false">IF(C98="롱",(J98-E98)/E98,(E98-J98)/E98)</f>
        <v>-0.00769883785603465</v>
      </c>
    </row>
    <row r="99" customFormat="false" ht="17.15" hidden="false" customHeight="false" outlineLevel="0" collapsed="false">
      <c r="A99" s="4" t="n">
        <v>5</v>
      </c>
      <c r="B99" s="4" t="s">
        <v>20</v>
      </c>
      <c r="C99" s="8" t="s">
        <v>72</v>
      </c>
      <c r="D99" s="21" t="n">
        <v>45173</v>
      </c>
      <c r="E99" s="22" t="n">
        <v>341.02</v>
      </c>
      <c r="F99" s="21" t="n">
        <v>45174</v>
      </c>
      <c r="G99" s="22" t="n">
        <v>340.15</v>
      </c>
      <c r="H99" s="22" t="n">
        <v>321.39</v>
      </c>
      <c r="I99" s="21" t="n">
        <v>45175</v>
      </c>
      <c r="J99" s="22" t="n">
        <v>337.85</v>
      </c>
      <c r="K99" s="21" t="n">
        <v>45176</v>
      </c>
      <c r="L99" s="22" t="n">
        <v>336.93</v>
      </c>
      <c r="M99" s="8" t="s">
        <v>73</v>
      </c>
      <c r="N99" s="4" t="n">
        <v>2</v>
      </c>
      <c r="O99" s="6" t="n">
        <f aca="false">IF(C99="롱",(J99-E99)/E99,(E99-J99)/E99)</f>
        <v>-0.00929564248431165</v>
      </c>
    </row>
    <row r="100" customFormat="false" ht="17.15" hidden="false" customHeight="false" outlineLevel="0" collapsed="false">
      <c r="A100" s="4" t="n">
        <v>5</v>
      </c>
      <c r="B100" s="4" t="s">
        <v>20</v>
      </c>
      <c r="C100" s="8" t="s">
        <v>72</v>
      </c>
      <c r="D100" s="21" t="n">
        <v>45314</v>
      </c>
      <c r="E100" s="22" t="n">
        <v>334.97</v>
      </c>
      <c r="F100" s="21" t="n">
        <v>45315</v>
      </c>
      <c r="G100" s="22" t="n">
        <v>334.45</v>
      </c>
      <c r="H100" s="22" t="n">
        <v>311.6</v>
      </c>
      <c r="I100" s="21" t="n">
        <v>45315</v>
      </c>
      <c r="J100" s="22" t="n">
        <v>333.27</v>
      </c>
      <c r="K100" s="21" t="n">
        <v>45316</v>
      </c>
      <c r="L100" s="22" t="n">
        <v>333.2</v>
      </c>
      <c r="M100" s="8" t="s">
        <v>73</v>
      </c>
      <c r="N100" s="4" t="n">
        <v>1</v>
      </c>
      <c r="O100" s="6" t="n">
        <f aca="false">IF(C100="롱",(J100-E100)/E100,(E100-J100)/E100)</f>
        <v>-0.00507508135056884</v>
      </c>
    </row>
    <row r="101" customFormat="false" ht="17.15" hidden="false" customHeight="false" outlineLevel="0" collapsed="false">
      <c r="A101" s="4" t="n">
        <v>5</v>
      </c>
      <c r="B101" s="4" t="s">
        <v>20</v>
      </c>
      <c r="C101" s="8" t="s">
        <v>72</v>
      </c>
      <c r="D101" s="21" t="n">
        <v>45320</v>
      </c>
      <c r="E101" s="22" t="n">
        <v>337.84</v>
      </c>
      <c r="F101" s="21" t="n">
        <v>45321</v>
      </c>
      <c r="G101" s="22" t="n">
        <v>340.96</v>
      </c>
      <c r="H101" s="22" t="n">
        <v>313.4</v>
      </c>
      <c r="I101" s="21" t="n">
        <v>45322</v>
      </c>
      <c r="J101" s="22" t="n">
        <v>336.24</v>
      </c>
      <c r="K101" s="21" t="n">
        <v>45323</v>
      </c>
      <c r="L101" s="22" t="n">
        <v>335.89</v>
      </c>
      <c r="M101" s="8" t="s">
        <v>73</v>
      </c>
      <c r="N101" s="4" t="n">
        <v>2</v>
      </c>
      <c r="O101" s="6" t="n">
        <f aca="false">IF(C101="롱",(J101-E101)/E101,(E101-J101)/E101)</f>
        <v>-0.00473596968979389</v>
      </c>
    </row>
    <row r="102" customFormat="false" ht="17.15" hidden="false" customHeight="false" outlineLevel="0" collapsed="false">
      <c r="A102" s="4" t="n">
        <v>5</v>
      </c>
      <c r="B102" s="4" t="s">
        <v>20</v>
      </c>
      <c r="C102" s="8" t="s">
        <v>72</v>
      </c>
      <c r="D102" s="21" t="n">
        <v>45323</v>
      </c>
      <c r="E102" s="22" t="n">
        <v>342.41</v>
      </c>
      <c r="F102" s="21" t="n">
        <v>45324</v>
      </c>
      <c r="G102" s="22" t="n">
        <v>345.1</v>
      </c>
      <c r="H102" s="22" t="n">
        <v>319.36</v>
      </c>
      <c r="I102" s="21" t="n">
        <v>45399</v>
      </c>
      <c r="J102" s="22" t="n">
        <v>352.79</v>
      </c>
      <c r="K102" s="21" t="n">
        <v>45400</v>
      </c>
      <c r="L102" s="22" t="n">
        <v>354.25</v>
      </c>
      <c r="M102" s="8" t="s">
        <v>73</v>
      </c>
      <c r="N102" s="4" t="n">
        <v>50</v>
      </c>
      <c r="O102" s="6" t="n">
        <f aca="false">IF(C102="롱",(J102-E102)/E102,(E102-J102)/E102)</f>
        <v>0.0303145352063316</v>
      </c>
    </row>
    <row r="103" customFormat="false" ht="17.15" hidden="false" customHeight="false" outlineLevel="0" collapsed="false">
      <c r="A103" s="4" t="n">
        <v>5</v>
      </c>
      <c r="B103" s="4" t="s">
        <v>20</v>
      </c>
      <c r="C103" s="8" t="s">
        <v>72</v>
      </c>
      <c r="D103" s="21" t="n">
        <v>45400</v>
      </c>
      <c r="E103" s="22" t="n">
        <v>359.06</v>
      </c>
      <c r="F103" s="21" t="n">
        <v>45401</v>
      </c>
      <c r="G103" s="22" t="n">
        <v>353.9</v>
      </c>
      <c r="H103" s="22" t="n">
        <v>330.69</v>
      </c>
      <c r="I103" s="21" t="n">
        <v>45401</v>
      </c>
      <c r="J103" s="22" t="n">
        <v>352.58</v>
      </c>
      <c r="K103" s="21" t="n">
        <v>45404</v>
      </c>
      <c r="L103" s="22" t="n">
        <v>355.68</v>
      </c>
      <c r="M103" s="8" t="s">
        <v>73</v>
      </c>
      <c r="N103" s="4" t="n">
        <v>1</v>
      </c>
      <c r="O103" s="6" t="n">
        <f aca="false">IF(C103="롱",(J103-E103)/E103,(E103-J103)/E103)</f>
        <v>-0.0180471230435025</v>
      </c>
    </row>
    <row r="104" customFormat="false" ht="17.15" hidden="false" customHeight="false" outlineLevel="0" collapsed="false">
      <c r="A104" s="4" t="n">
        <v>5</v>
      </c>
      <c r="B104" s="4" t="s">
        <v>20</v>
      </c>
      <c r="C104" s="8" t="s">
        <v>72</v>
      </c>
      <c r="D104" s="21" t="n">
        <v>45406</v>
      </c>
      <c r="E104" s="22" t="n">
        <v>363.6</v>
      </c>
      <c r="F104" s="21" t="n">
        <v>45407</v>
      </c>
      <c r="G104" s="22" t="n">
        <v>359.05</v>
      </c>
      <c r="H104" s="22" t="n">
        <v>335.12</v>
      </c>
      <c r="I104" s="21" t="n">
        <v>45407</v>
      </c>
      <c r="J104" s="22" t="n">
        <v>356.51</v>
      </c>
      <c r="K104" s="21" t="n">
        <v>45408</v>
      </c>
      <c r="L104" s="22" t="n">
        <v>360.18</v>
      </c>
      <c r="M104" s="8" t="s">
        <v>73</v>
      </c>
      <c r="N104" s="4" t="n">
        <v>1</v>
      </c>
      <c r="O104" s="6" t="n">
        <f aca="false">IF(C104="롱",(J104-E104)/E104,(E104-J104)/E104)</f>
        <v>-0.0194994499449946</v>
      </c>
    </row>
    <row r="105" customFormat="false" ht="17.15" hidden="false" customHeight="false" outlineLevel="0" collapsed="false">
      <c r="A105" s="4" t="n">
        <v>5</v>
      </c>
      <c r="B105" s="4" t="s">
        <v>20</v>
      </c>
      <c r="C105" s="8" t="s">
        <v>72</v>
      </c>
      <c r="D105" s="21" t="n">
        <v>45408</v>
      </c>
      <c r="E105" s="22" t="n">
        <v>361.02</v>
      </c>
      <c r="F105" s="21" t="n">
        <v>45411</v>
      </c>
      <c r="G105" s="22" t="n">
        <v>363.71</v>
      </c>
      <c r="H105" s="22" t="n">
        <v>330.72</v>
      </c>
      <c r="I105" s="21" t="n">
        <v>45441</v>
      </c>
      <c r="J105" s="22" t="n">
        <v>364.96</v>
      </c>
      <c r="K105" s="21" t="n">
        <v>45442</v>
      </c>
      <c r="L105" s="22" t="n">
        <v>363.33</v>
      </c>
      <c r="M105" s="8" t="s">
        <v>73</v>
      </c>
      <c r="N105" s="4" t="n">
        <v>21</v>
      </c>
      <c r="O105" s="6" t="n">
        <f aca="false">IF(C105="롱",(J105-E105)/E105,(E105-J105)/E105)</f>
        <v>0.010913522796521</v>
      </c>
    </row>
    <row r="106" customFormat="false" ht="17.15" hidden="false" customHeight="false" outlineLevel="0" collapsed="false">
      <c r="A106" s="4" t="n">
        <v>5</v>
      </c>
      <c r="B106" s="4" t="s">
        <v>20</v>
      </c>
      <c r="C106" s="8" t="s">
        <v>72</v>
      </c>
      <c r="D106" s="21" t="n">
        <v>45450</v>
      </c>
      <c r="E106" s="22" t="n">
        <v>371.39</v>
      </c>
      <c r="F106" s="21" t="n">
        <v>45453</v>
      </c>
      <c r="G106" s="22" t="n">
        <v>367.76</v>
      </c>
      <c r="H106" s="22" t="n">
        <v>346.1</v>
      </c>
      <c r="I106" s="21" t="n">
        <v>45498</v>
      </c>
      <c r="J106" s="22" t="n">
        <v>371.26</v>
      </c>
      <c r="K106" s="21" t="n">
        <v>45499</v>
      </c>
      <c r="L106" s="22" t="n">
        <v>373.44</v>
      </c>
      <c r="M106" s="8" t="s">
        <v>73</v>
      </c>
      <c r="N106" s="4" t="n">
        <v>34</v>
      </c>
      <c r="O106" s="6" t="n">
        <f aca="false">IF(C106="롱",(J106-E106)/E106,(E106-J106)/E106)</f>
        <v>-0.000350036349928634</v>
      </c>
    </row>
    <row r="107" customFormat="false" ht="17.15" hidden="false" customHeight="false" outlineLevel="0" collapsed="false">
      <c r="A107" s="4" t="n">
        <v>5</v>
      </c>
      <c r="B107" s="4" t="s">
        <v>20</v>
      </c>
      <c r="C107" s="8" t="s">
        <v>72</v>
      </c>
      <c r="D107" s="21" t="n">
        <v>45502</v>
      </c>
      <c r="E107" s="22" t="n">
        <v>378.73</v>
      </c>
      <c r="F107" s="21" t="n">
        <v>45503</v>
      </c>
      <c r="G107" s="22" t="n">
        <v>375.39</v>
      </c>
      <c r="H107" s="22" t="n">
        <v>353.17</v>
      </c>
      <c r="I107" s="21" t="n">
        <v>45503</v>
      </c>
      <c r="J107" s="22" t="n">
        <v>374.87</v>
      </c>
      <c r="K107" s="21" t="n">
        <v>45504</v>
      </c>
      <c r="L107" s="22" t="n">
        <v>376.01</v>
      </c>
      <c r="M107" s="8" t="s">
        <v>73</v>
      </c>
      <c r="N107" s="4" t="n">
        <v>1</v>
      </c>
      <c r="O107" s="6" t="n">
        <f aca="false">IF(C107="롱",(J107-E107)/E107,(E107-J107)/E107)</f>
        <v>-0.0101919573310802</v>
      </c>
    </row>
    <row r="108" customFormat="false" ht="17.15" hidden="false" customHeight="false" outlineLevel="0" collapsed="false">
      <c r="A108" s="4" t="n">
        <v>5</v>
      </c>
      <c r="B108" s="4" t="s">
        <v>20</v>
      </c>
      <c r="C108" s="8" t="s">
        <v>72</v>
      </c>
      <c r="D108" s="21" t="n">
        <v>45504</v>
      </c>
      <c r="E108" s="22" t="n">
        <v>380.49</v>
      </c>
      <c r="F108" s="21" t="n">
        <v>45505</v>
      </c>
      <c r="G108" s="22" t="n">
        <v>383.68</v>
      </c>
      <c r="H108" s="22" t="n">
        <v>353.89</v>
      </c>
      <c r="I108" s="21" t="n">
        <v>45506</v>
      </c>
      <c r="J108" s="22" t="n">
        <v>365.17</v>
      </c>
      <c r="K108" s="21" t="n">
        <v>45509</v>
      </c>
      <c r="L108" s="22" t="n">
        <v>355.28</v>
      </c>
      <c r="M108" s="8" t="s">
        <v>73</v>
      </c>
      <c r="N108" s="4" t="n">
        <v>2</v>
      </c>
      <c r="O108" s="6" t="n">
        <f aca="false">IF(C108="롱",(J108-E108)/E108,(E108-J108)/E108)</f>
        <v>-0.0402638702725433</v>
      </c>
    </row>
    <row r="109" customFormat="false" ht="17.15" hidden="false" customHeight="false" outlineLevel="0" collapsed="false">
      <c r="A109" s="4" t="n">
        <v>5</v>
      </c>
      <c r="B109" s="4" t="s">
        <v>20</v>
      </c>
      <c r="C109" s="8" t="s">
        <v>72</v>
      </c>
      <c r="D109" s="21" t="n">
        <v>46113</v>
      </c>
      <c r="E109" s="22" t="n">
        <v>813.84</v>
      </c>
      <c r="F109" s="21" t="n">
        <v>46114</v>
      </c>
      <c r="G109" s="22" t="n">
        <v>825.52</v>
      </c>
      <c r="H109" s="22" t="n">
        <v>732.46</v>
      </c>
      <c r="I109" s="21" t="n">
        <v>46114</v>
      </c>
      <c r="J109" s="22" t="n">
        <v>774.63</v>
      </c>
      <c r="K109" s="21" t="n">
        <v>46115</v>
      </c>
      <c r="L109" s="22" t="n">
        <v>797.34</v>
      </c>
      <c r="M109" s="8" t="s">
        <v>73</v>
      </c>
      <c r="N109" s="4" t="n">
        <v>1</v>
      </c>
      <c r="O109" s="6" t="n">
        <f aca="false">IF(C109="롱",(J109-E109)/E109,(E109-J109)/E109)</f>
        <v>-0.0481790032438809</v>
      </c>
    </row>
    <row r="110" customFormat="false" ht="17.15" hidden="false" customHeight="false" outlineLevel="0" collapsed="false">
      <c r="A110" s="4" t="n">
        <v>5</v>
      </c>
      <c r="B110" s="4" t="s">
        <v>20</v>
      </c>
      <c r="C110" s="8" t="s">
        <v>72</v>
      </c>
      <c r="D110" s="21" t="n">
        <v>46115</v>
      </c>
      <c r="E110" s="22" t="n">
        <v>798.32</v>
      </c>
      <c r="F110" s="21" t="n">
        <v>46118</v>
      </c>
      <c r="G110" s="22" t="n">
        <v>806.59</v>
      </c>
      <c r="H110" s="22" t="n">
        <v>718.49</v>
      </c>
      <c r="I110" s="21" t="n">
        <v>46211</v>
      </c>
      <c r="J110" s="22" t="n">
        <v>1158.37</v>
      </c>
      <c r="K110" s="21" t="n">
        <v>46212</v>
      </c>
      <c r="L110" s="22" t="n">
        <v>1202.01</v>
      </c>
      <c r="M110" s="8" t="s">
        <v>73</v>
      </c>
      <c r="N110" s="4" t="n">
        <v>64</v>
      </c>
      <c r="O110" s="6" t="n">
        <f aca="false">IF(C110="롱",(J110-E110)/E110,(E110-J110)/E110)</f>
        <v>0.451009620202425</v>
      </c>
    </row>
  </sheetData>
  <autoFilter ref="A4:O1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10" min="9" style="0" width="14"/>
    <col collapsed="false" customWidth="true" hidden="false" outlineLevel="0" max="11" min="11" style="0" width="16"/>
    <col collapsed="false" customWidth="true" hidden="false" outlineLevel="0" max="12" min="12" style="0" width="12"/>
    <col collapsed="false" customWidth="true" hidden="false" outlineLevel="0" max="13" min="13" style="0" width="16"/>
    <col collapsed="false" customWidth="true" hidden="false" outlineLevel="0" max="14" min="14" style="0" width="7"/>
    <col collapsed="false" customWidth="true" hidden="false" outlineLevel="0" max="15" min="15" style="0" width="16"/>
  </cols>
  <sheetData>
    <row r="1" customFormat="false" ht="19.4" hidden="false" customHeight="false" outlineLevel="0" collapsed="false">
      <c r="A1" s="1" t="s">
        <v>83</v>
      </c>
    </row>
    <row r="2" customFormat="false" ht="15" hidden="false" customHeight="false" outlineLevel="0" collapsed="false">
      <c r="A2" s="2" t="s">
        <v>58</v>
      </c>
    </row>
    <row r="4" customFormat="false" ht="31.5" hidden="false" customHeight="true" outlineLevel="0" collapsed="false">
      <c r="A4" s="19" t="s">
        <v>2</v>
      </c>
      <c r="B4" s="19" t="s">
        <v>3</v>
      </c>
      <c r="C4" s="19" t="s">
        <v>59</v>
      </c>
      <c r="D4" s="19" t="s">
        <v>60</v>
      </c>
      <c r="E4" s="19" t="s">
        <v>61</v>
      </c>
      <c r="F4" s="20" t="s">
        <v>62</v>
      </c>
      <c r="G4" s="19" t="s">
        <v>63</v>
      </c>
      <c r="H4" s="19" t="s">
        <v>64</v>
      </c>
      <c r="I4" s="19" t="s">
        <v>65</v>
      </c>
      <c r="J4" s="19" t="s">
        <v>66</v>
      </c>
      <c r="K4" s="20" t="s">
        <v>67</v>
      </c>
      <c r="L4" s="19" t="s">
        <v>68</v>
      </c>
      <c r="M4" s="19" t="s">
        <v>69</v>
      </c>
      <c r="N4" s="19" t="s">
        <v>70</v>
      </c>
      <c r="O4" s="19" t="s">
        <v>71</v>
      </c>
    </row>
    <row r="5" customFormat="false" ht="17.15" hidden="false" customHeight="false" outlineLevel="0" collapsed="false">
      <c r="A5" s="4" t="n">
        <v>6</v>
      </c>
      <c r="B5" s="4" t="s">
        <v>22</v>
      </c>
      <c r="C5" s="8" t="s">
        <v>72</v>
      </c>
      <c r="D5" s="21" t="n">
        <v>37771</v>
      </c>
      <c r="E5" s="22" t="n">
        <v>80.53</v>
      </c>
      <c r="F5" s="21" t="n">
        <v>37774</v>
      </c>
      <c r="G5" s="22" t="n">
        <v>81.92</v>
      </c>
      <c r="H5" s="22" t="n">
        <v>72.48</v>
      </c>
      <c r="I5" s="21" t="n">
        <v>37795</v>
      </c>
      <c r="J5" s="22" t="n">
        <v>86.06</v>
      </c>
      <c r="K5" s="21" t="n">
        <v>37796</v>
      </c>
      <c r="L5" s="22" t="n">
        <v>84.71</v>
      </c>
      <c r="M5" s="8" t="s">
        <v>73</v>
      </c>
      <c r="N5" s="4" t="n">
        <v>15</v>
      </c>
      <c r="O5" s="6" t="n">
        <f aca="false">IF(C5="롱",(J5-E5)/E5,(E5-J5)/E5)</f>
        <v>0.0686700608468894</v>
      </c>
    </row>
    <row r="6" customFormat="false" ht="17.15" hidden="false" customHeight="false" outlineLevel="0" collapsed="false">
      <c r="A6" s="4" t="n">
        <v>6</v>
      </c>
      <c r="B6" s="4" t="s">
        <v>22</v>
      </c>
      <c r="C6" s="8" t="s">
        <v>72</v>
      </c>
      <c r="D6" s="21" t="n">
        <v>37809</v>
      </c>
      <c r="E6" s="22" t="n">
        <v>90.07</v>
      </c>
      <c r="F6" s="21" t="n">
        <v>37810</v>
      </c>
      <c r="G6" s="22" t="n">
        <v>91.58</v>
      </c>
      <c r="H6" s="22" t="n">
        <v>82.2</v>
      </c>
      <c r="I6" s="21" t="n">
        <v>37812</v>
      </c>
      <c r="J6" s="22" t="n">
        <v>89.61</v>
      </c>
      <c r="K6" s="21" t="n">
        <v>37813</v>
      </c>
      <c r="L6" s="22" t="n">
        <v>88.79</v>
      </c>
      <c r="M6" s="8" t="s">
        <v>73</v>
      </c>
      <c r="N6" s="4" t="n">
        <v>3</v>
      </c>
      <c r="O6" s="6" t="n">
        <f aca="false">IF(C6="롱",(J6-E6)/E6,(E6-J6)/E6)</f>
        <v>-0.00510713889197284</v>
      </c>
    </row>
    <row r="7" customFormat="false" ht="17.15" hidden="false" customHeight="false" outlineLevel="0" collapsed="false">
      <c r="A7" s="4" t="n">
        <v>6</v>
      </c>
      <c r="B7" s="4" t="s">
        <v>22</v>
      </c>
      <c r="C7" s="8" t="s">
        <v>72</v>
      </c>
      <c r="D7" s="21" t="n">
        <v>37852</v>
      </c>
      <c r="E7" s="22" t="n">
        <v>95.2</v>
      </c>
      <c r="F7" s="21" t="n">
        <v>37853</v>
      </c>
      <c r="G7" s="22" t="n">
        <v>95.23</v>
      </c>
      <c r="H7" s="22" t="n">
        <v>87.84</v>
      </c>
      <c r="I7" s="21" t="n">
        <v>37861</v>
      </c>
      <c r="J7" s="22" t="n">
        <v>96.71</v>
      </c>
      <c r="K7" s="21" t="n">
        <v>37862</v>
      </c>
      <c r="L7" s="22" t="n">
        <v>97.22</v>
      </c>
      <c r="M7" s="8" t="s">
        <v>73</v>
      </c>
      <c r="N7" s="4" t="n">
        <v>7</v>
      </c>
      <c r="O7" s="6" t="n">
        <f aca="false">IF(C7="롱",(J7-E7)/E7,(E7-J7)/E7)</f>
        <v>0.015861344537815</v>
      </c>
    </row>
    <row r="8" customFormat="false" ht="17.15" hidden="false" customHeight="false" outlineLevel="0" collapsed="false">
      <c r="A8" s="4" t="n">
        <v>6</v>
      </c>
      <c r="B8" s="4" t="s">
        <v>22</v>
      </c>
      <c r="C8" s="8" t="s">
        <v>72</v>
      </c>
      <c r="D8" s="21" t="n">
        <v>37866</v>
      </c>
      <c r="E8" s="22" t="n">
        <v>98.54</v>
      </c>
      <c r="F8" s="21" t="n">
        <v>37867</v>
      </c>
      <c r="G8" s="22" t="n">
        <v>99.1</v>
      </c>
      <c r="H8" s="22" t="n">
        <v>91.48</v>
      </c>
      <c r="I8" s="21" t="n">
        <v>37869</v>
      </c>
      <c r="J8" s="22" t="n">
        <v>97.93</v>
      </c>
      <c r="K8" s="21" t="n">
        <v>37872</v>
      </c>
      <c r="L8" s="22" t="n">
        <v>97.7</v>
      </c>
      <c r="M8" s="8" t="s">
        <v>73</v>
      </c>
      <c r="N8" s="4" t="n">
        <v>3</v>
      </c>
      <c r="O8" s="6" t="n">
        <f aca="false">IF(C8="롱",(J8-E8)/E8,(E8-J8)/E8)</f>
        <v>-0.00619037954130302</v>
      </c>
    </row>
    <row r="9" customFormat="false" ht="17.15" hidden="false" customHeight="false" outlineLevel="0" collapsed="false">
      <c r="A9" s="4" t="n">
        <v>6</v>
      </c>
      <c r="B9" s="4" t="s">
        <v>22</v>
      </c>
      <c r="C9" s="8" t="s">
        <v>72</v>
      </c>
      <c r="D9" s="21" t="n">
        <v>37923</v>
      </c>
      <c r="E9" s="22" t="n">
        <v>101.1</v>
      </c>
      <c r="F9" s="21" t="n">
        <v>37924</v>
      </c>
      <c r="G9" s="22" t="n">
        <v>101.79</v>
      </c>
      <c r="H9" s="22" t="n">
        <v>90.99</v>
      </c>
      <c r="I9" s="21" t="n">
        <v>37931</v>
      </c>
      <c r="J9" s="22" t="n">
        <v>102.36</v>
      </c>
      <c r="K9" s="21" t="n">
        <v>37932</v>
      </c>
      <c r="L9" s="22" t="n">
        <v>103.22</v>
      </c>
      <c r="M9" s="8" t="s">
        <v>73</v>
      </c>
      <c r="N9" s="4" t="n">
        <v>6</v>
      </c>
      <c r="O9" s="6" t="n">
        <f aca="false">IF(C9="롱",(J9-E9)/E9,(E9-J9)/E9)</f>
        <v>0.0124629080118695</v>
      </c>
    </row>
    <row r="10" customFormat="false" ht="17.15" hidden="false" customHeight="false" outlineLevel="0" collapsed="false">
      <c r="A10" s="4" t="n">
        <v>6</v>
      </c>
      <c r="B10" s="4" t="s">
        <v>22</v>
      </c>
      <c r="C10" s="8" t="s">
        <v>72</v>
      </c>
      <c r="D10" s="21" t="n">
        <v>37988</v>
      </c>
      <c r="E10" s="22" t="n">
        <v>106.65</v>
      </c>
      <c r="F10" s="21" t="n">
        <v>37991</v>
      </c>
      <c r="G10" s="22" t="n">
        <v>106.01</v>
      </c>
      <c r="H10" s="22" t="n">
        <v>96.94</v>
      </c>
      <c r="I10" s="21" t="n">
        <v>38001</v>
      </c>
      <c r="J10" s="22" t="n">
        <v>110.34</v>
      </c>
      <c r="K10" s="21" t="n">
        <v>38002</v>
      </c>
      <c r="L10" s="22" t="n">
        <v>111.48</v>
      </c>
      <c r="M10" s="8" t="s">
        <v>73</v>
      </c>
      <c r="N10" s="4" t="n">
        <v>9</v>
      </c>
      <c r="O10" s="6" t="n">
        <f aca="false">IF(C10="롱",(J10-E10)/E10,(E10-J10)/E10)</f>
        <v>0.0345991561181434</v>
      </c>
    </row>
    <row r="11" customFormat="false" ht="17.15" hidden="false" customHeight="false" outlineLevel="0" collapsed="false">
      <c r="A11" s="4" t="n">
        <v>6</v>
      </c>
      <c r="B11" s="4" t="s">
        <v>22</v>
      </c>
      <c r="C11" s="8" t="s">
        <v>72</v>
      </c>
      <c r="D11" s="21" t="n">
        <v>38006</v>
      </c>
      <c r="E11" s="22" t="n">
        <v>112.63</v>
      </c>
      <c r="F11" s="21" t="n">
        <v>38012</v>
      </c>
      <c r="G11" s="22" t="n">
        <v>113.51</v>
      </c>
      <c r="H11" s="22" t="n">
        <v>104.07</v>
      </c>
      <c r="I11" s="21" t="n">
        <v>38014</v>
      </c>
      <c r="J11" s="22" t="n">
        <v>112.59</v>
      </c>
      <c r="K11" s="21" t="n">
        <v>38015</v>
      </c>
      <c r="L11" s="22" t="n">
        <v>111.46</v>
      </c>
      <c r="M11" s="8" t="s">
        <v>73</v>
      </c>
      <c r="N11" s="4" t="n">
        <v>3</v>
      </c>
      <c r="O11" s="6" t="n">
        <f aca="false">IF(C11="롱",(J11-E11)/E11,(E11-J11)/E11)</f>
        <v>-0.000355145165586363</v>
      </c>
    </row>
    <row r="12" customFormat="false" ht="17.15" hidden="false" customHeight="false" outlineLevel="0" collapsed="false">
      <c r="A12" s="4" t="n">
        <v>6</v>
      </c>
      <c r="B12" s="4" t="s">
        <v>22</v>
      </c>
      <c r="C12" s="8" t="s">
        <v>72</v>
      </c>
      <c r="D12" s="21" t="n">
        <v>38028</v>
      </c>
      <c r="E12" s="22" t="n">
        <v>114.92</v>
      </c>
      <c r="F12" s="21" t="n">
        <v>38029</v>
      </c>
      <c r="G12" s="22" t="n">
        <v>115.67</v>
      </c>
      <c r="H12" s="22" t="n">
        <v>107.01</v>
      </c>
      <c r="I12" s="21" t="n">
        <v>38035</v>
      </c>
      <c r="J12" s="22" t="n">
        <v>114.87</v>
      </c>
      <c r="K12" s="21" t="n">
        <v>38036</v>
      </c>
      <c r="L12" s="22" t="n">
        <v>115.33</v>
      </c>
      <c r="M12" s="8" t="s">
        <v>73</v>
      </c>
      <c r="N12" s="4" t="n">
        <v>5</v>
      </c>
      <c r="O12" s="6" t="n">
        <f aca="false">IF(C12="롱",(J12-E12)/E12,(E12-J12)/E12)</f>
        <v>-0.000435085276714211</v>
      </c>
    </row>
    <row r="13" customFormat="false" ht="17.15" hidden="false" customHeight="false" outlineLevel="0" collapsed="false">
      <c r="A13" s="4" t="n">
        <v>6</v>
      </c>
      <c r="B13" s="4" t="s">
        <v>22</v>
      </c>
      <c r="C13" s="8" t="s">
        <v>72</v>
      </c>
      <c r="D13" s="21" t="n">
        <v>38079</v>
      </c>
      <c r="E13" s="22" t="n">
        <v>116.35</v>
      </c>
      <c r="F13" s="21" t="n">
        <v>38083</v>
      </c>
      <c r="G13" s="22" t="n">
        <v>118.58</v>
      </c>
      <c r="H13" s="22" t="n">
        <v>105.55</v>
      </c>
      <c r="I13" s="21" t="n">
        <v>38093</v>
      </c>
      <c r="J13" s="22" t="n">
        <v>117.97</v>
      </c>
      <c r="K13" s="21" t="n">
        <v>38096</v>
      </c>
      <c r="L13" s="22" t="n">
        <v>118.22</v>
      </c>
      <c r="M13" s="8" t="s">
        <v>73</v>
      </c>
      <c r="N13" s="4" t="n">
        <v>8</v>
      </c>
      <c r="O13" s="6" t="n">
        <f aca="false">IF(C13="롱",(J13-E13)/E13,(E13-J13)/E13)</f>
        <v>0.0139235066609369</v>
      </c>
    </row>
    <row r="14" customFormat="false" ht="17.15" hidden="false" customHeight="false" outlineLevel="0" collapsed="false">
      <c r="A14" s="4" t="n">
        <v>6</v>
      </c>
      <c r="B14" s="4" t="s">
        <v>22</v>
      </c>
      <c r="C14" s="8" t="s">
        <v>72</v>
      </c>
      <c r="D14" s="21" t="n">
        <v>38098</v>
      </c>
      <c r="E14" s="22" t="n">
        <v>121.93</v>
      </c>
      <c r="F14" s="21" t="n">
        <v>38099</v>
      </c>
      <c r="G14" s="22" t="n">
        <v>122.01</v>
      </c>
      <c r="H14" s="22" t="n">
        <v>111.63</v>
      </c>
      <c r="I14" s="21" t="n">
        <v>38103</v>
      </c>
      <c r="J14" s="22" t="n">
        <v>120.3</v>
      </c>
      <c r="K14" s="21" t="n">
        <v>38104</v>
      </c>
      <c r="L14" s="22" t="n">
        <v>120.11</v>
      </c>
      <c r="M14" s="8" t="s">
        <v>73</v>
      </c>
      <c r="N14" s="4" t="n">
        <v>3</v>
      </c>
      <c r="O14" s="6" t="n">
        <f aca="false">IF(C14="롱",(J14-E14)/E14,(E14-J14)/E14)</f>
        <v>-0.0133683260887395</v>
      </c>
    </row>
    <row r="15" customFormat="false" ht="17.15" hidden="false" customHeight="false" outlineLevel="0" collapsed="false">
      <c r="A15" s="4" t="n">
        <v>6</v>
      </c>
      <c r="B15" s="4" t="s">
        <v>22</v>
      </c>
      <c r="C15" s="8" t="s">
        <v>72</v>
      </c>
      <c r="D15" s="21" t="n">
        <v>38243</v>
      </c>
      <c r="E15" s="22" t="n">
        <v>109.56</v>
      </c>
      <c r="F15" s="21" t="n">
        <v>38244</v>
      </c>
      <c r="G15" s="22" t="n">
        <v>110.28</v>
      </c>
      <c r="H15" s="22" t="n">
        <v>101.65</v>
      </c>
      <c r="I15" s="21" t="n">
        <v>38247</v>
      </c>
      <c r="J15" s="22" t="n">
        <v>109.32</v>
      </c>
      <c r="K15" s="21" t="n">
        <v>38250</v>
      </c>
      <c r="L15" s="22" t="n">
        <v>109.49</v>
      </c>
      <c r="M15" s="8" t="s">
        <v>73</v>
      </c>
      <c r="N15" s="4" t="n">
        <v>4</v>
      </c>
      <c r="O15" s="6" t="n">
        <f aca="false">IF(C15="롱",(J15-E15)/E15,(E15-J15)/E15)</f>
        <v>-0.0021905805038336</v>
      </c>
    </row>
    <row r="16" customFormat="false" ht="17.15" hidden="false" customHeight="false" outlineLevel="0" collapsed="false">
      <c r="A16" s="4" t="n">
        <v>6</v>
      </c>
      <c r="B16" s="4" t="s">
        <v>22</v>
      </c>
      <c r="C16" s="8" t="s">
        <v>72</v>
      </c>
      <c r="D16" s="21" t="n">
        <v>38264</v>
      </c>
      <c r="E16" s="22" t="n">
        <v>114.02</v>
      </c>
      <c r="F16" s="21" t="n">
        <v>38265</v>
      </c>
      <c r="G16" s="22" t="n">
        <v>114.21</v>
      </c>
      <c r="H16" s="22" t="n">
        <v>104.32</v>
      </c>
      <c r="I16" s="21" t="n">
        <v>38268</v>
      </c>
      <c r="J16" s="22" t="n">
        <v>113.82</v>
      </c>
      <c r="K16" s="21" t="n">
        <v>38271</v>
      </c>
      <c r="L16" s="22" t="n">
        <v>113.16</v>
      </c>
      <c r="M16" s="8" t="s">
        <v>73</v>
      </c>
      <c r="N16" s="4" t="n">
        <v>4</v>
      </c>
      <c r="O16" s="6" t="n">
        <f aca="false">IF(C16="롱",(J16-E16)/E16,(E16-J16)/E16)</f>
        <v>-0.00175407823188917</v>
      </c>
    </row>
    <row r="17" customFormat="false" ht="17.15" hidden="false" customHeight="false" outlineLevel="0" collapsed="false">
      <c r="A17" s="4" t="n">
        <v>6</v>
      </c>
      <c r="B17" s="4" t="s">
        <v>22</v>
      </c>
      <c r="C17" s="8" t="s">
        <v>72</v>
      </c>
      <c r="D17" s="21" t="n">
        <v>38294</v>
      </c>
      <c r="E17" s="22" t="n">
        <v>111.58</v>
      </c>
      <c r="F17" s="21" t="n">
        <v>38295</v>
      </c>
      <c r="G17" s="22" t="n">
        <v>111.41</v>
      </c>
      <c r="H17" s="22" t="n">
        <v>100.67</v>
      </c>
      <c r="I17" s="21" t="n">
        <v>38299</v>
      </c>
      <c r="J17" s="22" t="n">
        <v>109.34</v>
      </c>
      <c r="K17" s="21" t="n">
        <v>38300</v>
      </c>
      <c r="L17" s="22" t="n">
        <v>109.27</v>
      </c>
      <c r="M17" s="8" t="s">
        <v>73</v>
      </c>
      <c r="N17" s="4" t="n">
        <v>3</v>
      </c>
      <c r="O17" s="6" t="n">
        <f aca="false">IF(C17="롱",(J17-E17)/E17,(E17-J17)/E17)</f>
        <v>-0.0200752823086574</v>
      </c>
    </row>
    <row r="18" customFormat="false" ht="17.15" hidden="false" customHeight="false" outlineLevel="0" collapsed="false">
      <c r="A18" s="4" t="n">
        <v>6</v>
      </c>
      <c r="B18" s="4" t="s">
        <v>22</v>
      </c>
      <c r="C18" s="8" t="s">
        <v>72</v>
      </c>
      <c r="D18" s="21" t="n">
        <v>38303</v>
      </c>
      <c r="E18" s="22" t="n">
        <v>113.41</v>
      </c>
      <c r="F18" s="21" t="n">
        <v>38306</v>
      </c>
      <c r="G18" s="22" t="n">
        <v>113.78</v>
      </c>
      <c r="H18" s="22" t="n">
        <v>102.6</v>
      </c>
      <c r="I18" s="21" t="n">
        <v>38309</v>
      </c>
      <c r="J18" s="22" t="n">
        <v>113.33</v>
      </c>
      <c r="K18" s="21" t="n">
        <v>38310</v>
      </c>
      <c r="L18" s="22" t="n">
        <v>113.81</v>
      </c>
      <c r="M18" s="8" t="s">
        <v>73</v>
      </c>
      <c r="N18" s="4" t="n">
        <v>4</v>
      </c>
      <c r="O18" s="6" t="n">
        <f aca="false">IF(C18="롱",(J18-E18)/E18,(E18-J18)/E18)</f>
        <v>-0.000705405167092834</v>
      </c>
    </row>
    <row r="19" customFormat="false" ht="17.15" hidden="false" customHeight="false" outlineLevel="0" collapsed="false">
      <c r="A19" s="4" t="n">
        <v>6</v>
      </c>
      <c r="B19" s="4" t="s">
        <v>22</v>
      </c>
      <c r="C19" s="8" t="s">
        <v>72</v>
      </c>
      <c r="D19" s="21" t="n">
        <v>38341</v>
      </c>
      <c r="E19" s="22" t="n">
        <v>113.45</v>
      </c>
      <c r="F19" s="21" t="n">
        <v>38342</v>
      </c>
      <c r="G19" s="22" t="n">
        <v>113.22</v>
      </c>
      <c r="H19" s="22" t="n">
        <v>103.55</v>
      </c>
      <c r="I19" s="21" t="n">
        <v>38344</v>
      </c>
      <c r="J19" s="22" t="n">
        <v>112.54</v>
      </c>
      <c r="K19" s="21" t="n">
        <v>38345</v>
      </c>
      <c r="L19" s="22" t="n">
        <v>112.69</v>
      </c>
      <c r="M19" s="8" t="s">
        <v>73</v>
      </c>
      <c r="N19" s="4" t="n">
        <v>3</v>
      </c>
      <c r="O19" s="6" t="n">
        <f aca="false">IF(C19="롱",(J19-E19)/E19,(E19-J19)/E19)</f>
        <v>-0.00802115469369763</v>
      </c>
    </row>
    <row r="20" customFormat="false" ht="17.15" hidden="false" customHeight="false" outlineLevel="0" collapsed="false">
      <c r="A20" s="4" t="n">
        <v>6</v>
      </c>
      <c r="B20" s="4" t="s">
        <v>22</v>
      </c>
      <c r="C20" s="8" t="s">
        <v>72</v>
      </c>
      <c r="D20" s="21" t="n">
        <v>38351</v>
      </c>
      <c r="E20" s="22" t="n">
        <v>115.25</v>
      </c>
      <c r="F20" s="21" t="n">
        <v>38355</v>
      </c>
      <c r="G20" s="22" t="n">
        <v>115.65</v>
      </c>
      <c r="H20" s="22" t="n">
        <v>106.65</v>
      </c>
      <c r="I20" s="21" t="n">
        <v>38357</v>
      </c>
      <c r="J20" s="22" t="n">
        <v>114.65</v>
      </c>
      <c r="K20" s="21" t="n">
        <v>38358</v>
      </c>
      <c r="L20" s="22" t="n">
        <v>113.88</v>
      </c>
      <c r="M20" s="8" t="s">
        <v>73</v>
      </c>
      <c r="N20" s="4" t="n">
        <v>3</v>
      </c>
      <c r="O20" s="6" t="n">
        <f aca="false">IF(C20="롱",(J20-E20)/E20,(E20-J20)/E20)</f>
        <v>-0.00520607375271145</v>
      </c>
    </row>
    <row r="21" customFormat="false" ht="17.15" hidden="false" customHeight="false" outlineLevel="0" collapsed="false">
      <c r="A21" s="4" t="n">
        <v>6</v>
      </c>
      <c r="B21" s="4" t="s">
        <v>22</v>
      </c>
      <c r="C21" s="8" t="s">
        <v>72</v>
      </c>
      <c r="D21" s="21" t="n">
        <v>38369</v>
      </c>
      <c r="E21" s="22" t="n">
        <v>119.91</v>
      </c>
      <c r="F21" s="21" t="n">
        <v>38370</v>
      </c>
      <c r="G21" s="22" t="n">
        <v>119.91</v>
      </c>
      <c r="H21" s="22" t="n">
        <v>111.64</v>
      </c>
      <c r="I21" s="21" t="n">
        <v>38372</v>
      </c>
      <c r="J21" s="22" t="n">
        <v>118.02</v>
      </c>
      <c r="K21" s="21" t="n">
        <v>38373</v>
      </c>
      <c r="L21" s="22" t="n">
        <v>118.14</v>
      </c>
      <c r="M21" s="8" t="s">
        <v>73</v>
      </c>
      <c r="N21" s="4" t="n">
        <v>3</v>
      </c>
      <c r="O21" s="6" t="n">
        <f aca="false">IF(C21="롱",(J21-E21)/E21,(E21-J21)/E21)</f>
        <v>-0.0157618213660245</v>
      </c>
    </row>
    <row r="22" customFormat="false" ht="17.15" hidden="false" customHeight="false" outlineLevel="0" collapsed="false">
      <c r="A22" s="4" t="n">
        <v>6</v>
      </c>
      <c r="B22" s="4" t="s">
        <v>22</v>
      </c>
      <c r="C22" s="8" t="s">
        <v>72</v>
      </c>
      <c r="D22" s="21" t="n">
        <v>38390</v>
      </c>
      <c r="E22" s="22" t="n">
        <v>123.2</v>
      </c>
      <c r="F22" s="21" t="n">
        <v>38394</v>
      </c>
      <c r="G22" s="22" t="n">
        <v>122.6</v>
      </c>
      <c r="H22" s="22" t="n">
        <v>114.86</v>
      </c>
      <c r="I22" s="21" t="n">
        <v>38405</v>
      </c>
      <c r="J22" s="22" t="n">
        <v>126.74</v>
      </c>
      <c r="K22" s="21" t="n">
        <v>38406</v>
      </c>
      <c r="L22" s="22" t="n">
        <v>125.49</v>
      </c>
      <c r="M22" s="8" t="s">
        <v>73</v>
      </c>
      <c r="N22" s="4" t="n">
        <v>8</v>
      </c>
      <c r="O22" s="6" t="n">
        <f aca="false">IF(C22="롱",(J22-E22)/E22,(E22-J22)/E22)</f>
        <v>0.0287337662337662</v>
      </c>
    </row>
    <row r="23" customFormat="false" ht="17.15" hidden="false" customHeight="false" outlineLevel="0" collapsed="false">
      <c r="A23" s="4" t="n">
        <v>6</v>
      </c>
      <c r="B23" s="4" t="s">
        <v>22</v>
      </c>
      <c r="C23" s="8" t="s">
        <v>72</v>
      </c>
      <c r="D23" s="21" t="n">
        <v>38411</v>
      </c>
      <c r="E23" s="22" t="n">
        <v>130.85</v>
      </c>
      <c r="F23" s="21" t="n">
        <v>38413</v>
      </c>
      <c r="G23" s="22" t="n">
        <v>131.21</v>
      </c>
      <c r="H23" s="22" t="n">
        <v>122.79</v>
      </c>
      <c r="I23" s="21" t="n">
        <v>38418</v>
      </c>
      <c r="J23" s="22" t="n">
        <v>130.11</v>
      </c>
      <c r="K23" s="21" t="n">
        <v>38419</v>
      </c>
      <c r="L23" s="22" t="n">
        <v>130.54</v>
      </c>
      <c r="M23" s="8" t="s">
        <v>73</v>
      </c>
      <c r="N23" s="4" t="n">
        <v>4</v>
      </c>
      <c r="O23" s="6" t="n">
        <f aca="false">IF(C23="롱",(J23-E23)/E23,(E23-J23)/E23)</f>
        <v>-0.00565533053114238</v>
      </c>
    </row>
    <row r="24" customFormat="false" ht="17.15" hidden="false" customHeight="false" outlineLevel="0" collapsed="false">
      <c r="A24" s="4" t="n">
        <v>6</v>
      </c>
      <c r="B24" s="4" t="s">
        <v>22</v>
      </c>
      <c r="C24" s="8" t="s">
        <v>72</v>
      </c>
      <c r="D24" s="21" t="n">
        <v>38449</v>
      </c>
      <c r="E24" s="22" t="n">
        <v>127.92</v>
      </c>
      <c r="F24" s="21" t="n">
        <v>38450</v>
      </c>
      <c r="G24" s="22" t="n">
        <v>128.86</v>
      </c>
      <c r="H24" s="22" t="n">
        <v>117.44</v>
      </c>
      <c r="I24" s="21" t="n">
        <v>38453</v>
      </c>
      <c r="J24" s="22" t="n">
        <v>127.59</v>
      </c>
      <c r="K24" s="21" t="n">
        <v>38454</v>
      </c>
      <c r="L24" s="22" t="n">
        <v>127.23</v>
      </c>
      <c r="M24" s="8" t="s">
        <v>73</v>
      </c>
      <c r="N24" s="4" t="n">
        <v>2</v>
      </c>
      <c r="O24" s="6" t="n">
        <f aca="false">IF(C24="롱",(J24-E24)/E24,(E24-J24)/E24)</f>
        <v>-0.00257973733583488</v>
      </c>
    </row>
    <row r="25" customFormat="false" ht="17.15" hidden="false" customHeight="false" outlineLevel="0" collapsed="false">
      <c r="A25" s="4" t="n">
        <v>6</v>
      </c>
      <c r="B25" s="4" t="s">
        <v>22</v>
      </c>
      <c r="C25" s="8" t="s">
        <v>72</v>
      </c>
      <c r="D25" s="21" t="n">
        <v>38537</v>
      </c>
      <c r="E25" s="22" t="n">
        <v>130.95</v>
      </c>
      <c r="F25" s="21" t="n">
        <v>38538</v>
      </c>
      <c r="G25" s="22" t="n">
        <v>131.12</v>
      </c>
      <c r="H25" s="22" t="n">
        <v>122.91</v>
      </c>
      <c r="I25" s="21" t="n">
        <v>38568</v>
      </c>
      <c r="J25" s="22" t="n">
        <v>143.52</v>
      </c>
      <c r="K25" s="21" t="n">
        <v>38569</v>
      </c>
      <c r="L25" s="22" t="n">
        <v>141.9</v>
      </c>
      <c r="M25" s="8" t="s">
        <v>73</v>
      </c>
      <c r="N25" s="4" t="n">
        <v>23</v>
      </c>
      <c r="O25" s="6" t="n">
        <f aca="false">IF(C25="롱",(J25-E25)/E25,(E25-J25)/E25)</f>
        <v>0.0959908361970219</v>
      </c>
    </row>
    <row r="26" customFormat="false" ht="17.15" hidden="false" customHeight="false" outlineLevel="0" collapsed="false">
      <c r="A26" s="4" t="n">
        <v>6</v>
      </c>
      <c r="B26" s="4" t="s">
        <v>22</v>
      </c>
      <c r="C26" s="8" t="s">
        <v>72</v>
      </c>
      <c r="D26" s="21" t="n">
        <v>38603</v>
      </c>
      <c r="E26" s="22" t="n">
        <v>148.41</v>
      </c>
      <c r="F26" s="21" t="n">
        <v>38604</v>
      </c>
      <c r="G26" s="22" t="n">
        <v>148.47</v>
      </c>
      <c r="H26" s="22" t="n">
        <v>135.27</v>
      </c>
      <c r="I26" s="21" t="n">
        <v>38618</v>
      </c>
      <c r="J26" s="22" t="n">
        <v>152.39</v>
      </c>
      <c r="K26" s="21" t="n">
        <v>38621</v>
      </c>
      <c r="L26" s="22" t="n">
        <v>153.2</v>
      </c>
      <c r="M26" s="8" t="s">
        <v>73</v>
      </c>
      <c r="N26" s="4" t="n">
        <v>10</v>
      </c>
      <c r="O26" s="6" t="n">
        <f aca="false">IF(C26="롱",(J26-E26)/E26,(E26-J26)/E26)</f>
        <v>0.0268175998921905</v>
      </c>
    </row>
    <row r="27" customFormat="false" ht="17.15" hidden="false" customHeight="false" outlineLevel="0" collapsed="false">
      <c r="A27" s="4" t="n">
        <v>6</v>
      </c>
      <c r="B27" s="4" t="s">
        <v>22</v>
      </c>
      <c r="C27" s="8" t="s">
        <v>72</v>
      </c>
      <c r="D27" s="21" t="n">
        <v>38623</v>
      </c>
      <c r="E27" s="22" t="n">
        <v>158.88</v>
      </c>
      <c r="F27" s="21" t="n">
        <v>38624</v>
      </c>
      <c r="G27" s="22" t="n">
        <v>159.05</v>
      </c>
      <c r="H27" s="22" t="n">
        <v>147.25</v>
      </c>
      <c r="I27" s="21" t="n">
        <v>38625</v>
      </c>
      <c r="J27" s="22" t="n">
        <v>157.55</v>
      </c>
      <c r="K27" s="21" t="n">
        <v>38629</v>
      </c>
      <c r="L27" s="22" t="n">
        <v>158.49</v>
      </c>
      <c r="M27" s="8" t="s">
        <v>73</v>
      </c>
      <c r="N27" s="4" t="n">
        <v>2</v>
      </c>
      <c r="O27" s="6" t="n">
        <f aca="false">IF(C27="롱",(J27-E27)/E27,(E27-J27)/E27)</f>
        <v>-0.00837109768378641</v>
      </c>
    </row>
    <row r="28" customFormat="false" ht="17.15" hidden="false" customHeight="false" outlineLevel="0" collapsed="false">
      <c r="A28" s="4" t="n">
        <v>6</v>
      </c>
      <c r="B28" s="4" t="s">
        <v>22</v>
      </c>
      <c r="C28" s="8" t="s">
        <v>72</v>
      </c>
      <c r="D28" s="21" t="n">
        <v>38659</v>
      </c>
      <c r="E28" s="22" t="n">
        <v>156.89</v>
      </c>
      <c r="F28" s="21" t="n">
        <v>38660</v>
      </c>
      <c r="G28" s="22" t="n">
        <v>157.53</v>
      </c>
      <c r="H28" s="22" t="n">
        <v>141.2</v>
      </c>
      <c r="I28" s="21" t="n">
        <v>38678</v>
      </c>
      <c r="J28" s="22" t="n">
        <v>159.68</v>
      </c>
      <c r="K28" s="21" t="n">
        <v>38679</v>
      </c>
      <c r="L28" s="22" t="n">
        <v>160.61</v>
      </c>
      <c r="M28" s="8" t="s">
        <v>73</v>
      </c>
      <c r="N28" s="4" t="n">
        <v>13</v>
      </c>
      <c r="O28" s="6" t="n">
        <f aca="false">IF(C28="롱",(J28-E28)/E28,(E28-J28)/E28)</f>
        <v>0.0177831601759196</v>
      </c>
    </row>
    <row r="29" customFormat="false" ht="17.15" hidden="false" customHeight="false" outlineLevel="0" collapsed="false">
      <c r="A29" s="4" t="n">
        <v>6</v>
      </c>
      <c r="B29" s="4" t="s">
        <v>22</v>
      </c>
      <c r="C29" s="8" t="s">
        <v>72</v>
      </c>
      <c r="D29" s="21" t="n">
        <v>38688</v>
      </c>
      <c r="E29" s="22" t="n">
        <v>167.56</v>
      </c>
      <c r="F29" s="21" t="n">
        <v>38691</v>
      </c>
      <c r="G29" s="22" t="n">
        <v>167.84</v>
      </c>
      <c r="H29" s="22" t="n">
        <v>155.26</v>
      </c>
      <c r="I29" s="21" t="n">
        <v>38695</v>
      </c>
      <c r="J29" s="22" t="n">
        <v>169.16</v>
      </c>
      <c r="K29" s="21" t="n">
        <v>38698</v>
      </c>
      <c r="L29" s="22" t="n">
        <v>169.7</v>
      </c>
      <c r="M29" s="8" t="s">
        <v>73</v>
      </c>
      <c r="N29" s="4" t="n">
        <v>5</v>
      </c>
      <c r="O29" s="6" t="n">
        <f aca="false">IF(C29="롱",(J29-E29)/E29,(E29-J29)/E29)</f>
        <v>0.00954881833373117</v>
      </c>
    </row>
    <row r="30" customFormat="false" ht="17.15" hidden="false" customHeight="false" outlineLevel="0" collapsed="false">
      <c r="A30" s="4" t="n">
        <v>6</v>
      </c>
      <c r="B30" s="4" t="s">
        <v>22</v>
      </c>
      <c r="C30" s="8" t="s">
        <v>72</v>
      </c>
      <c r="D30" s="21" t="n">
        <v>38713</v>
      </c>
      <c r="E30" s="22" t="n">
        <v>177.2</v>
      </c>
      <c r="F30" s="21" t="n">
        <v>38714</v>
      </c>
      <c r="G30" s="22" t="n">
        <v>174.94</v>
      </c>
      <c r="H30" s="22" t="n">
        <v>166.11</v>
      </c>
      <c r="I30" s="21" t="n">
        <v>38727</v>
      </c>
      <c r="J30" s="22" t="n">
        <v>178.98</v>
      </c>
      <c r="K30" s="21" t="n">
        <v>38728</v>
      </c>
      <c r="L30" s="22" t="n">
        <v>178.67</v>
      </c>
      <c r="M30" s="8" t="s">
        <v>73</v>
      </c>
      <c r="N30" s="4" t="n">
        <v>9</v>
      </c>
      <c r="O30" s="6" t="n">
        <f aca="false">IF(C30="롱",(J30-E30)/E30,(E30-J30)/E30)</f>
        <v>0.0100451467268623</v>
      </c>
    </row>
    <row r="31" customFormat="false" ht="17.15" hidden="false" customHeight="false" outlineLevel="0" collapsed="false">
      <c r="A31" s="4" t="n">
        <v>6</v>
      </c>
      <c r="B31" s="4" t="s">
        <v>22</v>
      </c>
      <c r="C31" s="8" t="s">
        <v>72</v>
      </c>
      <c r="D31" s="21" t="n">
        <v>38775</v>
      </c>
      <c r="E31" s="22" t="n">
        <v>178.1</v>
      </c>
      <c r="F31" s="21" t="n">
        <v>38776</v>
      </c>
      <c r="G31" s="22" t="n">
        <v>178.37</v>
      </c>
      <c r="H31" s="22" t="n">
        <v>160.43</v>
      </c>
      <c r="I31" s="21" t="n">
        <v>38778</v>
      </c>
      <c r="J31" s="22" t="n">
        <v>176.85</v>
      </c>
      <c r="K31" s="21" t="n">
        <v>38779</v>
      </c>
      <c r="L31" s="22" t="n">
        <v>176.52</v>
      </c>
      <c r="M31" s="8" t="s">
        <v>73</v>
      </c>
      <c r="N31" s="4" t="n">
        <v>2</v>
      </c>
      <c r="O31" s="6" t="n">
        <f aca="false">IF(C31="롱",(J31-E31)/E31,(E31-J31)/E31)</f>
        <v>-0.00701852891633914</v>
      </c>
    </row>
    <row r="32" customFormat="false" ht="17.15" hidden="false" customHeight="false" outlineLevel="0" collapsed="false">
      <c r="A32" s="4" t="n">
        <v>6</v>
      </c>
      <c r="B32" s="4" t="s">
        <v>22</v>
      </c>
      <c r="C32" s="8" t="s">
        <v>72</v>
      </c>
      <c r="D32" s="21" t="n">
        <v>38793</v>
      </c>
      <c r="E32" s="22" t="n">
        <v>173.48</v>
      </c>
      <c r="F32" s="21" t="n">
        <v>38796</v>
      </c>
      <c r="G32" s="22" t="n">
        <v>173.36</v>
      </c>
      <c r="H32" s="22" t="n">
        <v>158.97</v>
      </c>
      <c r="I32" s="21" t="n">
        <v>38797</v>
      </c>
      <c r="J32" s="22" t="n">
        <v>172.87</v>
      </c>
      <c r="K32" s="21" t="n">
        <v>38798</v>
      </c>
      <c r="L32" s="22" t="n">
        <v>171.52</v>
      </c>
      <c r="M32" s="8" t="s">
        <v>73</v>
      </c>
      <c r="N32" s="4" t="n">
        <v>2</v>
      </c>
      <c r="O32" s="6" t="n">
        <f aca="false">IF(C32="롱",(J32-E32)/E32,(E32-J32)/E32)</f>
        <v>-0.00351625547613549</v>
      </c>
    </row>
    <row r="33" customFormat="false" ht="17.15" hidden="false" customHeight="false" outlineLevel="0" collapsed="false">
      <c r="A33" s="4" t="n">
        <v>6</v>
      </c>
      <c r="B33" s="4" t="s">
        <v>22</v>
      </c>
      <c r="C33" s="8" t="s">
        <v>72</v>
      </c>
      <c r="D33" s="21" t="n">
        <v>38804</v>
      </c>
      <c r="E33" s="22" t="n">
        <v>172.77</v>
      </c>
      <c r="F33" s="21" t="n">
        <v>38805</v>
      </c>
      <c r="G33" s="22" t="n">
        <v>171.12</v>
      </c>
      <c r="H33" s="22" t="n">
        <v>158.57</v>
      </c>
      <c r="I33" s="21" t="n">
        <v>38818</v>
      </c>
      <c r="J33" s="22" t="n">
        <v>179.61</v>
      </c>
      <c r="K33" s="21" t="n">
        <v>38819</v>
      </c>
      <c r="L33" s="22" t="n">
        <v>178.23</v>
      </c>
      <c r="M33" s="8" t="s">
        <v>73</v>
      </c>
      <c r="N33" s="4" t="n">
        <v>10</v>
      </c>
      <c r="O33" s="6" t="n">
        <f aca="false">IF(C33="롱",(J33-E33)/E33,(E33-J33)/E33)</f>
        <v>0.039590206633096</v>
      </c>
    </row>
    <row r="34" customFormat="false" ht="17.15" hidden="false" customHeight="false" outlineLevel="0" collapsed="false">
      <c r="A34" s="4" t="n">
        <v>6</v>
      </c>
      <c r="B34" s="4" t="s">
        <v>22</v>
      </c>
      <c r="C34" s="8" t="s">
        <v>72</v>
      </c>
      <c r="D34" s="21" t="n">
        <v>38834</v>
      </c>
      <c r="E34" s="22" t="n">
        <v>188.4</v>
      </c>
      <c r="F34" s="21" t="n">
        <v>38835</v>
      </c>
      <c r="G34" s="22" t="n">
        <v>187.1</v>
      </c>
      <c r="H34" s="22" t="n">
        <v>175.15</v>
      </c>
      <c r="I34" s="21" t="n">
        <v>38835</v>
      </c>
      <c r="J34" s="22" t="n">
        <v>184.1</v>
      </c>
      <c r="K34" s="21" t="n">
        <v>38839</v>
      </c>
      <c r="L34" s="22" t="n">
        <v>184.13</v>
      </c>
      <c r="M34" s="8" t="s">
        <v>73</v>
      </c>
      <c r="N34" s="4" t="n">
        <v>1</v>
      </c>
      <c r="O34" s="6" t="n">
        <f aca="false">IF(C34="롱",(J34-E34)/E34,(E34-J34)/E34)</f>
        <v>-0.022823779193206</v>
      </c>
    </row>
    <row r="35" customFormat="false" ht="17.15" hidden="false" customHeight="false" outlineLevel="0" collapsed="false">
      <c r="A35" s="4" t="n">
        <v>6</v>
      </c>
      <c r="B35" s="4" t="s">
        <v>22</v>
      </c>
      <c r="C35" s="8" t="s">
        <v>72</v>
      </c>
      <c r="D35" s="21" t="n">
        <v>38979</v>
      </c>
      <c r="E35" s="22" t="n">
        <v>178.32</v>
      </c>
      <c r="F35" s="21" t="n">
        <v>38980</v>
      </c>
      <c r="G35" s="22" t="n">
        <v>177.3</v>
      </c>
      <c r="H35" s="22" t="n">
        <v>168.56</v>
      </c>
      <c r="I35" s="21" t="n">
        <v>38980</v>
      </c>
      <c r="J35" s="22" t="n">
        <v>177.34</v>
      </c>
      <c r="K35" s="21" t="n">
        <v>38981</v>
      </c>
      <c r="L35" s="22" t="n">
        <v>178.24</v>
      </c>
      <c r="M35" s="8" t="s">
        <v>73</v>
      </c>
      <c r="N35" s="4" t="n">
        <v>1</v>
      </c>
      <c r="O35" s="6" t="n">
        <f aca="false">IF(C35="롱",(J35-E35)/E35,(E35-J35)/E35)</f>
        <v>-0.00549573799910268</v>
      </c>
    </row>
    <row r="36" customFormat="false" ht="17.15" hidden="false" customHeight="false" outlineLevel="0" collapsed="false">
      <c r="A36" s="4" t="n">
        <v>6</v>
      </c>
      <c r="B36" s="4" t="s">
        <v>22</v>
      </c>
      <c r="C36" s="8" t="s">
        <v>72</v>
      </c>
      <c r="D36" s="21" t="n">
        <v>39014</v>
      </c>
      <c r="E36" s="22" t="n">
        <v>177.49</v>
      </c>
      <c r="F36" s="21" t="n">
        <v>39015</v>
      </c>
      <c r="G36" s="22" t="n">
        <v>177.78</v>
      </c>
      <c r="H36" s="22" t="n">
        <v>165.54</v>
      </c>
      <c r="I36" s="21" t="n">
        <v>39017</v>
      </c>
      <c r="J36" s="22" t="n">
        <v>177.85</v>
      </c>
      <c r="K36" s="21" t="n">
        <v>39020</v>
      </c>
      <c r="L36" s="22" t="n">
        <v>177.05</v>
      </c>
      <c r="M36" s="8" t="s">
        <v>73</v>
      </c>
      <c r="N36" s="4" t="n">
        <v>3</v>
      </c>
      <c r="O36" s="6" t="n">
        <f aca="false">IF(C36="롱",(J36-E36)/E36,(E36-J36)/E36)</f>
        <v>0.00202828328356519</v>
      </c>
    </row>
    <row r="37" customFormat="false" ht="17.15" hidden="false" customHeight="false" outlineLevel="0" collapsed="false">
      <c r="A37" s="4" t="n">
        <v>6</v>
      </c>
      <c r="B37" s="4" t="s">
        <v>22</v>
      </c>
      <c r="C37" s="8" t="s">
        <v>72</v>
      </c>
      <c r="D37" s="21" t="n">
        <v>39023</v>
      </c>
      <c r="E37" s="22" t="n">
        <v>179.22</v>
      </c>
      <c r="F37" s="21" t="n">
        <v>39024</v>
      </c>
      <c r="G37" s="22" t="n">
        <v>179.34</v>
      </c>
      <c r="H37" s="22" t="n">
        <v>168.06</v>
      </c>
      <c r="I37" s="21" t="n">
        <v>39029</v>
      </c>
      <c r="J37" s="22" t="n">
        <v>178.61</v>
      </c>
      <c r="K37" s="21" t="n">
        <v>39030</v>
      </c>
      <c r="L37" s="22" t="n">
        <v>178.93</v>
      </c>
      <c r="M37" s="8" t="s">
        <v>73</v>
      </c>
      <c r="N37" s="4" t="n">
        <v>4</v>
      </c>
      <c r="O37" s="6" t="n">
        <f aca="false">IF(C37="롱",(J37-E37)/E37,(E37-J37)/E37)</f>
        <v>-0.00340363798683174</v>
      </c>
    </row>
    <row r="38" customFormat="false" ht="17.15" hidden="false" customHeight="false" outlineLevel="0" collapsed="false">
      <c r="A38" s="4" t="n">
        <v>6</v>
      </c>
      <c r="B38" s="4" t="s">
        <v>22</v>
      </c>
      <c r="C38" s="8" t="s">
        <v>72</v>
      </c>
      <c r="D38" s="21" t="n">
        <v>39036</v>
      </c>
      <c r="E38" s="22" t="n">
        <v>182.9</v>
      </c>
      <c r="F38" s="21" t="n">
        <v>39037</v>
      </c>
      <c r="G38" s="22" t="n">
        <v>183.56</v>
      </c>
      <c r="H38" s="22" t="n">
        <v>174.66</v>
      </c>
      <c r="I38" s="21" t="n">
        <v>39041</v>
      </c>
      <c r="J38" s="22" t="n">
        <v>181.6</v>
      </c>
      <c r="K38" s="21" t="n">
        <v>39042</v>
      </c>
      <c r="L38" s="22" t="n">
        <v>181.76</v>
      </c>
      <c r="M38" s="8" t="s">
        <v>73</v>
      </c>
      <c r="N38" s="4" t="n">
        <v>3</v>
      </c>
      <c r="O38" s="6" t="n">
        <f aca="false">IF(C38="롱",(J38-E38)/E38,(E38-J38)/E38)</f>
        <v>-0.00710770913067256</v>
      </c>
    </row>
    <row r="39" customFormat="false" ht="17.15" hidden="false" customHeight="false" outlineLevel="0" collapsed="false">
      <c r="A39" s="4" t="n">
        <v>6</v>
      </c>
      <c r="B39" s="4" t="s">
        <v>22</v>
      </c>
      <c r="C39" s="8" t="s">
        <v>72</v>
      </c>
      <c r="D39" s="21" t="n">
        <v>39052</v>
      </c>
      <c r="E39" s="22" t="n">
        <v>185.28</v>
      </c>
      <c r="F39" s="21" t="n">
        <v>39055</v>
      </c>
      <c r="G39" s="22" t="n">
        <v>184.83</v>
      </c>
      <c r="H39" s="22" t="n">
        <v>176.95</v>
      </c>
      <c r="I39" s="21" t="n">
        <v>39056</v>
      </c>
      <c r="J39" s="22" t="n">
        <v>183.53</v>
      </c>
      <c r="K39" s="21" t="n">
        <v>39057</v>
      </c>
      <c r="L39" s="22" t="n">
        <v>183.8</v>
      </c>
      <c r="M39" s="8" t="s">
        <v>73</v>
      </c>
      <c r="N39" s="4" t="n">
        <v>2</v>
      </c>
      <c r="O39" s="6" t="n">
        <f aca="false">IF(C39="롱",(J39-E39)/E39,(E39-J39)/E39)</f>
        <v>-0.00944516407599309</v>
      </c>
    </row>
    <row r="40" customFormat="false" ht="17.15" hidden="false" customHeight="false" outlineLevel="0" collapsed="false">
      <c r="A40" s="4" t="n">
        <v>6</v>
      </c>
      <c r="B40" s="4" t="s">
        <v>22</v>
      </c>
      <c r="C40" s="8" t="s">
        <v>72</v>
      </c>
      <c r="D40" s="21" t="n">
        <v>39118</v>
      </c>
      <c r="E40" s="22" t="n">
        <v>183.73</v>
      </c>
      <c r="F40" s="21" t="n">
        <v>39119</v>
      </c>
      <c r="G40" s="22" t="n">
        <v>183.46</v>
      </c>
      <c r="H40" s="22" t="n">
        <v>171.48</v>
      </c>
      <c r="I40" s="21" t="n">
        <v>39125</v>
      </c>
      <c r="J40" s="22" t="n">
        <v>182.8</v>
      </c>
      <c r="K40" s="21" t="n">
        <v>39126</v>
      </c>
      <c r="L40" s="22" t="n">
        <v>182.59</v>
      </c>
      <c r="M40" s="8" t="s">
        <v>73</v>
      </c>
      <c r="N40" s="4" t="n">
        <v>5</v>
      </c>
      <c r="O40" s="6" t="n">
        <f aca="false">IF(C40="롱",(J40-E40)/E40,(E40-J40)/E40)</f>
        <v>-0.00506177543133935</v>
      </c>
    </row>
    <row r="41" customFormat="false" ht="17.15" hidden="false" customHeight="false" outlineLevel="0" collapsed="false">
      <c r="A41" s="4" t="n">
        <v>6</v>
      </c>
      <c r="B41" s="4" t="s">
        <v>22</v>
      </c>
      <c r="C41" s="8" t="s">
        <v>72</v>
      </c>
      <c r="D41" s="21" t="n">
        <v>39128</v>
      </c>
      <c r="E41" s="22" t="n">
        <v>186.82</v>
      </c>
      <c r="F41" s="21" t="n">
        <v>39129</v>
      </c>
      <c r="G41" s="22" t="n">
        <v>186.9</v>
      </c>
      <c r="H41" s="22" t="n">
        <v>175.06</v>
      </c>
      <c r="I41" s="21" t="n">
        <v>39140</v>
      </c>
      <c r="J41" s="22" t="n">
        <v>188.15</v>
      </c>
      <c r="K41" s="21" t="n">
        <v>39141</v>
      </c>
      <c r="L41" s="22" t="n">
        <v>180.5</v>
      </c>
      <c r="M41" s="8" t="s">
        <v>73</v>
      </c>
      <c r="N41" s="4" t="n">
        <v>7</v>
      </c>
      <c r="O41" s="6" t="n">
        <f aca="false">IF(C41="롱",(J41-E41)/E41,(E41-J41)/E41)</f>
        <v>0.00711915212504021</v>
      </c>
    </row>
    <row r="42" customFormat="false" ht="17.15" hidden="false" customHeight="false" outlineLevel="0" collapsed="false">
      <c r="A42" s="4" t="n">
        <v>6</v>
      </c>
      <c r="B42" s="4" t="s">
        <v>22</v>
      </c>
      <c r="C42" s="8" t="s">
        <v>72</v>
      </c>
      <c r="D42" s="21" t="n">
        <v>39161</v>
      </c>
      <c r="E42" s="22" t="n">
        <v>186.34</v>
      </c>
      <c r="F42" s="21" t="n">
        <v>39162</v>
      </c>
      <c r="G42" s="22" t="n">
        <v>186.58</v>
      </c>
      <c r="H42" s="22" t="n">
        <v>172.44</v>
      </c>
      <c r="I42" s="21" t="n">
        <v>39169</v>
      </c>
      <c r="J42" s="22" t="n">
        <v>185.96</v>
      </c>
      <c r="K42" s="21" t="n">
        <v>39170</v>
      </c>
      <c r="L42" s="22" t="n">
        <v>185.32</v>
      </c>
      <c r="M42" s="8" t="s">
        <v>73</v>
      </c>
      <c r="N42" s="4" t="n">
        <v>6</v>
      </c>
      <c r="O42" s="6" t="n">
        <f aca="false">IF(C42="롱",(J42-E42)/E42,(E42-J42)/E42)</f>
        <v>-0.00203928303101854</v>
      </c>
    </row>
    <row r="43" customFormat="false" ht="17.15" hidden="false" customHeight="false" outlineLevel="0" collapsed="false">
      <c r="A43" s="4" t="n">
        <v>6</v>
      </c>
      <c r="B43" s="4" t="s">
        <v>22</v>
      </c>
      <c r="C43" s="8" t="s">
        <v>72</v>
      </c>
      <c r="D43" s="21" t="n">
        <v>39174</v>
      </c>
      <c r="E43" s="22" t="n">
        <v>188.56</v>
      </c>
      <c r="F43" s="21" t="n">
        <v>39175</v>
      </c>
      <c r="G43" s="22" t="n">
        <v>189.1</v>
      </c>
      <c r="H43" s="22" t="n">
        <v>176.51</v>
      </c>
      <c r="I43" s="21" t="n">
        <v>39191</v>
      </c>
      <c r="J43" s="22" t="n">
        <v>194.59</v>
      </c>
      <c r="K43" s="21" t="n">
        <v>39192</v>
      </c>
      <c r="L43" s="22" t="n">
        <v>195.27</v>
      </c>
      <c r="M43" s="8" t="s">
        <v>73</v>
      </c>
      <c r="N43" s="4" t="n">
        <v>13</v>
      </c>
      <c r="O43" s="6" t="n">
        <f aca="false">IF(C43="롱",(J43-E43)/E43,(E43-J43)/E43)</f>
        <v>0.0319792108612643</v>
      </c>
    </row>
    <row r="44" customFormat="false" ht="17.15" hidden="false" customHeight="false" outlineLevel="0" collapsed="false">
      <c r="A44" s="4" t="n">
        <v>6</v>
      </c>
      <c r="B44" s="4" t="s">
        <v>22</v>
      </c>
      <c r="C44" s="8" t="s">
        <v>72</v>
      </c>
      <c r="D44" s="21" t="n">
        <v>39196</v>
      </c>
      <c r="E44" s="22" t="n">
        <v>200.02</v>
      </c>
      <c r="F44" s="21" t="n">
        <v>39197</v>
      </c>
      <c r="G44" s="22" t="n">
        <v>200.16</v>
      </c>
      <c r="H44" s="22" t="n">
        <v>189.07</v>
      </c>
      <c r="I44" s="21" t="n">
        <v>39199</v>
      </c>
      <c r="J44" s="22" t="n">
        <v>198.28</v>
      </c>
      <c r="K44" s="21" t="n">
        <v>39202</v>
      </c>
      <c r="L44" s="22" t="n">
        <v>197.9</v>
      </c>
      <c r="M44" s="8" t="s">
        <v>73</v>
      </c>
      <c r="N44" s="4" t="n">
        <v>3</v>
      </c>
      <c r="O44" s="6" t="n">
        <f aca="false">IF(C44="롱",(J44-E44)/E44,(E44-J44)/E44)</f>
        <v>-0.00869913008699135</v>
      </c>
    </row>
    <row r="45" customFormat="false" ht="17.15" hidden="false" customHeight="false" outlineLevel="0" collapsed="false">
      <c r="A45" s="4" t="n">
        <v>6</v>
      </c>
      <c r="B45" s="4" t="s">
        <v>22</v>
      </c>
      <c r="C45" s="8" t="s">
        <v>72</v>
      </c>
      <c r="D45" s="21" t="n">
        <v>39206</v>
      </c>
      <c r="E45" s="22" t="n">
        <v>201.56</v>
      </c>
      <c r="F45" s="21" t="n">
        <v>39209</v>
      </c>
      <c r="G45" s="22" t="n">
        <v>202.45</v>
      </c>
      <c r="H45" s="22" t="n">
        <v>190.7</v>
      </c>
      <c r="I45" s="21" t="n">
        <v>39217</v>
      </c>
      <c r="J45" s="22" t="n">
        <v>204.22</v>
      </c>
      <c r="K45" s="21" t="n">
        <v>39218</v>
      </c>
      <c r="L45" s="22" t="n">
        <v>204.42</v>
      </c>
      <c r="M45" s="8" t="s">
        <v>73</v>
      </c>
      <c r="N45" s="4" t="n">
        <v>7</v>
      </c>
      <c r="O45" s="6" t="n">
        <f aca="false">IF(C45="롱",(J45-E45)/E45,(E45-J45)/E45)</f>
        <v>0.0131970629093074</v>
      </c>
    </row>
    <row r="46" customFormat="false" ht="17.15" hidden="false" customHeight="false" outlineLevel="0" collapsed="false">
      <c r="A46" s="4" t="n">
        <v>6</v>
      </c>
      <c r="B46" s="4" t="s">
        <v>22</v>
      </c>
      <c r="C46" s="8" t="s">
        <v>72</v>
      </c>
      <c r="D46" s="21" t="n">
        <v>39225</v>
      </c>
      <c r="E46" s="22" t="n">
        <v>211.15</v>
      </c>
      <c r="F46" s="21" t="n">
        <v>39227</v>
      </c>
      <c r="G46" s="22" t="n">
        <v>208.83</v>
      </c>
      <c r="H46" s="22" t="n">
        <v>199.72</v>
      </c>
      <c r="I46" s="21" t="n">
        <v>39241</v>
      </c>
      <c r="J46" s="22" t="n">
        <v>219.8</v>
      </c>
      <c r="K46" s="21" t="n">
        <v>39244</v>
      </c>
      <c r="L46" s="22" t="n">
        <v>221.38</v>
      </c>
      <c r="M46" s="8" t="s">
        <v>73</v>
      </c>
      <c r="N46" s="4" t="n">
        <v>10</v>
      </c>
      <c r="O46" s="6" t="n">
        <f aca="false">IF(C46="롱",(J46-E46)/E46,(E46-J46)/E46)</f>
        <v>0.040966137816718</v>
      </c>
    </row>
    <row r="47" customFormat="false" ht="17.15" hidden="false" customHeight="false" outlineLevel="0" collapsed="false">
      <c r="A47" s="4" t="n">
        <v>6</v>
      </c>
      <c r="B47" s="4" t="s">
        <v>22</v>
      </c>
      <c r="C47" s="8" t="s">
        <v>72</v>
      </c>
      <c r="D47" s="21" t="n">
        <v>39251</v>
      </c>
      <c r="E47" s="22" t="n">
        <v>228.8</v>
      </c>
      <c r="F47" s="21" t="n">
        <v>39252</v>
      </c>
      <c r="G47" s="22" t="n">
        <v>229.75</v>
      </c>
      <c r="H47" s="22" t="n">
        <v>212.16</v>
      </c>
      <c r="I47" s="21" t="n">
        <v>39253</v>
      </c>
      <c r="J47" s="22" t="n">
        <v>226.58</v>
      </c>
      <c r="K47" s="21" t="n">
        <v>39254</v>
      </c>
      <c r="L47" s="22" t="n">
        <v>225.65</v>
      </c>
      <c r="M47" s="8" t="s">
        <v>73</v>
      </c>
      <c r="N47" s="4" t="n">
        <v>2</v>
      </c>
      <c r="O47" s="6" t="n">
        <f aca="false">IF(C47="롱",(J47-E47)/E47,(E47-J47)/E47)</f>
        <v>-0.0097027972027972</v>
      </c>
    </row>
    <row r="48" customFormat="false" ht="17.15" hidden="false" customHeight="false" outlineLevel="0" collapsed="false">
      <c r="A48" s="4" t="n">
        <v>6</v>
      </c>
      <c r="B48" s="4" t="s">
        <v>22</v>
      </c>
      <c r="C48" s="8" t="s">
        <v>72</v>
      </c>
      <c r="D48" s="21" t="n">
        <v>39268</v>
      </c>
      <c r="E48" s="22" t="n">
        <v>234.75</v>
      </c>
      <c r="F48" s="21" t="n">
        <v>39269</v>
      </c>
      <c r="G48" s="22" t="n">
        <v>235.5</v>
      </c>
      <c r="H48" s="22" t="n">
        <v>215.65</v>
      </c>
      <c r="I48" s="21" t="n">
        <v>39281</v>
      </c>
      <c r="J48" s="22" t="n">
        <v>244.92</v>
      </c>
      <c r="K48" s="21" t="n">
        <v>39282</v>
      </c>
      <c r="L48" s="22" t="n">
        <v>245.43</v>
      </c>
      <c r="M48" s="8" t="s">
        <v>73</v>
      </c>
      <c r="N48" s="4" t="n">
        <v>8</v>
      </c>
      <c r="O48" s="6" t="n">
        <f aca="false">IF(C48="롱",(J48-E48)/E48,(E48-J48)/E48)</f>
        <v>0.0433226837060702</v>
      </c>
    </row>
    <row r="49" customFormat="false" ht="17.15" hidden="false" customHeight="false" outlineLevel="0" collapsed="false">
      <c r="A49" s="4" t="n">
        <v>6</v>
      </c>
      <c r="B49" s="4" t="s">
        <v>22</v>
      </c>
      <c r="C49" s="8" t="s">
        <v>72</v>
      </c>
      <c r="D49" s="21" t="n">
        <v>39286</v>
      </c>
      <c r="E49" s="22" t="n">
        <v>252.28</v>
      </c>
      <c r="F49" s="21" t="n">
        <v>39287</v>
      </c>
      <c r="G49" s="22" t="n">
        <v>253.18</v>
      </c>
      <c r="H49" s="22" t="n">
        <v>231.71</v>
      </c>
      <c r="I49" s="21" t="n">
        <v>39289</v>
      </c>
      <c r="J49" s="22" t="n">
        <v>248.75</v>
      </c>
      <c r="K49" s="21" t="n">
        <v>39290</v>
      </c>
      <c r="L49" s="22" t="n">
        <v>243.56</v>
      </c>
      <c r="M49" s="8" t="s">
        <v>73</v>
      </c>
      <c r="N49" s="4" t="n">
        <v>3</v>
      </c>
      <c r="O49" s="6" t="n">
        <f aca="false">IF(C49="롱",(J49-E49)/E49,(E49-J49)/E49)</f>
        <v>-0.0139923894085936</v>
      </c>
    </row>
    <row r="50" customFormat="false" ht="17.15" hidden="false" customHeight="false" outlineLevel="0" collapsed="false">
      <c r="A50" s="4" t="n">
        <v>6</v>
      </c>
      <c r="B50" s="4" t="s">
        <v>22</v>
      </c>
      <c r="C50" s="8" t="s">
        <v>72</v>
      </c>
      <c r="D50" s="21" t="n">
        <v>39328</v>
      </c>
      <c r="E50" s="22" t="n">
        <v>238.72</v>
      </c>
      <c r="F50" s="21" t="n">
        <v>39329</v>
      </c>
      <c r="G50" s="22" t="n">
        <v>238.7</v>
      </c>
      <c r="H50" s="22" t="n">
        <v>214.85</v>
      </c>
      <c r="I50" s="21" t="n">
        <v>39330</v>
      </c>
      <c r="J50" s="22" t="n">
        <v>236.61</v>
      </c>
      <c r="K50" s="21" t="n">
        <v>39331</v>
      </c>
      <c r="L50" s="22" t="n">
        <v>236.19</v>
      </c>
      <c r="M50" s="8" t="s">
        <v>73</v>
      </c>
      <c r="N50" s="4" t="n">
        <v>2</v>
      </c>
      <c r="O50" s="6" t="n">
        <f aca="false">IF(C50="롱",(J50-E50)/E50,(E50-J50)/E50)</f>
        <v>-0.00883880697050932</v>
      </c>
    </row>
    <row r="51" customFormat="false" ht="17.15" hidden="false" customHeight="false" outlineLevel="0" collapsed="false">
      <c r="A51" s="4" t="n">
        <v>6</v>
      </c>
      <c r="B51" s="4" t="s">
        <v>22</v>
      </c>
      <c r="C51" s="8" t="s">
        <v>72</v>
      </c>
      <c r="D51" s="21" t="n">
        <v>39342</v>
      </c>
      <c r="E51" s="22" t="n">
        <v>236.72</v>
      </c>
      <c r="F51" s="21" t="n">
        <v>39343</v>
      </c>
      <c r="G51" s="22" t="n">
        <v>236.19</v>
      </c>
      <c r="H51" s="22" t="n">
        <v>213.05</v>
      </c>
      <c r="I51" s="21" t="n">
        <v>39343</v>
      </c>
      <c r="J51" s="22" t="n">
        <v>232.42</v>
      </c>
      <c r="K51" s="21" t="n">
        <v>39344</v>
      </c>
      <c r="L51" s="22" t="n">
        <v>239.51</v>
      </c>
      <c r="M51" s="8" t="s">
        <v>73</v>
      </c>
      <c r="N51" s="4" t="n">
        <v>1</v>
      </c>
      <c r="O51" s="6" t="n">
        <f aca="false">IF(C51="롱",(J51-E51)/E51,(E51-J51)/E51)</f>
        <v>-0.0181649205812775</v>
      </c>
    </row>
    <row r="52" customFormat="false" ht="17.15" hidden="false" customHeight="false" outlineLevel="0" collapsed="false">
      <c r="A52" s="4" t="n">
        <v>6</v>
      </c>
      <c r="B52" s="4" t="s">
        <v>22</v>
      </c>
      <c r="C52" s="8" t="s">
        <v>72</v>
      </c>
      <c r="D52" s="21" t="n">
        <v>39346</v>
      </c>
      <c r="E52" s="22" t="n">
        <v>243.45</v>
      </c>
      <c r="F52" s="21" t="n">
        <v>39352</v>
      </c>
      <c r="G52" s="22" t="n">
        <v>246.59</v>
      </c>
      <c r="H52" s="22" t="n">
        <v>219.1</v>
      </c>
      <c r="I52" s="21" t="n">
        <v>39367</v>
      </c>
      <c r="J52" s="22" t="n">
        <v>257.31</v>
      </c>
      <c r="K52" s="21" t="n">
        <v>39370</v>
      </c>
      <c r="L52" s="22" t="n">
        <v>259.24</v>
      </c>
      <c r="M52" s="8" t="s">
        <v>73</v>
      </c>
      <c r="N52" s="4" t="n">
        <v>11</v>
      </c>
      <c r="O52" s="6" t="n">
        <f aca="false">IF(C52="롱",(J52-E52)/E52,(E52-J52)/E52)</f>
        <v>0.0569316081330869</v>
      </c>
    </row>
    <row r="53" customFormat="false" ht="17.15" hidden="false" customHeight="false" outlineLevel="0" collapsed="false">
      <c r="A53" s="4" t="n">
        <v>6</v>
      </c>
      <c r="B53" s="4" t="s">
        <v>22</v>
      </c>
      <c r="C53" s="8" t="s">
        <v>72</v>
      </c>
      <c r="D53" s="21" t="n">
        <v>39422</v>
      </c>
      <c r="E53" s="22" t="n">
        <v>249.63</v>
      </c>
      <c r="F53" s="21" t="n">
        <v>39423</v>
      </c>
      <c r="G53" s="22" t="n">
        <v>251.69</v>
      </c>
      <c r="H53" s="22" t="n">
        <v>224.67</v>
      </c>
      <c r="I53" s="21" t="n">
        <v>39426</v>
      </c>
      <c r="J53" s="22" t="n">
        <v>244.25</v>
      </c>
      <c r="K53" s="21" t="n">
        <v>39427</v>
      </c>
      <c r="L53" s="22" t="n">
        <v>246.22</v>
      </c>
      <c r="M53" s="8" t="s">
        <v>73</v>
      </c>
      <c r="N53" s="4" t="n">
        <v>2</v>
      </c>
      <c r="O53" s="6" t="n">
        <f aca="false">IF(C53="롱",(J53-E53)/E53,(E53-J53)/E53)</f>
        <v>-0.0215518968072747</v>
      </c>
    </row>
    <row r="54" customFormat="false" ht="17.15" hidden="false" customHeight="false" outlineLevel="0" collapsed="false">
      <c r="A54" s="4" t="n">
        <v>6</v>
      </c>
      <c r="B54" s="4" t="s">
        <v>22</v>
      </c>
      <c r="C54" s="8" t="s">
        <v>72</v>
      </c>
      <c r="D54" s="21" t="n">
        <v>39563</v>
      </c>
      <c r="E54" s="22" t="n">
        <v>234.56</v>
      </c>
      <c r="F54" s="21" t="n">
        <v>39566</v>
      </c>
      <c r="G54" s="22" t="n">
        <v>235.19</v>
      </c>
      <c r="H54" s="22" t="n">
        <v>217.09</v>
      </c>
      <c r="I54" s="21" t="n">
        <v>39576</v>
      </c>
      <c r="J54" s="22" t="n">
        <v>237.37</v>
      </c>
      <c r="K54" s="21" t="n">
        <v>39577</v>
      </c>
      <c r="L54" s="22" t="n">
        <v>238.07</v>
      </c>
      <c r="M54" s="8" t="s">
        <v>73</v>
      </c>
      <c r="N54" s="4" t="n">
        <v>7</v>
      </c>
      <c r="O54" s="6" t="n">
        <f aca="false">IF(C54="롱",(J54-E54)/E54,(E54-J54)/E54)</f>
        <v>0.0119798772169168</v>
      </c>
    </row>
    <row r="55" customFormat="false" ht="17.15" hidden="false" customHeight="false" outlineLevel="0" collapsed="false">
      <c r="A55" s="4" t="n">
        <v>6</v>
      </c>
      <c r="B55" s="4" t="s">
        <v>22</v>
      </c>
      <c r="C55" s="8" t="s">
        <v>72</v>
      </c>
      <c r="D55" s="21" t="n">
        <v>39583</v>
      </c>
      <c r="E55" s="22" t="n">
        <v>243.11</v>
      </c>
      <c r="F55" s="21" t="n">
        <v>39584</v>
      </c>
      <c r="G55" s="22" t="n">
        <v>244.16</v>
      </c>
      <c r="H55" s="22" t="n">
        <v>225.95</v>
      </c>
      <c r="I55" s="21" t="n">
        <v>39588</v>
      </c>
      <c r="J55" s="22" t="n">
        <v>240.62</v>
      </c>
      <c r="K55" s="21" t="n">
        <v>39589</v>
      </c>
      <c r="L55" s="22" t="n">
        <v>237.29</v>
      </c>
      <c r="M55" s="8" t="s">
        <v>73</v>
      </c>
      <c r="N55" s="4" t="n">
        <v>3</v>
      </c>
      <c r="O55" s="6" t="n">
        <f aca="false">IF(C55="롱",(J55-E55)/E55,(E55-J55)/E55)</f>
        <v>-0.010242277158488</v>
      </c>
    </row>
    <row r="56" customFormat="false" ht="17.15" hidden="false" customHeight="false" outlineLevel="0" collapsed="false">
      <c r="A56" s="4" t="n">
        <v>6</v>
      </c>
      <c r="B56" s="4" t="s">
        <v>22</v>
      </c>
      <c r="C56" s="8" t="s">
        <v>72</v>
      </c>
      <c r="D56" s="21" t="n">
        <v>39883</v>
      </c>
      <c r="E56" s="22" t="n">
        <v>147.6</v>
      </c>
      <c r="F56" s="21" t="n">
        <v>39884</v>
      </c>
      <c r="G56" s="22" t="n">
        <v>147.38</v>
      </c>
      <c r="H56" s="22" t="n">
        <v>132.84</v>
      </c>
      <c r="I56" s="21" t="n">
        <v>39902</v>
      </c>
      <c r="J56" s="22" t="n">
        <v>156.23</v>
      </c>
      <c r="K56" s="21" t="n">
        <v>39903</v>
      </c>
      <c r="L56" s="22" t="n">
        <v>157.31</v>
      </c>
      <c r="M56" s="8" t="s">
        <v>73</v>
      </c>
      <c r="N56" s="4" t="n">
        <v>13</v>
      </c>
      <c r="O56" s="6" t="n">
        <f aca="false">IF(C56="롱",(J56-E56)/E56,(E56-J56)/E56)</f>
        <v>0.0584688346883469</v>
      </c>
    </row>
    <row r="57" customFormat="false" ht="17.15" hidden="false" customHeight="false" outlineLevel="0" collapsed="false">
      <c r="A57" s="4" t="n">
        <v>6</v>
      </c>
      <c r="B57" s="4" t="s">
        <v>22</v>
      </c>
      <c r="C57" s="8" t="s">
        <v>72</v>
      </c>
      <c r="D57" s="21" t="n">
        <v>39905</v>
      </c>
      <c r="E57" s="22" t="n">
        <v>166.18</v>
      </c>
      <c r="F57" s="21" t="n">
        <v>39906</v>
      </c>
      <c r="G57" s="22" t="n">
        <v>167.65</v>
      </c>
      <c r="H57" s="22" t="n">
        <v>149.56</v>
      </c>
      <c r="I57" s="21" t="n">
        <v>39911</v>
      </c>
      <c r="J57" s="22" t="n">
        <v>162.68</v>
      </c>
      <c r="K57" s="21" t="n">
        <v>39912</v>
      </c>
      <c r="L57" s="22" t="n">
        <v>164.13</v>
      </c>
      <c r="M57" s="8" t="s">
        <v>73</v>
      </c>
      <c r="N57" s="4" t="n">
        <v>4</v>
      </c>
      <c r="O57" s="6" t="n">
        <f aca="false">IF(C57="롱",(J57-E57)/E57,(E57-J57)/E57)</f>
        <v>-0.02106149957877</v>
      </c>
    </row>
    <row r="58" customFormat="false" ht="17.15" hidden="false" customHeight="false" outlineLevel="0" collapsed="false">
      <c r="A58" s="4" t="n">
        <v>6</v>
      </c>
      <c r="B58" s="4" t="s">
        <v>22</v>
      </c>
      <c r="C58" s="8" t="s">
        <v>72</v>
      </c>
      <c r="D58" s="21" t="n">
        <v>39944</v>
      </c>
      <c r="E58" s="22" t="n">
        <v>181.35</v>
      </c>
      <c r="F58" s="21" t="n">
        <v>39945</v>
      </c>
      <c r="G58" s="22" t="n">
        <v>180.24</v>
      </c>
      <c r="H58" s="22" t="n">
        <v>163.22</v>
      </c>
      <c r="I58" s="21" t="n">
        <v>39945</v>
      </c>
      <c r="J58" s="22" t="n">
        <v>179.73</v>
      </c>
      <c r="K58" s="21" t="n">
        <v>39946</v>
      </c>
      <c r="L58" s="22" t="n">
        <v>180.46</v>
      </c>
      <c r="M58" s="8" t="s">
        <v>73</v>
      </c>
      <c r="N58" s="4" t="n">
        <v>1</v>
      </c>
      <c r="O58" s="6" t="n">
        <f aca="false">IF(C58="롱",(J58-E58)/E58,(E58-J58)/E58)</f>
        <v>-0.0089330024813896</v>
      </c>
    </row>
    <row r="59" customFormat="false" ht="17.15" hidden="false" customHeight="false" outlineLevel="0" collapsed="false">
      <c r="A59" s="4" t="n">
        <v>6</v>
      </c>
      <c r="B59" s="4" t="s">
        <v>22</v>
      </c>
      <c r="C59" s="8" t="s">
        <v>72</v>
      </c>
      <c r="D59" s="21" t="n">
        <v>40001</v>
      </c>
      <c r="E59" s="22" t="n">
        <v>185.11</v>
      </c>
      <c r="F59" s="21" t="n">
        <v>40002</v>
      </c>
      <c r="G59" s="22" t="n">
        <v>183.86</v>
      </c>
      <c r="H59" s="22" t="n">
        <v>168.34</v>
      </c>
      <c r="I59" s="21" t="n">
        <v>40004</v>
      </c>
      <c r="J59" s="22" t="n">
        <v>184.56</v>
      </c>
      <c r="K59" s="21" t="n">
        <v>40007</v>
      </c>
      <c r="L59" s="22" t="n">
        <v>184.23</v>
      </c>
      <c r="M59" s="8" t="s">
        <v>73</v>
      </c>
      <c r="N59" s="4" t="n">
        <v>3</v>
      </c>
      <c r="O59" s="6" t="n">
        <f aca="false">IF(C59="롱",(J59-E59)/E59,(E59-J59)/E59)</f>
        <v>-0.00297120630976182</v>
      </c>
    </row>
    <row r="60" customFormat="false" ht="17.15" hidden="false" customHeight="false" outlineLevel="0" collapsed="false">
      <c r="A60" s="4" t="n">
        <v>6</v>
      </c>
      <c r="B60" s="4" t="s">
        <v>22</v>
      </c>
      <c r="C60" s="8" t="s">
        <v>72</v>
      </c>
      <c r="D60" s="21" t="n">
        <v>40010</v>
      </c>
      <c r="E60" s="22" t="n">
        <v>186.22</v>
      </c>
      <c r="F60" s="21" t="n">
        <v>40011</v>
      </c>
      <c r="G60" s="22" t="n">
        <v>187.63</v>
      </c>
      <c r="H60" s="22" t="n">
        <v>169.22</v>
      </c>
      <c r="I60" s="21" t="n">
        <v>40037</v>
      </c>
      <c r="J60" s="22" t="n">
        <v>202.67</v>
      </c>
      <c r="K60" s="21" t="n">
        <v>40038</v>
      </c>
      <c r="L60" s="22" t="n">
        <v>204.52</v>
      </c>
      <c r="M60" s="8" t="s">
        <v>73</v>
      </c>
      <c r="N60" s="4" t="n">
        <v>19</v>
      </c>
      <c r="O60" s="6" t="n">
        <f aca="false">IF(C60="롱",(J60-E60)/E60,(E60-J60)/E60)</f>
        <v>0.0883363763290731</v>
      </c>
    </row>
    <row r="61" customFormat="false" ht="17.15" hidden="false" customHeight="false" outlineLevel="0" collapsed="false">
      <c r="A61" s="4" t="n">
        <v>6</v>
      </c>
      <c r="B61" s="4" t="s">
        <v>22</v>
      </c>
      <c r="C61" s="8" t="s">
        <v>72</v>
      </c>
      <c r="D61" s="21" t="n">
        <v>40073</v>
      </c>
      <c r="E61" s="22" t="n">
        <v>222.31</v>
      </c>
      <c r="F61" s="21" t="n">
        <v>40074</v>
      </c>
      <c r="G61" s="22" t="n">
        <v>222.2</v>
      </c>
      <c r="H61" s="22" t="n">
        <v>205.36</v>
      </c>
      <c r="I61" s="21" t="n">
        <v>40080</v>
      </c>
      <c r="J61" s="22" t="n">
        <v>222.35</v>
      </c>
      <c r="K61" s="21" t="n">
        <v>40081</v>
      </c>
      <c r="L61" s="22" t="n">
        <v>221.24</v>
      </c>
      <c r="M61" s="8" t="s">
        <v>73</v>
      </c>
      <c r="N61" s="4" t="n">
        <v>5</v>
      </c>
      <c r="O61" s="6" t="n">
        <f aca="false">IF(C61="롱",(J61-E61)/E61,(E61-J61)/E61)</f>
        <v>0.000179928928073375</v>
      </c>
    </row>
    <row r="62" customFormat="false" ht="17.15" hidden="false" customHeight="false" outlineLevel="0" collapsed="false">
      <c r="A62" s="4" t="n">
        <v>6</v>
      </c>
      <c r="B62" s="4" t="s">
        <v>22</v>
      </c>
      <c r="C62" s="8" t="s">
        <v>72</v>
      </c>
      <c r="D62" s="21" t="n">
        <v>40150</v>
      </c>
      <c r="E62" s="22" t="n">
        <v>213.31</v>
      </c>
      <c r="F62" s="21" t="n">
        <v>40151</v>
      </c>
      <c r="G62" s="22" t="n">
        <v>212.43</v>
      </c>
      <c r="H62" s="22" t="n">
        <v>194.54</v>
      </c>
      <c r="I62" s="21" t="n">
        <v>40164</v>
      </c>
      <c r="J62" s="22" t="n">
        <v>216.9</v>
      </c>
      <c r="K62" s="21" t="n">
        <v>40165</v>
      </c>
      <c r="L62" s="22" t="n">
        <v>215.82</v>
      </c>
      <c r="M62" s="8" t="s">
        <v>73</v>
      </c>
      <c r="N62" s="4" t="n">
        <v>10</v>
      </c>
      <c r="O62" s="6" t="n">
        <f aca="false">IF(C62="롱",(J62-E62)/E62,(E62-J62)/E62)</f>
        <v>0.0168299657775069</v>
      </c>
    </row>
    <row r="63" customFormat="false" ht="17.15" hidden="false" customHeight="false" outlineLevel="0" collapsed="false">
      <c r="A63" s="4" t="n">
        <v>6</v>
      </c>
      <c r="B63" s="4" t="s">
        <v>22</v>
      </c>
      <c r="C63" s="8" t="s">
        <v>72</v>
      </c>
      <c r="D63" s="21" t="n">
        <v>40240</v>
      </c>
      <c r="E63" s="22" t="n">
        <v>212.36</v>
      </c>
      <c r="F63" s="21" t="n">
        <v>40241</v>
      </c>
      <c r="G63" s="22" t="n">
        <v>212.75</v>
      </c>
      <c r="H63" s="22" t="n">
        <v>195.36</v>
      </c>
      <c r="I63" s="21" t="n">
        <v>40248</v>
      </c>
      <c r="J63" s="22" t="n">
        <v>216.76</v>
      </c>
      <c r="K63" s="21" t="n">
        <v>40249</v>
      </c>
      <c r="L63" s="22" t="n">
        <v>218.11</v>
      </c>
      <c r="M63" s="8" t="s">
        <v>73</v>
      </c>
      <c r="N63" s="4" t="n">
        <v>6</v>
      </c>
      <c r="O63" s="6" t="n">
        <f aca="false">IF(C63="롱",(J63-E63)/E63,(E63-J63)/E63)</f>
        <v>0.0207195328687134</v>
      </c>
    </row>
    <row r="64" customFormat="false" ht="17.15" hidden="false" customHeight="false" outlineLevel="0" collapsed="false">
      <c r="A64" s="4" t="n">
        <v>6</v>
      </c>
      <c r="B64" s="4" t="s">
        <v>22</v>
      </c>
      <c r="C64" s="8" t="s">
        <v>72</v>
      </c>
      <c r="D64" s="21" t="n">
        <v>40273</v>
      </c>
      <c r="E64" s="22" t="n">
        <v>227.48</v>
      </c>
      <c r="F64" s="21" t="n">
        <v>40274</v>
      </c>
      <c r="G64" s="22" t="n">
        <v>228.62</v>
      </c>
      <c r="H64" s="22" t="n">
        <v>215.52</v>
      </c>
      <c r="I64" s="21" t="n">
        <v>40277</v>
      </c>
      <c r="J64" s="22" t="n">
        <v>226.81</v>
      </c>
      <c r="K64" s="21" t="n">
        <v>40280</v>
      </c>
      <c r="L64" s="22" t="n">
        <v>227.56</v>
      </c>
      <c r="M64" s="8" t="s">
        <v>73</v>
      </c>
      <c r="N64" s="4" t="n">
        <v>4</v>
      </c>
      <c r="O64" s="6" t="n">
        <f aca="false">IF(C64="롱",(J64-E64)/E64,(E64-J64)/E64)</f>
        <v>-0.00294531387374709</v>
      </c>
    </row>
    <row r="65" customFormat="false" ht="17.15" hidden="false" customHeight="false" outlineLevel="0" collapsed="false">
      <c r="A65" s="4" t="n">
        <v>6</v>
      </c>
      <c r="B65" s="4" t="s">
        <v>22</v>
      </c>
      <c r="C65" s="8" t="s">
        <v>72</v>
      </c>
      <c r="D65" s="21" t="n">
        <v>40283</v>
      </c>
      <c r="E65" s="22" t="n">
        <v>229.17</v>
      </c>
      <c r="F65" s="21" t="n">
        <v>40284</v>
      </c>
      <c r="G65" s="22" t="n">
        <v>228.83</v>
      </c>
      <c r="H65" s="22" t="n">
        <v>216.62</v>
      </c>
      <c r="I65" s="21" t="n">
        <v>40287</v>
      </c>
      <c r="J65" s="22" t="n">
        <v>223.65</v>
      </c>
      <c r="K65" s="21" t="n">
        <v>40288</v>
      </c>
      <c r="L65" s="22" t="n">
        <v>224.98</v>
      </c>
      <c r="M65" s="8" t="s">
        <v>73</v>
      </c>
      <c r="N65" s="4" t="n">
        <v>2</v>
      </c>
      <c r="O65" s="6" t="n">
        <f aca="false">IF(C65="롱",(J65-E65)/E65,(E65-J65)/E65)</f>
        <v>-0.0240869223720381</v>
      </c>
    </row>
    <row r="66" customFormat="false" ht="17.15" hidden="false" customHeight="false" outlineLevel="0" collapsed="false">
      <c r="A66" s="4" t="n">
        <v>6</v>
      </c>
      <c r="B66" s="4" t="s">
        <v>22</v>
      </c>
      <c r="C66" s="8" t="s">
        <v>72</v>
      </c>
      <c r="D66" s="21" t="n">
        <v>40343</v>
      </c>
      <c r="E66" s="22" t="n">
        <v>221.43</v>
      </c>
      <c r="F66" s="21" t="n">
        <v>40344</v>
      </c>
      <c r="G66" s="22" t="n">
        <v>220.94</v>
      </c>
      <c r="H66" s="22" t="n">
        <v>199.85</v>
      </c>
      <c r="I66" s="21" t="n">
        <v>40354</v>
      </c>
      <c r="J66" s="22" t="n">
        <v>225.63</v>
      </c>
      <c r="K66" s="21" t="n">
        <v>40357</v>
      </c>
      <c r="L66" s="22" t="n">
        <v>226.17</v>
      </c>
      <c r="M66" s="8" t="s">
        <v>73</v>
      </c>
      <c r="N66" s="4" t="n">
        <v>9</v>
      </c>
      <c r="O66" s="6" t="n">
        <f aca="false">IF(C66="롱",(J66-E66)/E66,(E66-J66)/E66)</f>
        <v>0.0189676195637447</v>
      </c>
    </row>
    <row r="67" customFormat="false" ht="17.15" hidden="false" customHeight="false" outlineLevel="0" collapsed="false">
      <c r="A67" s="4" t="n">
        <v>6</v>
      </c>
      <c r="B67" s="4" t="s">
        <v>22</v>
      </c>
      <c r="C67" s="8" t="s">
        <v>72</v>
      </c>
      <c r="D67" s="21" t="n">
        <v>40424</v>
      </c>
      <c r="E67" s="22" t="n">
        <v>231.04</v>
      </c>
      <c r="F67" s="21" t="n">
        <v>40427</v>
      </c>
      <c r="G67" s="22" t="n">
        <v>232.6</v>
      </c>
      <c r="H67" s="22" t="n">
        <v>216.18</v>
      </c>
      <c r="I67" s="21" t="n">
        <v>40429</v>
      </c>
      <c r="J67" s="22" t="n">
        <v>230.94</v>
      </c>
      <c r="K67" s="21" t="n">
        <v>40430</v>
      </c>
      <c r="L67" s="22" t="n">
        <v>231.93</v>
      </c>
      <c r="M67" s="8" t="s">
        <v>73</v>
      </c>
      <c r="N67" s="4" t="n">
        <v>3</v>
      </c>
      <c r="O67" s="6" t="n">
        <f aca="false">IF(C67="롱",(J67-E67)/E67,(E67-J67)/E67)</f>
        <v>-0.000432825484764518</v>
      </c>
    </row>
    <row r="68" customFormat="false" ht="17.15" hidden="false" customHeight="false" outlineLevel="0" collapsed="false">
      <c r="A68" s="4" t="n">
        <v>6</v>
      </c>
      <c r="B68" s="4" t="s">
        <v>22</v>
      </c>
      <c r="C68" s="8" t="s">
        <v>72</v>
      </c>
      <c r="D68" s="21" t="n">
        <v>40434</v>
      </c>
      <c r="E68" s="22" t="n">
        <v>236.34</v>
      </c>
      <c r="F68" s="21" t="n">
        <v>40435</v>
      </c>
      <c r="G68" s="22" t="n">
        <v>237.19</v>
      </c>
      <c r="H68" s="22" t="n">
        <v>222.98</v>
      </c>
      <c r="I68" s="21" t="n">
        <v>40437</v>
      </c>
      <c r="J68" s="22" t="n">
        <v>235.37</v>
      </c>
      <c r="K68" s="21" t="n">
        <v>40438</v>
      </c>
      <c r="L68" s="22" t="n">
        <v>237.04</v>
      </c>
      <c r="M68" s="8" t="s">
        <v>73</v>
      </c>
      <c r="N68" s="4" t="n">
        <v>3</v>
      </c>
      <c r="O68" s="6" t="n">
        <f aca="false">IF(C68="롱",(J68-E68)/E68,(E68-J68)/E68)</f>
        <v>-0.0041042565795041</v>
      </c>
    </row>
    <row r="69" customFormat="false" ht="17.15" hidden="false" customHeight="false" outlineLevel="0" collapsed="false">
      <c r="A69" s="4" t="n">
        <v>6</v>
      </c>
      <c r="B69" s="4" t="s">
        <v>22</v>
      </c>
      <c r="C69" s="8" t="s">
        <v>72</v>
      </c>
      <c r="D69" s="21" t="n">
        <v>40445</v>
      </c>
      <c r="E69" s="22" t="n">
        <v>239.8</v>
      </c>
      <c r="F69" s="21" t="n">
        <v>40448</v>
      </c>
      <c r="G69" s="22" t="n">
        <v>240.99</v>
      </c>
      <c r="H69" s="22" t="n">
        <v>227.17</v>
      </c>
      <c r="I69" s="21" t="n">
        <v>40462</v>
      </c>
      <c r="J69" s="22" t="n">
        <v>245.44</v>
      </c>
      <c r="K69" s="21" t="n">
        <v>40463</v>
      </c>
      <c r="L69" s="22" t="n">
        <v>245.76</v>
      </c>
      <c r="M69" s="8" t="s">
        <v>73</v>
      </c>
      <c r="N69" s="4" t="n">
        <v>11</v>
      </c>
      <c r="O69" s="6" t="n">
        <f aca="false">IF(C69="롱",(J69-E69)/E69,(E69-J69)/E69)</f>
        <v>0.0235195996663886</v>
      </c>
    </row>
    <row r="70" customFormat="false" ht="17.15" hidden="false" customHeight="false" outlineLevel="0" collapsed="false">
      <c r="A70" s="4" t="n">
        <v>6</v>
      </c>
      <c r="B70" s="4" t="s">
        <v>22</v>
      </c>
      <c r="C70" s="8" t="s">
        <v>72</v>
      </c>
      <c r="D70" s="21" t="n">
        <v>40485</v>
      </c>
      <c r="E70" s="22" t="n">
        <v>249.99</v>
      </c>
      <c r="F70" s="21" t="n">
        <v>40486</v>
      </c>
      <c r="G70" s="22" t="n">
        <v>250.73</v>
      </c>
      <c r="H70" s="22" t="n">
        <v>234.4</v>
      </c>
      <c r="I70" s="21" t="n">
        <v>40493</v>
      </c>
      <c r="J70" s="22" t="n">
        <v>247.51</v>
      </c>
      <c r="K70" s="21" t="n">
        <v>40494</v>
      </c>
      <c r="L70" s="22" t="n">
        <v>252.78</v>
      </c>
      <c r="M70" s="8" t="s">
        <v>73</v>
      </c>
      <c r="N70" s="4" t="n">
        <v>6</v>
      </c>
      <c r="O70" s="6" t="n">
        <f aca="false">IF(C70="롱",(J70-E70)/E70,(E70-J70)/E70)</f>
        <v>-0.00992039681587271</v>
      </c>
    </row>
    <row r="71" customFormat="false" ht="17.15" hidden="false" customHeight="false" outlineLevel="0" collapsed="false">
      <c r="A71" s="4" t="n">
        <v>6</v>
      </c>
      <c r="B71" s="4" t="s">
        <v>22</v>
      </c>
      <c r="C71" s="8" t="s">
        <v>72</v>
      </c>
      <c r="D71" s="21" t="n">
        <v>40504</v>
      </c>
      <c r="E71" s="22" t="n">
        <v>254</v>
      </c>
      <c r="F71" s="21" t="n">
        <v>40505</v>
      </c>
      <c r="G71" s="22" t="n">
        <v>253.22</v>
      </c>
      <c r="H71" s="22" t="n">
        <v>236.65</v>
      </c>
      <c r="I71" s="21" t="n">
        <v>40506</v>
      </c>
      <c r="J71" s="22" t="n">
        <v>252.38</v>
      </c>
      <c r="K71" s="21" t="n">
        <v>40507</v>
      </c>
      <c r="L71" s="22" t="n">
        <v>253.3</v>
      </c>
      <c r="M71" s="8" t="s">
        <v>73</v>
      </c>
      <c r="N71" s="4" t="n">
        <v>2</v>
      </c>
      <c r="O71" s="6" t="n">
        <f aca="false">IF(C71="롱",(J71-E71)/E71,(E71-J71)/E71)</f>
        <v>-0.00637795275590553</v>
      </c>
    </row>
    <row r="72" customFormat="false" ht="17.15" hidden="false" customHeight="false" outlineLevel="0" collapsed="false">
      <c r="A72" s="4" t="n">
        <v>6</v>
      </c>
      <c r="B72" s="4" t="s">
        <v>22</v>
      </c>
      <c r="C72" s="8" t="s">
        <v>72</v>
      </c>
      <c r="D72" s="21" t="n">
        <v>40515</v>
      </c>
      <c r="E72" s="22" t="n">
        <v>257.65</v>
      </c>
      <c r="F72" s="21" t="n">
        <v>40518</v>
      </c>
      <c r="G72" s="22" t="n">
        <v>258.12</v>
      </c>
      <c r="H72" s="22" t="n">
        <v>238.48</v>
      </c>
      <c r="I72" s="21" t="n">
        <v>40536</v>
      </c>
      <c r="J72" s="22" t="n">
        <v>268.5</v>
      </c>
      <c r="K72" s="21" t="n">
        <v>40539</v>
      </c>
      <c r="L72" s="22" t="n">
        <v>267.68</v>
      </c>
      <c r="M72" s="8" t="s">
        <v>73</v>
      </c>
      <c r="N72" s="4" t="n">
        <v>15</v>
      </c>
      <c r="O72" s="6" t="n">
        <f aca="false">IF(C72="롱",(J72-E72)/E72,(E72-J72)/E72)</f>
        <v>0.0421113914224724</v>
      </c>
    </row>
    <row r="73" customFormat="false" ht="17.15" hidden="false" customHeight="false" outlineLevel="0" collapsed="false">
      <c r="A73" s="4" t="n">
        <v>6</v>
      </c>
      <c r="B73" s="4" t="s">
        <v>22</v>
      </c>
      <c r="C73" s="8" t="s">
        <v>72</v>
      </c>
      <c r="D73" s="21" t="n">
        <v>40546</v>
      </c>
      <c r="E73" s="22" t="n">
        <v>273.81</v>
      </c>
      <c r="F73" s="21" t="n">
        <v>40547</v>
      </c>
      <c r="G73" s="22" t="n">
        <v>274.29</v>
      </c>
      <c r="H73" s="22" t="n">
        <v>261.65</v>
      </c>
      <c r="I73" s="21" t="n">
        <v>40553</v>
      </c>
      <c r="J73" s="22" t="n">
        <v>273.99</v>
      </c>
      <c r="K73" s="21" t="n">
        <v>40554</v>
      </c>
      <c r="L73" s="22" t="n">
        <v>273.81</v>
      </c>
      <c r="M73" s="8" t="s">
        <v>73</v>
      </c>
      <c r="N73" s="4" t="n">
        <v>5</v>
      </c>
      <c r="O73" s="6" t="n">
        <f aca="false">IF(C73="롱",(J73-E73)/E73,(E73-J73)/E73)</f>
        <v>0.000657390161060614</v>
      </c>
    </row>
    <row r="74" customFormat="false" ht="17.15" hidden="false" customHeight="false" outlineLevel="0" collapsed="false">
      <c r="A74" s="4" t="n">
        <v>6</v>
      </c>
      <c r="B74" s="4" t="s">
        <v>22</v>
      </c>
      <c r="C74" s="8" t="s">
        <v>72</v>
      </c>
      <c r="D74" s="21" t="n">
        <v>40620</v>
      </c>
      <c r="E74" s="22" t="n">
        <v>262.39</v>
      </c>
      <c r="F74" s="21" t="n">
        <v>40623</v>
      </c>
      <c r="G74" s="22" t="n">
        <v>262.74</v>
      </c>
      <c r="H74" s="22" t="n">
        <v>237.84</v>
      </c>
      <c r="I74" s="21" t="n">
        <v>40640</v>
      </c>
      <c r="J74" s="22" t="n">
        <v>280.45</v>
      </c>
      <c r="K74" s="21" t="n">
        <v>40641</v>
      </c>
      <c r="L74" s="22" t="n">
        <v>280</v>
      </c>
      <c r="M74" s="8" t="s">
        <v>73</v>
      </c>
      <c r="N74" s="4" t="n">
        <v>14</v>
      </c>
      <c r="O74" s="6" t="n">
        <f aca="false">IF(C74="롱",(J74-E74)/E74,(E74-J74)/E74)</f>
        <v>0.0688288425625977</v>
      </c>
    </row>
    <row r="75" customFormat="false" ht="17.15" hidden="false" customHeight="false" outlineLevel="0" collapsed="false">
      <c r="A75" s="4" t="n">
        <v>6</v>
      </c>
      <c r="B75" s="4" t="s">
        <v>22</v>
      </c>
      <c r="C75" s="8" t="s">
        <v>72</v>
      </c>
      <c r="D75" s="21" t="n">
        <v>40725</v>
      </c>
      <c r="E75" s="22" t="n">
        <v>278.77</v>
      </c>
      <c r="F75" s="21" t="n">
        <v>40728</v>
      </c>
      <c r="G75" s="22" t="n">
        <v>281.28</v>
      </c>
      <c r="H75" s="22" t="n">
        <v>256.07</v>
      </c>
      <c r="I75" s="21" t="n">
        <v>40735</v>
      </c>
      <c r="J75" s="22" t="n">
        <v>282.46</v>
      </c>
      <c r="K75" s="21" t="n">
        <v>40736</v>
      </c>
      <c r="L75" s="22" t="n">
        <v>278.96</v>
      </c>
      <c r="M75" s="8" t="s">
        <v>73</v>
      </c>
      <c r="N75" s="4" t="n">
        <v>6</v>
      </c>
      <c r="O75" s="6" t="n">
        <f aca="false">IF(C75="롱",(J75-E75)/E75,(E75-J75)/E75)</f>
        <v>0.0132367184417261</v>
      </c>
    </row>
    <row r="76" customFormat="false" ht="17.15" hidden="false" customHeight="false" outlineLevel="0" collapsed="false">
      <c r="A76" s="4" t="n">
        <v>6</v>
      </c>
      <c r="B76" s="4" t="s">
        <v>22</v>
      </c>
      <c r="C76" s="8" t="s">
        <v>72</v>
      </c>
      <c r="D76" s="21" t="n">
        <v>40927</v>
      </c>
      <c r="E76" s="22" t="n">
        <v>251.27</v>
      </c>
      <c r="F76" s="21" t="n">
        <v>40928</v>
      </c>
      <c r="G76" s="22" t="n">
        <v>252.28</v>
      </c>
      <c r="H76" s="22" t="n">
        <v>231.93</v>
      </c>
      <c r="I76" s="21" t="n">
        <v>40938</v>
      </c>
      <c r="J76" s="22" t="n">
        <v>255.21</v>
      </c>
      <c r="K76" s="21" t="n">
        <v>40939</v>
      </c>
      <c r="L76" s="22" t="n">
        <v>255.45</v>
      </c>
      <c r="M76" s="8" t="s">
        <v>73</v>
      </c>
      <c r="N76" s="4" t="n">
        <v>5</v>
      </c>
      <c r="O76" s="6" t="n">
        <f aca="false">IF(C76="롱",(J76-E76)/E76,(E76-J76)/E76)</f>
        <v>0.0156803438532256</v>
      </c>
    </row>
    <row r="77" customFormat="false" ht="17.15" hidden="false" customHeight="false" outlineLevel="0" collapsed="false">
      <c r="A77" s="4" t="n">
        <v>6</v>
      </c>
      <c r="B77" s="4" t="s">
        <v>22</v>
      </c>
      <c r="C77" s="8" t="s">
        <v>72</v>
      </c>
      <c r="D77" s="21" t="n">
        <v>40941</v>
      </c>
      <c r="E77" s="22" t="n">
        <v>260.35</v>
      </c>
      <c r="F77" s="21" t="n">
        <v>40942</v>
      </c>
      <c r="G77" s="22" t="n">
        <v>259.95</v>
      </c>
      <c r="H77" s="22" t="n">
        <v>241.89</v>
      </c>
      <c r="I77" s="21" t="n">
        <v>40949</v>
      </c>
      <c r="J77" s="22" t="n">
        <v>261.17</v>
      </c>
      <c r="K77" s="21" t="n">
        <v>40952</v>
      </c>
      <c r="L77" s="22" t="n">
        <v>262.14</v>
      </c>
      <c r="M77" s="8" t="s">
        <v>73</v>
      </c>
      <c r="N77" s="4" t="n">
        <v>6</v>
      </c>
      <c r="O77" s="6" t="n">
        <f aca="false">IF(C77="롱",(J77-E77)/E77,(E77-J77)/E77)</f>
        <v>0.00314960629921257</v>
      </c>
    </row>
    <row r="78" customFormat="false" ht="17.15" hidden="false" customHeight="false" outlineLevel="0" collapsed="false">
      <c r="A78" s="4" t="n">
        <v>6</v>
      </c>
      <c r="B78" s="4" t="s">
        <v>22</v>
      </c>
      <c r="C78" s="8" t="s">
        <v>72</v>
      </c>
      <c r="D78" s="21" t="n">
        <v>41031</v>
      </c>
      <c r="E78" s="22" t="n">
        <v>266.61</v>
      </c>
      <c r="F78" s="21" t="n">
        <v>41032</v>
      </c>
      <c r="G78" s="22" t="n">
        <v>266.05</v>
      </c>
      <c r="H78" s="22" t="n">
        <v>250.5</v>
      </c>
      <c r="I78" s="21" t="n">
        <v>41033</v>
      </c>
      <c r="J78" s="22" t="n">
        <v>264.4</v>
      </c>
      <c r="K78" s="21" t="n">
        <v>41036</v>
      </c>
      <c r="L78" s="22" t="n">
        <v>259.71</v>
      </c>
      <c r="M78" s="8" t="s">
        <v>73</v>
      </c>
      <c r="N78" s="4" t="n">
        <v>2</v>
      </c>
      <c r="O78" s="6" t="n">
        <f aca="false">IF(C78="롱",(J78-E78)/E78,(E78-J78)/E78)</f>
        <v>-0.0082892614680621</v>
      </c>
    </row>
    <row r="79" customFormat="false" ht="17.15" hidden="false" customHeight="false" outlineLevel="0" collapsed="false">
      <c r="A79" s="4" t="n">
        <v>6</v>
      </c>
      <c r="B79" s="4" t="s">
        <v>22</v>
      </c>
      <c r="C79" s="8" t="s">
        <v>72</v>
      </c>
      <c r="D79" s="21" t="n">
        <v>41256</v>
      </c>
      <c r="E79" s="22" t="n">
        <v>265.79</v>
      </c>
      <c r="F79" s="21" t="n">
        <v>41257</v>
      </c>
      <c r="G79" s="22" t="n">
        <v>263.76</v>
      </c>
      <c r="H79" s="22" t="n">
        <v>253.61</v>
      </c>
      <c r="I79" s="21" t="n">
        <v>41260</v>
      </c>
      <c r="J79" s="22" t="n">
        <v>262.76</v>
      </c>
      <c r="K79" s="21" t="n">
        <v>41261</v>
      </c>
      <c r="L79" s="22" t="n">
        <v>263.76</v>
      </c>
      <c r="M79" s="8" t="s">
        <v>73</v>
      </c>
      <c r="N79" s="4" t="n">
        <v>2</v>
      </c>
      <c r="O79" s="6" t="n">
        <f aca="false">IF(C79="롱",(J79-E79)/E79,(E79-J79)/E79)</f>
        <v>-0.0113999774257874</v>
      </c>
    </row>
    <row r="80" customFormat="false" ht="17.15" hidden="false" customHeight="false" outlineLevel="0" collapsed="false">
      <c r="A80" s="4" t="n">
        <v>6</v>
      </c>
      <c r="B80" s="4" t="s">
        <v>22</v>
      </c>
      <c r="C80" s="8" t="s">
        <v>72</v>
      </c>
      <c r="D80" s="21" t="n">
        <v>41276</v>
      </c>
      <c r="E80" s="22" t="n">
        <v>269.16</v>
      </c>
      <c r="F80" s="21" t="n">
        <v>41277</v>
      </c>
      <c r="G80" s="22" t="n">
        <v>270.54</v>
      </c>
      <c r="H80" s="22" t="n">
        <v>256.69</v>
      </c>
      <c r="I80" s="21" t="n">
        <v>41281</v>
      </c>
      <c r="J80" s="22" t="n">
        <v>265.97</v>
      </c>
      <c r="K80" s="21" t="n">
        <v>41282</v>
      </c>
      <c r="L80" s="22" t="n">
        <v>264.81</v>
      </c>
      <c r="M80" s="8" t="s">
        <v>73</v>
      </c>
      <c r="N80" s="4" t="n">
        <v>3</v>
      </c>
      <c r="O80" s="6" t="n">
        <f aca="false">IF(C80="롱",(J80-E80)/E80,(E80-J80)/E80)</f>
        <v>-0.0118516867290831</v>
      </c>
    </row>
    <row r="81" customFormat="false" ht="17.15" hidden="false" customHeight="false" outlineLevel="0" collapsed="false">
      <c r="A81" s="4" t="n">
        <v>6</v>
      </c>
      <c r="B81" s="4" t="s">
        <v>22</v>
      </c>
      <c r="C81" s="8" t="s">
        <v>72</v>
      </c>
      <c r="D81" s="21" t="n">
        <v>41320</v>
      </c>
      <c r="E81" s="22" t="n">
        <v>261.61</v>
      </c>
      <c r="F81" s="21" t="n">
        <v>41323</v>
      </c>
      <c r="G81" s="22" t="n">
        <v>261.3</v>
      </c>
      <c r="H81" s="22" t="n">
        <v>247.84</v>
      </c>
      <c r="I81" s="21" t="n">
        <v>41330</v>
      </c>
      <c r="J81" s="22" t="n">
        <v>266.01</v>
      </c>
      <c r="K81" s="21" t="n">
        <v>41331</v>
      </c>
      <c r="L81" s="22" t="n">
        <v>263.76</v>
      </c>
      <c r="M81" s="8" t="s">
        <v>73</v>
      </c>
      <c r="N81" s="4" t="n">
        <v>6</v>
      </c>
      <c r="O81" s="6" t="n">
        <f aca="false">IF(C81="롱",(J81-E81)/E81,(E81-J81)/E81)</f>
        <v>0.0168189289400251</v>
      </c>
    </row>
    <row r="82" customFormat="false" ht="17.15" hidden="false" customHeight="false" outlineLevel="0" collapsed="false">
      <c r="A82" s="4" t="n">
        <v>6</v>
      </c>
      <c r="B82" s="4" t="s">
        <v>22</v>
      </c>
      <c r="C82" s="8" t="s">
        <v>72</v>
      </c>
      <c r="D82" s="21" t="n">
        <v>41604</v>
      </c>
      <c r="E82" s="22" t="n">
        <v>266.26</v>
      </c>
      <c r="F82" s="21" t="n">
        <v>41605</v>
      </c>
      <c r="G82" s="22" t="n">
        <v>265.28</v>
      </c>
      <c r="H82" s="22" t="n">
        <v>250.32</v>
      </c>
      <c r="I82" s="21" t="n">
        <v>41610</v>
      </c>
      <c r="J82" s="22" t="n">
        <v>267.58</v>
      </c>
      <c r="K82" s="21" t="n">
        <v>41611</v>
      </c>
      <c r="L82" s="22" t="n">
        <v>266.64</v>
      </c>
      <c r="M82" s="8" t="s">
        <v>73</v>
      </c>
      <c r="N82" s="4" t="n">
        <v>4</v>
      </c>
      <c r="O82" s="6" t="n">
        <f aca="false">IF(C82="롱",(J82-E82)/E82,(E82-J82)/E82)</f>
        <v>0.0049575602794261</v>
      </c>
    </row>
    <row r="83" customFormat="false" ht="17.15" hidden="false" customHeight="false" outlineLevel="0" collapsed="false">
      <c r="A83" s="4" t="n">
        <v>6</v>
      </c>
      <c r="B83" s="4" t="s">
        <v>22</v>
      </c>
      <c r="C83" s="8" t="s">
        <v>72</v>
      </c>
      <c r="D83" s="21" t="n">
        <v>41631</v>
      </c>
      <c r="E83" s="22" t="n">
        <v>263.24</v>
      </c>
      <c r="F83" s="21" t="n">
        <v>41632</v>
      </c>
      <c r="G83" s="22" t="n">
        <v>263.72</v>
      </c>
      <c r="H83" s="22" t="n">
        <v>249.36</v>
      </c>
      <c r="I83" s="21" t="n">
        <v>41641</v>
      </c>
      <c r="J83" s="22" t="n">
        <v>257.64</v>
      </c>
      <c r="K83" s="21" t="n">
        <v>41642</v>
      </c>
      <c r="L83" s="22" t="n">
        <v>257.05</v>
      </c>
      <c r="M83" s="8" t="s">
        <v>73</v>
      </c>
      <c r="N83" s="4" t="n">
        <v>6</v>
      </c>
      <c r="O83" s="6" t="n">
        <f aca="false">IF(C83="롱",(J83-E83)/E83,(E83-J83)/E83)</f>
        <v>-0.0212733627108343</v>
      </c>
    </row>
    <row r="84" customFormat="false" ht="17.15" hidden="false" customHeight="false" outlineLevel="0" collapsed="false">
      <c r="A84" s="4" t="n">
        <v>6</v>
      </c>
      <c r="B84" s="4" t="s">
        <v>22</v>
      </c>
      <c r="C84" s="8" t="s">
        <v>72</v>
      </c>
      <c r="D84" s="21" t="n">
        <v>41773</v>
      </c>
      <c r="E84" s="22" t="n">
        <v>262.43</v>
      </c>
      <c r="F84" s="21" t="n">
        <v>41774</v>
      </c>
      <c r="G84" s="22" t="n">
        <v>261.98</v>
      </c>
      <c r="H84" s="22" t="n">
        <v>250.73</v>
      </c>
      <c r="I84" s="21" t="n">
        <v>41780</v>
      </c>
      <c r="J84" s="22" t="n">
        <v>262.4</v>
      </c>
      <c r="K84" s="21" t="n">
        <v>41781</v>
      </c>
      <c r="L84" s="22" t="n">
        <v>263.41</v>
      </c>
      <c r="M84" s="8" t="s">
        <v>73</v>
      </c>
      <c r="N84" s="4" t="n">
        <v>5</v>
      </c>
      <c r="O84" s="6" t="n">
        <f aca="false">IF(C84="롱",(J84-E84)/E84,(E84-J84)/E84)</f>
        <v>-0.000114316198605455</v>
      </c>
    </row>
    <row r="85" customFormat="false" ht="17.15" hidden="false" customHeight="false" outlineLevel="0" collapsed="false">
      <c r="A85" s="4" t="n">
        <v>6</v>
      </c>
      <c r="B85" s="4" t="s">
        <v>22</v>
      </c>
      <c r="C85" s="8" t="s">
        <v>72</v>
      </c>
      <c r="D85" s="21" t="n">
        <v>41836</v>
      </c>
      <c r="E85" s="22" t="n">
        <v>260.82</v>
      </c>
      <c r="F85" s="21" t="n">
        <v>41837</v>
      </c>
      <c r="G85" s="22" t="n">
        <v>261.8</v>
      </c>
      <c r="H85" s="22" t="n">
        <v>249.99</v>
      </c>
      <c r="I85" s="21" t="n">
        <v>41852</v>
      </c>
      <c r="J85" s="22" t="n">
        <v>268.56</v>
      </c>
      <c r="K85" s="21" t="n">
        <v>41855</v>
      </c>
      <c r="L85" s="22" t="n">
        <v>269.66</v>
      </c>
      <c r="M85" s="8" t="s">
        <v>73</v>
      </c>
      <c r="N85" s="4" t="n">
        <v>12</v>
      </c>
      <c r="O85" s="6" t="n">
        <f aca="false">IF(C85="롱",(J85-E85)/E85,(E85-J85)/E85)</f>
        <v>0.0296756383712906</v>
      </c>
    </row>
    <row r="86" customFormat="false" ht="17.15" hidden="false" customHeight="false" outlineLevel="0" collapsed="false">
      <c r="A86" s="4" t="n">
        <v>6</v>
      </c>
      <c r="B86" s="4" t="s">
        <v>22</v>
      </c>
      <c r="C86" s="8" t="s">
        <v>72</v>
      </c>
      <c r="D86" s="21" t="n">
        <v>42059</v>
      </c>
      <c r="E86" s="22" t="n">
        <v>251.28</v>
      </c>
      <c r="F86" s="21" t="n">
        <v>42060</v>
      </c>
      <c r="G86" s="22" t="n">
        <v>252.72</v>
      </c>
      <c r="H86" s="22" t="n">
        <v>240.98</v>
      </c>
      <c r="I86" s="21" t="n">
        <v>42062</v>
      </c>
      <c r="J86" s="22" t="n">
        <v>251.46</v>
      </c>
      <c r="K86" s="21" t="n">
        <v>42065</v>
      </c>
      <c r="L86" s="22" t="n">
        <v>253.13</v>
      </c>
      <c r="M86" s="8" t="s">
        <v>73</v>
      </c>
      <c r="N86" s="4" t="n">
        <v>3</v>
      </c>
      <c r="O86" s="6" t="n">
        <f aca="false">IF(C86="롱",(J86-E86)/E86,(E86-J86)/E86)</f>
        <v>0.000716332378223523</v>
      </c>
    </row>
    <row r="87" customFormat="false" ht="17.15" hidden="false" customHeight="false" outlineLevel="0" collapsed="false">
      <c r="A87" s="4" t="n">
        <v>6</v>
      </c>
      <c r="B87" s="4" t="s">
        <v>22</v>
      </c>
      <c r="C87" s="8" t="s">
        <v>72</v>
      </c>
      <c r="D87" s="21" t="n">
        <v>42080</v>
      </c>
      <c r="E87" s="22" t="n">
        <v>258.18</v>
      </c>
      <c r="F87" s="21" t="n">
        <v>42081</v>
      </c>
      <c r="G87" s="22" t="n">
        <v>258.45</v>
      </c>
      <c r="H87" s="22" t="n">
        <v>247.57</v>
      </c>
      <c r="I87" s="21" t="n">
        <v>42088</v>
      </c>
      <c r="J87" s="22" t="n">
        <v>258.94</v>
      </c>
      <c r="K87" s="21" t="n">
        <v>42089</v>
      </c>
      <c r="L87" s="22" t="n">
        <v>256.69</v>
      </c>
      <c r="M87" s="8" t="s">
        <v>73</v>
      </c>
      <c r="N87" s="4" t="n">
        <v>6</v>
      </c>
      <c r="O87" s="6" t="n">
        <f aca="false">IF(C87="롱",(J87-E87)/E87,(E87-J87)/E87)</f>
        <v>0.00294368270199082</v>
      </c>
    </row>
    <row r="88" customFormat="false" ht="17.15" hidden="false" customHeight="false" outlineLevel="0" collapsed="false">
      <c r="A88" s="4" t="n">
        <v>6</v>
      </c>
      <c r="B88" s="4" t="s">
        <v>22</v>
      </c>
      <c r="C88" s="8" t="s">
        <v>72</v>
      </c>
      <c r="D88" s="21" t="n">
        <v>42108</v>
      </c>
      <c r="E88" s="22" t="n">
        <v>265.57</v>
      </c>
      <c r="F88" s="21" t="n">
        <v>42109</v>
      </c>
      <c r="G88" s="22" t="n">
        <v>265.76</v>
      </c>
      <c r="H88" s="22" t="n">
        <v>255.24</v>
      </c>
      <c r="I88" s="21" t="n">
        <v>42121</v>
      </c>
      <c r="J88" s="22" t="n">
        <v>270.05</v>
      </c>
      <c r="K88" s="21" t="n">
        <v>42122</v>
      </c>
      <c r="L88" s="22" t="n">
        <v>270.63</v>
      </c>
      <c r="M88" s="8" t="s">
        <v>73</v>
      </c>
      <c r="N88" s="4" t="n">
        <v>9</v>
      </c>
      <c r="O88" s="6" t="n">
        <f aca="false">IF(C88="롱",(J88-E88)/E88,(E88-J88)/E88)</f>
        <v>0.0168693753059458</v>
      </c>
    </row>
    <row r="89" customFormat="false" ht="17.15" hidden="false" customHeight="false" outlineLevel="0" collapsed="false">
      <c r="A89" s="4" t="n">
        <v>6</v>
      </c>
      <c r="B89" s="4" t="s">
        <v>22</v>
      </c>
      <c r="C89" s="8" t="s">
        <v>72</v>
      </c>
      <c r="D89" s="21" t="n">
        <v>42361</v>
      </c>
      <c r="E89" s="22" t="n">
        <v>246.53</v>
      </c>
      <c r="F89" s="21" t="n">
        <v>42362</v>
      </c>
      <c r="G89" s="22" t="n">
        <v>247.81</v>
      </c>
      <c r="H89" s="22" t="n">
        <v>231.52</v>
      </c>
      <c r="I89" s="21" t="n">
        <v>42366</v>
      </c>
      <c r="J89" s="22" t="n">
        <v>241.79</v>
      </c>
      <c r="K89" s="21" t="n">
        <v>42367</v>
      </c>
      <c r="L89" s="22" t="n">
        <v>240.69</v>
      </c>
      <c r="M89" s="8" t="s">
        <v>73</v>
      </c>
      <c r="N89" s="4" t="n">
        <v>2</v>
      </c>
      <c r="O89" s="6" t="n">
        <f aca="false">IF(C89="롱",(J89-E89)/E89,(E89-J89)/E89)</f>
        <v>-0.0192268689408997</v>
      </c>
    </row>
    <row r="90" customFormat="false" ht="17.15" hidden="false" customHeight="false" outlineLevel="0" collapsed="false">
      <c r="A90" s="4" t="n">
        <v>6</v>
      </c>
      <c r="B90" s="4" t="s">
        <v>22</v>
      </c>
      <c r="C90" s="8" t="s">
        <v>72</v>
      </c>
      <c r="D90" s="21" t="n">
        <v>42528</v>
      </c>
      <c r="E90" s="22" t="n">
        <v>247.85</v>
      </c>
      <c r="F90" s="21" t="n">
        <v>42529</v>
      </c>
      <c r="G90" s="22" t="n">
        <v>248.24</v>
      </c>
      <c r="H90" s="22" t="n">
        <v>237.46</v>
      </c>
      <c r="I90" s="21" t="n">
        <v>42534</v>
      </c>
      <c r="J90" s="22" t="n">
        <v>244.05</v>
      </c>
      <c r="K90" s="21" t="n">
        <v>42535</v>
      </c>
      <c r="L90" s="22" t="n">
        <v>243.79</v>
      </c>
      <c r="M90" s="8" t="s">
        <v>73</v>
      </c>
      <c r="N90" s="4" t="n">
        <v>4</v>
      </c>
      <c r="O90" s="6" t="n">
        <f aca="false">IF(C90="롱",(J90-E90)/E90,(E90-J90)/E90)</f>
        <v>-0.0153318539439176</v>
      </c>
    </row>
    <row r="91" customFormat="false" ht="17.15" hidden="false" customHeight="false" outlineLevel="0" collapsed="false">
      <c r="A91" s="4" t="n">
        <v>6</v>
      </c>
      <c r="B91" s="4" t="s">
        <v>22</v>
      </c>
      <c r="C91" s="8" t="s">
        <v>72</v>
      </c>
      <c r="D91" s="21" t="n">
        <v>42543</v>
      </c>
      <c r="E91" s="22" t="n">
        <v>246.75</v>
      </c>
      <c r="F91" s="21" t="n">
        <v>42544</v>
      </c>
      <c r="G91" s="22" t="n">
        <v>246.42</v>
      </c>
      <c r="H91" s="22" t="n">
        <v>234.15</v>
      </c>
      <c r="I91" s="21" t="n">
        <v>42545</v>
      </c>
      <c r="J91" s="22" t="n">
        <v>239.21</v>
      </c>
      <c r="K91" s="21" t="n">
        <v>42548</v>
      </c>
      <c r="L91" s="22" t="n">
        <v>236.79</v>
      </c>
      <c r="M91" s="8" t="s">
        <v>73</v>
      </c>
      <c r="N91" s="4" t="n">
        <v>2</v>
      </c>
      <c r="O91" s="6" t="n">
        <f aca="false">IF(C91="롱",(J91-E91)/E91,(E91-J91)/E91)</f>
        <v>-0.0305572441742654</v>
      </c>
    </row>
    <row r="92" customFormat="false" ht="17.15" hidden="false" customHeight="false" outlineLevel="0" collapsed="false">
      <c r="A92" s="4" t="n">
        <v>6</v>
      </c>
      <c r="B92" s="4" t="s">
        <v>22</v>
      </c>
      <c r="C92" s="8" t="s">
        <v>72</v>
      </c>
      <c r="D92" s="21" t="n">
        <v>42552</v>
      </c>
      <c r="E92" s="22" t="n">
        <v>246.52</v>
      </c>
      <c r="F92" s="21" t="n">
        <v>42555</v>
      </c>
      <c r="G92" s="22" t="n">
        <v>246.66</v>
      </c>
      <c r="H92" s="22" t="n">
        <v>230.27</v>
      </c>
      <c r="I92" s="21" t="n">
        <v>42557</v>
      </c>
      <c r="J92" s="22" t="n">
        <v>241.86</v>
      </c>
      <c r="K92" s="21" t="n">
        <v>42558</v>
      </c>
      <c r="L92" s="22" t="n">
        <v>243.15</v>
      </c>
      <c r="M92" s="8" t="s">
        <v>73</v>
      </c>
      <c r="N92" s="4" t="n">
        <v>3</v>
      </c>
      <c r="O92" s="6" t="n">
        <f aca="false">IF(C92="롱",(J92-E92)/E92,(E92-J92)/E92)</f>
        <v>-0.0189031315917572</v>
      </c>
    </row>
    <row r="93" customFormat="false" ht="17.15" hidden="false" customHeight="false" outlineLevel="0" collapsed="false">
      <c r="A93" s="4" t="n">
        <v>6</v>
      </c>
      <c r="B93" s="4" t="s">
        <v>22</v>
      </c>
      <c r="C93" s="8" t="s">
        <v>72</v>
      </c>
      <c r="D93" s="21" t="n">
        <v>42564</v>
      </c>
      <c r="E93" s="22" t="n">
        <v>249.25</v>
      </c>
      <c r="F93" s="21" t="n">
        <v>42565</v>
      </c>
      <c r="G93" s="22" t="n">
        <v>248.95</v>
      </c>
      <c r="H93" s="22" t="n">
        <v>232.27</v>
      </c>
      <c r="I93" s="21" t="n">
        <v>42571</v>
      </c>
      <c r="J93" s="22" t="n">
        <v>250.66</v>
      </c>
      <c r="K93" s="21" t="n">
        <v>42572</v>
      </c>
      <c r="L93" s="22" t="n">
        <v>251.11</v>
      </c>
      <c r="M93" s="8" t="s">
        <v>73</v>
      </c>
      <c r="N93" s="4" t="n">
        <v>5</v>
      </c>
      <c r="O93" s="6" t="n">
        <f aca="false">IF(C93="롱",(J93-E93)/E93,(E93-J93)/E93)</f>
        <v>0.0056569709127382</v>
      </c>
    </row>
    <row r="94" customFormat="false" ht="17.15" hidden="false" customHeight="false" outlineLevel="0" collapsed="false">
      <c r="A94" s="4" t="n">
        <v>6</v>
      </c>
      <c r="B94" s="4" t="s">
        <v>22</v>
      </c>
      <c r="C94" s="8" t="s">
        <v>72</v>
      </c>
      <c r="D94" s="21" t="n">
        <v>42578</v>
      </c>
      <c r="E94" s="22" t="n">
        <v>252.73</v>
      </c>
      <c r="F94" s="21" t="n">
        <v>42579</v>
      </c>
      <c r="G94" s="22" t="n">
        <v>253.27</v>
      </c>
      <c r="H94" s="22" t="n">
        <v>240.96</v>
      </c>
      <c r="I94" s="21" t="n">
        <v>42580</v>
      </c>
      <c r="J94" s="22" t="n">
        <v>251.48</v>
      </c>
      <c r="K94" s="21" t="n">
        <v>42583</v>
      </c>
      <c r="L94" s="22" t="n">
        <v>252.91</v>
      </c>
      <c r="M94" s="8" t="s">
        <v>73</v>
      </c>
      <c r="N94" s="4" t="n">
        <v>2</v>
      </c>
      <c r="O94" s="6" t="n">
        <f aca="false">IF(C94="롱",(J94-E94)/E94,(E94-J94)/E94)</f>
        <v>-0.00494598979147707</v>
      </c>
    </row>
    <row r="95" customFormat="false" ht="17.15" hidden="false" customHeight="false" outlineLevel="0" collapsed="false">
      <c r="A95" s="4" t="n">
        <v>6</v>
      </c>
      <c r="B95" s="4" t="s">
        <v>22</v>
      </c>
      <c r="C95" s="8" t="s">
        <v>72</v>
      </c>
      <c r="D95" s="21" t="n">
        <v>42591</v>
      </c>
      <c r="E95" s="22" t="n">
        <v>255.85</v>
      </c>
      <c r="F95" s="21" t="n">
        <v>42592</v>
      </c>
      <c r="G95" s="22" t="n">
        <v>255.68</v>
      </c>
      <c r="H95" s="22" t="n">
        <v>245.45</v>
      </c>
      <c r="I95" s="21" t="n">
        <v>42606</v>
      </c>
      <c r="J95" s="22" t="n">
        <v>257.3</v>
      </c>
      <c r="K95" s="21" t="n">
        <v>42607</v>
      </c>
      <c r="L95" s="22" t="n">
        <v>256.78</v>
      </c>
      <c r="M95" s="8" t="s">
        <v>73</v>
      </c>
      <c r="N95" s="4" t="n">
        <v>10</v>
      </c>
      <c r="O95" s="6" t="n">
        <f aca="false">IF(C95="롱",(J95-E95)/E95,(E95-J95)/E95)</f>
        <v>0.00566738323236278</v>
      </c>
    </row>
    <row r="96" customFormat="false" ht="17.15" hidden="false" customHeight="false" outlineLevel="0" collapsed="false">
      <c r="A96" s="4" t="n">
        <v>6</v>
      </c>
      <c r="B96" s="4" t="s">
        <v>22</v>
      </c>
      <c r="C96" s="8" t="s">
        <v>72</v>
      </c>
      <c r="D96" s="21" t="n">
        <v>42761</v>
      </c>
      <c r="E96" s="22" t="n">
        <v>270.48</v>
      </c>
      <c r="F96" s="21" t="n">
        <v>42766</v>
      </c>
      <c r="G96" s="22" t="n">
        <v>269.61</v>
      </c>
      <c r="H96" s="22" t="n">
        <v>259.27</v>
      </c>
      <c r="I96" s="21" t="n">
        <v>42766</v>
      </c>
      <c r="J96" s="22" t="n">
        <v>268.09</v>
      </c>
      <c r="K96" s="21" t="n">
        <v>42767</v>
      </c>
      <c r="L96" s="22" t="n">
        <v>269.16</v>
      </c>
      <c r="M96" s="8" t="s">
        <v>73</v>
      </c>
      <c r="N96" s="4" t="n">
        <v>1</v>
      </c>
      <c r="O96" s="6" t="n">
        <f aca="false">IF(C96="롱",(J96-E96)/E96,(E96-J96)/E96)</f>
        <v>-0.0088361431529135</v>
      </c>
    </row>
    <row r="97" customFormat="false" ht="17.15" hidden="false" customHeight="false" outlineLevel="0" collapsed="false">
      <c r="A97" s="4" t="n">
        <v>6</v>
      </c>
      <c r="B97" s="4" t="s">
        <v>22</v>
      </c>
      <c r="C97" s="8" t="s">
        <v>72</v>
      </c>
      <c r="D97" s="21" t="n">
        <v>42788</v>
      </c>
      <c r="E97" s="22" t="n">
        <v>272.85</v>
      </c>
      <c r="F97" s="21" t="n">
        <v>42789</v>
      </c>
      <c r="G97" s="22" t="n">
        <v>272.61</v>
      </c>
      <c r="H97" s="22" t="n">
        <v>262.35</v>
      </c>
      <c r="I97" s="21" t="n">
        <v>42790</v>
      </c>
      <c r="J97" s="22" t="n">
        <v>270.38</v>
      </c>
      <c r="K97" s="21" t="n">
        <v>42793</v>
      </c>
      <c r="L97" s="22" t="n">
        <v>270.35</v>
      </c>
      <c r="M97" s="8" t="s">
        <v>73</v>
      </c>
      <c r="N97" s="4" t="n">
        <v>2</v>
      </c>
      <c r="O97" s="6" t="n">
        <f aca="false">IF(C97="롱",(J97-E97)/E97,(E97-J97)/E97)</f>
        <v>-0.00905259299981685</v>
      </c>
    </row>
    <row r="98" customFormat="false" ht="17.15" hidden="false" customHeight="false" outlineLevel="0" collapsed="false">
      <c r="A98" s="4" t="n">
        <v>6</v>
      </c>
      <c r="B98" s="4" t="s">
        <v>22</v>
      </c>
      <c r="C98" s="8" t="s">
        <v>72</v>
      </c>
      <c r="D98" s="21" t="n">
        <v>42808</v>
      </c>
      <c r="E98" s="22" t="n">
        <v>277.89</v>
      </c>
      <c r="F98" s="21" t="n">
        <v>42809</v>
      </c>
      <c r="G98" s="22" t="n">
        <v>276.91</v>
      </c>
      <c r="H98" s="22" t="n">
        <v>266.26</v>
      </c>
      <c r="I98" s="21" t="n">
        <v>42818</v>
      </c>
      <c r="J98" s="22" t="n">
        <v>282.31</v>
      </c>
      <c r="K98" s="21" t="n">
        <v>42821</v>
      </c>
      <c r="L98" s="22" t="n">
        <v>281.1</v>
      </c>
      <c r="M98" s="8" t="s">
        <v>73</v>
      </c>
      <c r="N98" s="4" t="n">
        <v>8</v>
      </c>
      <c r="O98" s="6" t="n">
        <f aca="false">IF(C98="롱",(J98-E98)/E98,(E98-J98)/E98)</f>
        <v>0.0159055741480443</v>
      </c>
    </row>
    <row r="99" customFormat="false" ht="17.15" hidden="false" customHeight="false" outlineLevel="0" collapsed="false">
      <c r="A99" s="4" t="n">
        <v>6</v>
      </c>
      <c r="B99" s="4" t="s">
        <v>22</v>
      </c>
      <c r="C99" s="8" t="s">
        <v>72</v>
      </c>
      <c r="D99" s="21" t="n">
        <v>42850</v>
      </c>
      <c r="E99" s="22" t="n">
        <v>285.41</v>
      </c>
      <c r="F99" s="21" t="n">
        <v>42851</v>
      </c>
      <c r="G99" s="22" t="n">
        <v>286.04</v>
      </c>
      <c r="H99" s="22" t="n">
        <v>274.09</v>
      </c>
      <c r="I99" s="21" t="n">
        <v>42873</v>
      </c>
      <c r="J99" s="22" t="n">
        <v>298.47</v>
      </c>
      <c r="K99" s="21" t="n">
        <v>42874</v>
      </c>
      <c r="L99" s="22" t="n">
        <v>298.26</v>
      </c>
      <c r="M99" s="8" t="s">
        <v>73</v>
      </c>
      <c r="N99" s="4" t="n">
        <v>13</v>
      </c>
      <c r="O99" s="6" t="n">
        <f aca="false">IF(C99="롱",(J99-E99)/E99,(E99-J99)/E99)</f>
        <v>0.045758733050699</v>
      </c>
    </row>
    <row r="100" customFormat="false" ht="17.15" hidden="false" customHeight="false" outlineLevel="0" collapsed="false">
      <c r="A100" s="4" t="n">
        <v>6</v>
      </c>
      <c r="B100" s="4" t="s">
        <v>22</v>
      </c>
      <c r="C100" s="8" t="s">
        <v>72</v>
      </c>
      <c r="D100" s="21" t="n">
        <v>42879</v>
      </c>
      <c r="E100" s="22" t="n">
        <v>301.71</v>
      </c>
      <c r="F100" s="21" t="n">
        <v>42880</v>
      </c>
      <c r="G100" s="22" t="n">
        <v>302.83</v>
      </c>
      <c r="H100" s="22" t="n">
        <v>285.49</v>
      </c>
      <c r="I100" s="21" t="n">
        <v>42885</v>
      </c>
      <c r="J100" s="22" t="n">
        <v>304.59</v>
      </c>
      <c r="K100" s="21" t="n">
        <v>42886</v>
      </c>
      <c r="L100" s="22" t="n">
        <v>303.79</v>
      </c>
      <c r="M100" s="8" t="s">
        <v>73</v>
      </c>
      <c r="N100" s="4" t="n">
        <v>4</v>
      </c>
      <c r="O100" s="6" t="n">
        <f aca="false">IF(C100="롱",(J100-E100)/E100,(E100-J100)/E100)</f>
        <v>0.00954559013622351</v>
      </c>
    </row>
    <row r="101" customFormat="false" ht="17.15" hidden="false" customHeight="false" outlineLevel="0" collapsed="false">
      <c r="A101" s="4" t="n">
        <v>6</v>
      </c>
      <c r="B101" s="4" t="s">
        <v>22</v>
      </c>
      <c r="C101" s="8" t="s">
        <v>72</v>
      </c>
      <c r="D101" s="21" t="n">
        <v>42933</v>
      </c>
      <c r="E101" s="22" t="n">
        <v>318.52</v>
      </c>
      <c r="F101" s="21" t="n">
        <v>42934</v>
      </c>
      <c r="G101" s="22" t="n">
        <v>318.38</v>
      </c>
      <c r="H101" s="22" t="n">
        <v>307.14</v>
      </c>
      <c r="I101" s="21" t="n">
        <v>42941</v>
      </c>
      <c r="J101" s="22" t="n">
        <v>320.15</v>
      </c>
      <c r="K101" s="21" t="n">
        <v>42942</v>
      </c>
      <c r="L101" s="22" t="n">
        <v>320.86</v>
      </c>
      <c r="M101" s="8" t="s">
        <v>73</v>
      </c>
      <c r="N101" s="4" t="n">
        <v>6</v>
      </c>
      <c r="O101" s="6" t="n">
        <f aca="false">IF(C101="롱",(J101-E101)/E101,(E101-J101)/E101)</f>
        <v>0.00511741805852064</v>
      </c>
    </row>
    <row r="102" customFormat="false" ht="17.15" hidden="false" customHeight="false" outlineLevel="0" collapsed="false">
      <c r="A102" s="4" t="n">
        <v>6</v>
      </c>
      <c r="B102" s="4" t="s">
        <v>22</v>
      </c>
      <c r="C102" s="8" t="s">
        <v>72</v>
      </c>
      <c r="D102" s="21" t="n">
        <v>42972</v>
      </c>
      <c r="E102" s="22" t="n">
        <v>311.21</v>
      </c>
      <c r="F102" s="21" t="n">
        <v>42975</v>
      </c>
      <c r="G102" s="22" t="n">
        <v>310.69</v>
      </c>
      <c r="H102" s="22" t="n">
        <v>293.66</v>
      </c>
      <c r="I102" s="21" t="n">
        <v>42975</v>
      </c>
      <c r="J102" s="22" t="n">
        <v>309.53</v>
      </c>
      <c r="K102" s="21" t="n">
        <v>42976</v>
      </c>
      <c r="L102" s="22" t="n">
        <v>307.46</v>
      </c>
      <c r="M102" s="8" t="s">
        <v>73</v>
      </c>
      <c r="N102" s="4" t="n">
        <v>1</v>
      </c>
      <c r="O102" s="6" t="n">
        <f aca="false">IF(C102="롱",(J102-E102)/E102,(E102-J102)/E102)</f>
        <v>-0.00539828411683431</v>
      </c>
    </row>
    <row r="103" customFormat="false" ht="17.15" hidden="false" customHeight="false" outlineLevel="0" collapsed="false">
      <c r="A103" s="4" t="n">
        <v>6</v>
      </c>
      <c r="B103" s="4" t="s">
        <v>22</v>
      </c>
      <c r="C103" s="8" t="s">
        <v>72</v>
      </c>
      <c r="D103" s="21" t="n">
        <v>42989</v>
      </c>
      <c r="E103" s="22" t="n">
        <v>309.83</v>
      </c>
      <c r="F103" s="21" t="n">
        <v>42990</v>
      </c>
      <c r="G103" s="22" t="n">
        <v>311.7</v>
      </c>
      <c r="H103" s="22" t="n">
        <v>295.62</v>
      </c>
      <c r="I103" s="21" t="n">
        <v>43000</v>
      </c>
      <c r="J103" s="22" t="n">
        <v>316.71</v>
      </c>
      <c r="K103" s="21" t="n">
        <v>43003</v>
      </c>
      <c r="L103" s="22" t="n">
        <v>316.81</v>
      </c>
      <c r="M103" s="8" t="s">
        <v>73</v>
      </c>
      <c r="N103" s="4" t="n">
        <v>9</v>
      </c>
      <c r="O103" s="6" t="n">
        <f aca="false">IF(C103="롱",(J103-E103)/E103,(E103-J103)/E103)</f>
        <v>0.0222057257205564</v>
      </c>
    </row>
    <row r="104" customFormat="false" ht="17.15" hidden="false" customHeight="false" outlineLevel="0" collapsed="false">
      <c r="A104" s="4" t="n">
        <v>6</v>
      </c>
      <c r="B104" s="4" t="s">
        <v>22</v>
      </c>
      <c r="C104" s="8" t="s">
        <v>72</v>
      </c>
      <c r="D104" s="21" t="n">
        <v>43018</v>
      </c>
      <c r="E104" s="22" t="n">
        <v>322.49</v>
      </c>
      <c r="F104" s="21" t="n">
        <v>43019</v>
      </c>
      <c r="G104" s="22" t="n">
        <v>323.97</v>
      </c>
      <c r="H104" s="22" t="n">
        <v>307.87</v>
      </c>
      <c r="I104" s="21" t="n">
        <v>43027</v>
      </c>
      <c r="J104" s="22" t="n">
        <v>326.47</v>
      </c>
      <c r="K104" s="21" t="n">
        <v>43028</v>
      </c>
      <c r="L104" s="22" t="n">
        <v>327.08</v>
      </c>
      <c r="M104" s="8" t="s">
        <v>73</v>
      </c>
      <c r="N104" s="4" t="n">
        <v>7</v>
      </c>
      <c r="O104" s="6" t="n">
        <f aca="false">IF(C104="롱",(J104-E104)/E104,(E104-J104)/E104)</f>
        <v>0.0123414679524947</v>
      </c>
    </row>
    <row r="105" customFormat="false" ht="17.15" hidden="false" customHeight="false" outlineLevel="0" collapsed="false">
      <c r="A105" s="4" t="n">
        <v>6</v>
      </c>
      <c r="B105" s="4" t="s">
        <v>22</v>
      </c>
      <c r="C105" s="8" t="s">
        <v>72</v>
      </c>
      <c r="D105" s="21" t="n">
        <v>43039</v>
      </c>
      <c r="E105" s="22" t="n">
        <v>333.57</v>
      </c>
      <c r="F105" s="21" t="n">
        <v>43040</v>
      </c>
      <c r="G105" s="22" t="n">
        <v>335.67</v>
      </c>
      <c r="H105" s="22" t="n">
        <v>319.89</v>
      </c>
      <c r="I105" s="21" t="n">
        <v>43046</v>
      </c>
      <c r="J105" s="22" t="n">
        <v>336.76</v>
      </c>
      <c r="K105" s="21" t="n">
        <v>43047</v>
      </c>
      <c r="L105" s="22" t="n">
        <v>335.2</v>
      </c>
      <c r="M105" s="8" t="s">
        <v>73</v>
      </c>
      <c r="N105" s="4" t="n">
        <v>5</v>
      </c>
      <c r="O105" s="6" t="n">
        <f aca="false">IF(C105="롱",(J105-E105)/E105,(E105-J105)/E105)</f>
        <v>0.00956321012081422</v>
      </c>
    </row>
    <row r="106" customFormat="false" ht="17.15" hidden="false" customHeight="false" outlineLevel="0" collapsed="false">
      <c r="A106" s="4" t="n">
        <v>6</v>
      </c>
      <c r="B106" s="4" t="s">
        <v>22</v>
      </c>
      <c r="C106" s="8" t="s">
        <v>72</v>
      </c>
      <c r="D106" s="21" t="n">
        <v>43102</v>
      </c>
      <c r="E106" s="22" t="n">
        <v>326</v>
      </c>
      <c r="F106" s="21" t="n">
        <v>43103</v>
      </c>
      <c r="G106" s="22" t="n">
        <v>327.13</v>
      </c>
      <c r="H106" s="22" t="n">
        <v>308.98</v>
      </c>
      <c r="I106" s="21" t="n">
        <v>43110</v>
      </c>
      <c r="J106" s="22" t="n">
        <v>327.61</v>
      </c>
      <c r="K106" s="21" t="n">
        <v>43111</v>
      </c>
      <c r="L106" s="22" t="n">
        <v>326.92</v>
      </c>
      <c r="M106" s="8" t="s">
        <v>73</v>
      </c>
      <c r="N106" s="4" t="n">
        <v>6</v>
      </c>
      <c r="O106" s="6" t="n">
        <f aca="false">IF(C106="롱",(J106-E106)/E106,(E106-J106)/E106)</f>
        <v>0.00493865030674851</v>
      </c>
    </row>
    <row r="107" customFormat="false" ht="17.15" hidden="false" customHeight="false" outlineLevel="0" collapsed="false">
      <c r="A107" s="4" t="n">
        <v>6</v>
      </c>
      <c r="B107" s="4" t="s">
        <v>22</v>
      </c>
      <c r="C107" s="8" t="s">
        <v>72</v>
      </c>
      <c r="D107" s="21" t="n">
        <v>43116</v>
      </c>
      <c r="E107" s="22" t="n">
        <v>330.02</v>
      </c>
      <c r="F107" s="21" t="n">
        <v>43117</v>
      </c>
      <c r="G107" s="22" t="n">
        <v>329.31</v>
      </c>
      <c r="H107" s="22" t="n">
        <v>312.64</v>
      </c>
      <c r="I107" s="21" t="n">
        <v>43122</v>
      </c>
      <c r="J107" s="22" t="n">
        <v>326.27</v>
      </c>
      <c r="K107" s="21" t="n">
        <v>43123</v>
      </c>
      <c r="L107" s="22" t="n">
        <v>327.42</v>
      </c>
      <c r="M107" s="8" t="s">
        <v>73</v>
      </c>
      <c r="N107" s="4" t="n">
        <v>4</v>
      </c>
      <c r="O107" s="6" t="n">
        <f aca="false">IF(C107="롱",(J107-E107)/E107,(E107-J107)/E107)</f>
        <v>-0.0113629477001394</v>
      </c>
    </row>
    <row r="108" customFormat="false" ht="17.15" hidden="false" customHeight="false" outlineLevel="0" collapsed="false">
      <c r="A108" s="4" t="n">
        <v>6</v>
      </c>
      <c r="B108" s="4" t="s">
        <v>22</v>
      </c>
      <c r="C108" s="8" t="s">
        <v>72</v>
      </c>
      <c r="D108" s="21" t="n">
        <v>43129</v>
      </c>
      <c r="E108" s="22" t="n">
        <v>338.05</v>
      </c>
      <c r="F108" s="21" t="n">
        <v>43130</v>
      </c>
      <c r="G108" s="22" t="n">
        <v>336.62</v>
      </c>
      <c r="H108" s="22" t="n">
        <v>321.02</v>
      </c>
      <c r="I108" s="21" t="n">
        <v>43130</v>
      </c>
      <c r="J108" s="22" t="n">
        <v>333.4</v>
      </c>
      <c r="K108" s="21" t="n">
        <v>43131</v>
      </c>
      <c r="L108" s="22" t="n">
        <v>332.38</v>
      </c>
      <c r="M108" s="8" t="s">
        <v>73</v>
      </c>
      <c r="N108" s="4" t="n">
        <v>1</v>
      </c>
      <c r="O108" s="6" t="n">
        <f aca="false">IF(C108="롱",(J108-E108)/E108,(E108-J108)/E108)</f>
        <v>-0.0137553616328946</v>
      </c>
    </row>
    <row r="109" customFormat="false" ht="17.15" hidden="false" customHeight="false" outlineLevel="0" collapsed="false">
      <c r="A109" s="4" t="n">
        <v>6</v>
      </c>
      <c r="B109" s="4" t="s">
        <v>22</v>
      </c>
      <c r="C109" s="8" t="s">
        <v>72</v>
      </c>
      <c r="D109" s="21" t="n">
        <v>43258</v>
      </c>
      <c r="E109" s="22" t="n">
        <v>317.67</v>
      </c>
      <c r="F109" s="21" t="n">
        <v>43259</v>
      </c>
      <c r="G109" s="22" t="n">
        <v>316.94</v>
      </c>
      <c r="H109" s="22" t="n">
        <v>301.32</v>
      </c>
      <c r="I109" s="21" t="n">
        <v>43259</v>
      </c>
      <c r="J109" s="22" t="n">
        <v>314.97</v>
      </c>
      <c r="K109" s="21" t="n">
        <v>43262</v>
      </c>
      <c r="L109" s="22" t="n">
        <v>315.24</v>
      </c>
      <c r="M109" s="8" t="s">
        <v>73</v>
      </c>
      <c r="N109" s="4" t="n">
        <v>1</v>
      </c>
      <c r="O109" s="6" t="n">
        <f aca="false">IF(C109="롱",(J109-E109)/E109,(E109-J109)/E109)</f>
        <v>-0.00849938615544429</v>
      </c>
    </row>
    <row r="110" customFormat="false" ht="17.15" hidden="false" customHeight="false" outlineLevel="0" collapsed="false">
      <c r="A110" s="4" t="n">
        <v>6</v>
      </c>
      <c r="B110" s="4" t="s">
        <v>22</v>
      </c>
      <c r="C110" s="8" t="s">
        <v>72</v>
      </c>
      <c r="D110" s="21" t="n">
        <v>43509</v>
      </c>
      <c r="E110" s="22" t="n">
        <v>284.97</v>
      </c>
      <c r="F110" s="21" t="n">
        <v>43510</v>
      </c>
      <c r="G110" s="22" t="n">
        <v>284.25</v>
      </c>
      <c r="H110" s="22" t="n">
        <v>269.24</v>
      </c>
      <c r="I110" s="21" t="n">
        <v>43511</v>
      </c>
      <c r="J110" s="22" t="n">
        <v>283.98</v>
      </c>
      <c r="K110" s="21" t="n">
        <v>43514</v>
      </c>
      <c r="L110" s="22" t="n">
        <v>285.6</v>
      </c>
      <c r="M110" s="8" t="s">
        <v>73</v>
      </c>
      <c r="N110" s="4" t="n">
        <v>2</v>
      </c>
      <c r="O110" s="6" t="n">
        <f aca="false">IF(C110="롱",(J110-E110)/E110,(E110-J110)/E110)</f>
        <v>-0.0034740498999895</v>
      </c>
    </row>
    <row r="111" customFormat="false" ht="17.15" hidden="false" customHeight="false" outlineLevel="0" collapsed="false">
      <c r="A111" s="4" t="n">
        <v>6</v>
      </c>
      <c r="B111" s="4" t="s">
        <v>22</v>
      </c>
      <c r="C111" s="8" t="s">
        <v>72</v>
      </c>
      <c r="D111" s="21" t="n">
        <v>43546</v>
      </c>
      <c r="E111" s="22" t="n">
        <v>283.13</v>
      </c>
      <c r="F111" s="21" t="n">
        <v>43549</v>
      </c>
      <c r="G111" s="22" t="n">
        <v>279.12</v>
      </c>
      <c r="H111" s="22" t="n">
        <v>267.96</v>
      </c>
      <c r="I111" s="21" t="n">
        <v>43549</v>
      </c>
      <c r="J111" s="22" t="n">
        <v>277.45</v>
      </c>
      <c r="K111" s="21" t="n">
        <v>43550</v>
      </c>
      <c r="L111" s="22" t="n">
        <v>278.43</v>
      </c>
      <c r="M111" s="8" t="s">
        <v>73</v>
      </c>
      <c r="N111" s="4" t="n">
        <v>1</v>
      </c>
      <c r="O111" s="6" t="n">
        <f aca="false">IF(C111="롱",(J111-E111)/E111,(E111-J111)/E111)</f>
        <v>-0.0200614558683291</v>
      </c>
    </row>
    <row r="112" customFormat="false" ht="17.15" hidden="false" customHeight="false" outlineLevel="0" collapsed="false">
      <c r="A112" s="4" t="n">
        <v>6</v>
      </c>
      <c r="B112" s="4" t="s">
        <v>22</v>
      </c>
      <c r="C112" s="8" t="s">
        <v>72</v>
      </c>
      <c r="D112" s="21" t="n">
        <v>43557</v>
      </c>
      <c r="E112" s="22" t="n">
        <v>281.72</v>
      </c>
      <c r="F112" s="21" t="n">
        <v>43558</v>
      </c>
      <c r="G112" s="22" t="n">
        <v>281.88</v>
      </c>
      <c r="H112" s="22" t="n">
        <v>265.88</v>
      </c>
      <c r="I112" s="21" t="n">
        <v>43573</v>
      </c>
      <c r="J112" s="22" t="n">
        <v>285.82</v>
      </c>
      <c r="K112" s="21" t="n">
        <v>43574</v>
      </c>
      <c r="L112" s="22" t="n">
        <v>287.18</v>
      </c>
      <c r="M112" s="8" t="s">
        <v>73</v>
      </c>
      <c r="N112" s="4" t="n">
        <v>12</v>
      </c>
      <c r="O112" s="6" t="n">
        <f aca="false">IF(C112="롱",(J112-E112)/E112,(E112-J112)/E112)</f>
        <v>0.0145534573335225</v>
      </c>
    </row>
    <row r="113" customFormat="false" ht="17.15" hidden="false" customHeight="false" outlineLevel="0" collapsed="false">
      <c r="A113" s="4" t="n">
        <v>6</v>
      </c>
      <c r="B113" s="4" t="s">
        <v>22</v>
      </c>
      <c r="C113" s="8" t="s">
        <v>72</v>
      </c>
      <c r="D113" s="21" t="n">
        <v>43766</v>
      </c>
      <c r="E113" s="22" t="n">
        <v>277.78</v>
      </c>
      <c r="F113" s="21" t="n">
        <v>43767</v>
      </c>
      <c r="G113" s="22" t="n">
        <v>279.25</v>
      </c>
      <c r="H113" s="22" t="n">
        <v>261.11</v>
      </c>
      <c r="I113" s="21" t="n">
        <v>43768</v>
      </c>
      <c r="J113" s="22" t="n">
        <v>275.51</v>
      </c>
      <c r="K113" s="21" t="n">
        <v>43769</v>
      </c>
      <c r="L113" s="22" t="n">
        <v>276.84</v>
      </c>
      <c r="M113" s="8" t="s">
        <v>73</v>
      </c>
      <c r="N113" s="4" t="n">
        <v>2</v>
      </c>
      <c r="O113" s="6" t="n">
        <f aca="false">IF(C113="롱",(J113-E113)/E113,(E113-J113)/E113)</f>
        <v>-0.00817193462452294</v>
      </c>
    </row>
    <row r="114" customFormat="false" ht="17.15" hidden="false" customHeight="false" outlineLevel="0" collapsed="false">
      <c r="A114" s="4" t="n">
        <v>6</v>
      </c>
      <c r="B114" s="4" t="s">
        <v>22</v>
      </c>
      <c r="C114" s="8" t="s">
        <v>72</v>
      </c>
      <c r="D114" s="21" t="n">
        <v>43773</v>
      </c>
      <c r="E114" s="22" t="n">
        <v>282.54</v>
      </c>
      <c r="F114" s="21" t="n">
        <v>43774</v>
      </c>
      <c r="G114" s="22" t="n">
        <v>282.99</v>
      </c>
      <c r="H114" s="22" t="n">
        <v>266.68</v>
      </c>
      <c r="I114" s="21" t="n">
        <v>43777</v>
      </c>
      <c r="J114" s="22" t="n">
        <v>283.13</v>
      </c>
      <c r="K114" s="21" t="n">
        <v>43780</v>
      </c>
      <c r="L114" s="22" t="n">
        <v>283.3</v>
      </c>
      <c r="M114" s="8" t="s">
        <v>73</v>
      </c>
      <c r="N114" s="4" t="n">
        <v>4</v>
      </c>
      <c r="O114" s="6" t="n">
        <f aca="false">IF(C114="롱",(J114-E114)/E114,(E114-J114)/E114)</f>
        <v>0.0020881999008989</v>
      </c>
    </row>
    <row r="115" customFormat="false" ht="17.15" hidden="false" customHeight="false" outlineLevel="0" collapsed="false">
      <c r="A115" s="4" t="n">
        <v>6</v>
      </c>
      <c r="B115" s="4" t="s">
        <v>22</v>
      </c>
      <c r="C115" s="8" t="s">
        <v>72</v>
      </c>
      <c r="D115" s="21" t="n">
        <v>43811</v>
      </c>
      <c r="E115" s="22" t="n">
        <v>285.11</v>
      </c>
      <c r="F115" s="21" t="n">
        <v>43812</v>
      </c>
      <c r="G115" s="22" t="n">
        <v>289.34</v>
      </c>
      <c r="H115" s="22" t="n">
        <v>267.79</v>
      </c>
      <c r="I115" s="21" t="n">
        <v>43823</v>
      </c>
      <c r="J115" s="22" t="n">
        <v>292.9</v>
      </c>
      <c r="K115" s="21" t="n">
        <v>43825</v>
      </c>
      <c r="L115" s="22" t="n">
        <v>293.12</v>
      </c>
      <c r="M115" s="8" t="s">
        <v>73</v>
      </c>
      <c r="N115" s="4" t="n">
        <v>8</v>
      </c>
      <c r="O115" s="6" t="n">
        <f aca="false">IF(C115="롱",(J115-E115)/E115,(E115-J115)/E115)</f>
        <v>0.0273227876959769</v>
      </c>
    </row>
    <row r="116" customFormat="false" ht="17.15" hidden="false" customHeight="false" outlineLevel="0" collapsed="false">
      <c r="A116" s="4" t="n">
        <v>6</v>
      </c>
      <c r="B116" s="4" t="s">
        <v>22</v>
      </c>
      <c r="C116" s="8" t="s">
        <v>72</v>
      </c>
      <c r="D116" s="21" t="n">
        <v>43843</v>
      </c>
      <c r="E116" s="22" t="n">
        <v>300.13</v>
      </c>
      <c r="F116" s="21" t="n">
        <v>43844</v>
      </c>
      <c r="G116" s="22" t="n">
        <v>302.2</v>
      </c>
      <c r="H116" s="22" t="n">
        <v>282.02</v>
      </c>
      <c r="I116" s="21" t="n">
        <v>43851</v>
      </c>
      <c r="J116" s="22" t="n">
        <v>302.11</v>
      </c>
      <c r="K116" s="21" t="n">
        <v>43852</v>
      </c>
      <c r="L116" s="22" t="n">
        <v>301.79</v>
      </c>
      <c r="M116" s="8" t="s">
        <v>73</v>
      </c>
      <c r="N116" s="4" t="n">
        <v>6</v>
      </c>
      <c r="O116" s="6" t="n">
        <f aca="false">IF(C116="롱",(J116-E116)/E116,(E116-J116)/E116)</f>
        <v>0.00659714123879658</v>
      </c>
    </row>
    <row r="117" customFormat="false" ht="17.15" hidden="false" customHeight="false" outlineLevel="0" collapsed="false">
      <c r="A117" s="4" t="n">
        <v>6</v>
      </c>
      <c r="B117" s="4" t="s">
        <v>22</v>
      </c>
      <c r="C117" s="8" t="s">
        <v>72</v>
      </c>
      <c r="D117" s="21" t="n">
        <v>44041</v>
      </c>
      <c r="E117" s="22" t="n">
        <v>301.25</v>
      </c>
      <c r="F117" s="21" t="n">
        <v>44042</v>
      </c>
      <c r="G117" s="22" t="n">
        <v>303.13</v>
      </c>
      <c r="H117" s="22" t="n">
        <v>280.15</v>
      </c>
      <c r="I117" s="21" t="n">
        <v>44046</v>
      </c>
      <c r="J117" s="22" t="n">
        <v>299.46</v>
      </c>
      <c r="K117" s="21" t="n">
        <v>44047</v>
      </c>
      <c r="L117" s="22" t="n">
        <v>302.5</v>
      </c>
      <c r="M117" s="8" t="s">
        <v>73</v>
      </c>
      <c r="N117" s="4" t="n">
        <v>3</v>
      </c>
      <c r="O117" s="6" t="n">
        <f aca="false">IF(C117="롱",(J117-E117)/E117,(E117-J117)/E117)</f>
        <v>-0.00594190871369301</v>
      </c>
    </row>
    <row r="118" customFormat="false" ht="17.15" hidden="false" customHeight="false" outlineLevel="0" collapsed="false">
      <c r="A118" s="4" t="n">
        <v>6</v>
      </c>
      <c r="B118" s="4" t="s">
        <v>22</v>
      </c>
      <c r="C118" s="8" t="s">
        <v>72</v>
      </c>
      <c r="D118" s="21" t="n">
        <v>44048</v>
      </c>
      <c r="E118" s="22" t="n">
        <v>306.64</v>
      </c>
      <c r="F118" s="21" t="n">
        <v>44049</v>
      </c>
      <c r="G118" s="22" t="n">
        <v>307.88</v>
      </c>
      <c r="H118" s="22" t="n">
        <v>285.94</v>
      </c>
      <c r="I118" s="21" t="n">
        <v>44057</v>
      </c>
      <c r="J118" s="22" t="n">
        <v>319.24</v>
      </c>
      <c r="K118" s="21" t="n">
        <v>44061</v>
      </c>
      <c r="L118" s="22" t="n">
        <v>319.57</v>
      </c>
      <c r="M118" s="8" t="s">
        <v>73</v>
      </c>
      <c r="N118" s="4" t="n">
        <v>7</v>
      </c>
      <c r="O118" s="6" t="n">
        <f aca="false">IF(C118="롱",(J118-E118)/E118,(E118-J118)/E118)</f>
        <v>0.0410905296112706</v>
      </c>
    </row>
    <row r="119" customFormat="false" ht="17.15" hidden="false" customHeight="false" outlineLevel="0" collapsed="false">
      <c r="A119" s="4" t="n">
        <v>6</v>
      </c>
      <c r="B119" s="4" t="s">
        <v>22</v>
      </c>
      <c r="C119" s="8" t="s">
        <v>72</v>
      </c>
      <c r="D119" s="21" t="n">
        <v>44112</v>
      </c>
      <c r="E119" s="22" t="n">
        <v>317.47</v>
      </c>
      <c r="F119" s="21" t="n">
        <v>44116</v>
      </c>
      <c r="G119" s="22" t="n">
        <v>318.99</v>
      </c>
      <c r="H119" s="22" t="n">
        <v>293.11</v>
      </c>
      <c r="I119" s="21" t="n">
        <v>44118</v>
      </c>
      <c r="J119" s="22" t="n">
        <v>316.57</v>
      </c>
      <c r="K119" s="21" t="n">
        <v>44119</v>
      </c>
      <c r="L119" s="22" t="n">
        <v>315.76</v>
      </c>
      <c r="M119" s="8" t="s">
        <v>73</v>
      </c>
      <c r="N119" s="4" t="n">
        <v>3</v>
      </c>
      <c r="O119" s="6" t="n">
        <f aca="false">IF(C119="롱",(J119-E119)/E119,(E119-J119)/E119)</f>
        <v>-0.00283491353513729</v>
      </c>
    </row>
    <row r="120" customFormat="false" ht="17.15" hidden="false" customHeight="false" outlineLevel="0" collapsed="false">
      <c r="A120" s="4" t="n">
        <v>6</v>
      </c>
      <c r="B120" s="4" t="s">
        <v>22</v>
      </c>
      <c r="C120" s="8" t="s">
        <v>72</v>
      </c>
      <c r="D120" s="21" t="n">
        <v>44140</v>
      </c>
      <c r="E120" s="22" t="n">
        <v>321.51</v>
      </c>
      <c r="F120" s="21" t="n">
        <v>44141</v>
      </c>
      <c r="G120" s="22" t="n">
        <v>322.72</v>
      </c>
      <c r="H120" s="22" t="n">
        <v>298.47</v>
      </c>
      <c r="I120" s="21" t="n">
        <v>44165</v>
      </c>
      <c r="J120" s="22" t="n">
        <v>346.05</v>
      </c>
      <c r="K120" s="21" t="n">
        <v>44166</v>
      </c>
      <c r="L120" s="22" t="n">
        <v>349.37</v>
      </c>
      <c r="M120" s="8" t="s">
        <v>73</v>
      </c>
      <c r="N120" s="4" t="n">
        <v>17</v>
      </c>
      <c r="O120" s="6" t="n">
        <f aca="false">IF(C120="롱",(J120-E120)/E120,(E120-J120)/E120)</f>
        <v>0.0763273304096296</v>
      </c>
    </row>
    <row r="121" customFormat="false" ht="17.15" hidden="false" customHeight="false" outlineLevel="0" collapsed="false">
      <c r="A121" s="4" t="n">
        <v>6</v>
      </c>
      <c r="B121" s="4" t="s">
        <v>22</v>
      </c>
      <c r="C121" s="8" t="s">
        <v>72</v>
      </c>
      <c r="D121" s="21" t="n">
        <v>44168</v>
      </c>
      <c r="E121" s="22" t="n">
        <v>361.66</v>
      </c>
      <c r="F121" s="21" t="n">
        <v>44169</v>
      </c>
      <c r="G121" s="22" t="n">
        <v>363.28</v>
      </c>
      <c r="H121" s="22" t="n">
        <v>336.41</v>
      </c>
      <c r="I121" s="21" t="n">
        <v>44173</v>
      </c>
      <c r="J121" s="22" t="n">
        <v>363.45</v>
      </c>
      <c r="K121" s="21" t="n">
        <v>44174</v>
      </c>
      <c r="L121" s="22" t="n">
        <v>363.77</v>
      </c>
      <c r="M121" s="8" t="s">
        <v>73</v>
      </c>
      <c r="N121" s="4" t="n">
        <v>3</v>
      </c>
      <c r="O121" s="6" t="n">
        <f aca="false">IF(C121="롱",(J121-E121)/E121,(E121-J121)/E121)</f>
        <v>0.00494939998893979</v>
      </c>
    </row>
    <row r="122" customFormat="false" ht="17.15" hidden="false" customHeight="false" outlineLevel="0" collapsed="false">
      <c r="A122" s="4" t="n">
        <v>6</v>
      </c>
      <c r="B122" s="4" t="s">
        <v>22</v>
      </c>
      <c r="C122" s="8" t="s">
        <v>72</v>
      </c>
      <c r="D122" s="21" t="n">
        <v>44195</v>
      </c>
      <c r="E122" s="22" t="n">
        <v>389.29</v>
      </c>
      <c r="F122" s="21" t="n">
        <v>44200</v>
      </c>
      <c r="G122" s="22" t="n">
        <v>389.5</v>
      </c>
      <c r="H122" s="22" t="n">
        <v>359.54</v>
      </c>
      <c r="I122" s="21" t="n">
        <v>44210</v>
      </c>
      <c r="J122" s="22" t="n">
        <v>429.85</v>
      </c>
      <c r="K122" s="21" t="n">
        <v>44211</v>
      </c>
      <c r="L122" s="22" t="n">
        <v>430.37</v>
      </c>
      <c r="M122" s="8" t="s">
        <v>73</v>
      </c>
      <c r="N122" s="4" t="n">
        <v>9</v>
      </c>
      <c r="O122" s="6" t="n">
        <f aca="false">IF(C122="롱",(J122-E122)/E122,(E122-J122)/E122)</f>
        <v>0.10418967864574</v>
      </c>
    </row>
    <row r="123" customFormat="false" ht="17.15" hidden="false" customHeight="false" outlineLevel="0" collapsed="false">
      <c r="A123" s="4" t="n">
        <v>6</v>
      </c>
      <c r="B123" s="4" t="s">
        <v>22</v>
      </c>
      <c r="C123" s="8" t="s">
        <v>72</v>
      </c>
      <c r="D123" s="21" t="n">
        <v>44291</v>
      </c>
      <c r="E123" s="22" t="n">
        <v>424.85</v>
      </c>
      <c r="F123" s="21" t="n">
        <v>44292</v>
      </c>
      <c r="G123" s="22" t="n">
        <v>425.18</v>
      </c>
      <c r="H123" s="22" t="n">
        <v>395.15</v>
      </c>
      <c r="I123" s="21" t="n">
        <v>44295</v>
      </c>
      <c r="J123" s="22" t="n">
        <v>424.3</v>
      </c>
      <c r="K123" s="21" t="n">
        <v>44298</v>
      </c>
      <c r="L123" s="22" t="n">
        <v>424.73</v>
      </c>
      <c r="M123" s="8" t="s">
        <v>73</v>
      </c>
      <c r="N123" s="4" t="n">
        <v>4</v>
      </c>
      <c r="O123" s="6" t="n">
        <f aca="false">IF(C123="롱",(J123-E123)/E123,(E123-J123)/E123)</f>
        <v>-0.00129457455572558</v>
      </c>
    </row>
    <row r="124" customFormat="false" ht="17.15" hidden="false" customHeight="false" outlineLevel="0" collapsed="false">
      <c r="A124" s="4" t="n">
        <v>6</v>
      </c>
      <c r="B124" s="4" t="s">
        <v>22</v>
      </c>
      <c r="C124" s="8" t="s">
        <v>72</v>
      </c>
      <c r="D124" s="21" t="n">
        <v>44301</v>
      </c>
      <c r="E124" s="22" t="n">
        <v>432.66</v>
      </c>
      <c r="F124" s="21" t="n">
        <v>44302</v>
      </c>
      <c r="G124" s="22" t="n">
        <v>432.43</v>
      </c>
      <c r="H124" s="22" t="n">
        <v>408.69</v>
      </c>
      <c r="I124" s="21" t="n">
        <v>44307</v>
      </c>
      <c r="J124" s="22" t="n">
        <v>426.75</v>
      </c>
      <c r="K124" s="21" t="n">
        <v>44308</v>
      </c>
      <c r="L124" s="22" t="n">
        <v>427.06</v>
      </c>
      <c r="M124" s="8" t="s">
        <v>73</v>
      </c>
      <c r="N124" s="4" t="n">
        <v>4</v>
      </c>
      <c r="O124" s="6" t="n">
        <f aca="false">IF(C124="롱",(J124-E124)/E124,(E124-J124)/E124)</f>
        <v>-0.0136596865899321</v>
      </c>
    </row>
    <row r="125" customFormat="false" ht="17.15" hidden="false" customHeight="false" outlineLevel="0" collapsed="false">
      <c r="A125" s="4" t="n">
        <v>6</v>
      </c>
      <c r="B125" s="4" t="s">
        <v>22</v>
      </c>
      <c r="C125" s="8" t="s">
        <v>72</v>
      </c>
      <c r="D125" s="21" t="n">
        <v>44348</v>
      </c>
      <c r="E125" s="22" t="n">
        <v>430.32</v>
      </c>
      <c r="F125" s="21" t="n">
        <v>44349</v>
      </c>
      <c r="G125" s="22" t="n">
        <v>430.6</v>
      </c>
      <c r="H125" s="22" t="n">
        <v>401.59</v>
      </c>
      <c r="I125" s="21" t="n">
        <v>44356</v>
      </c>
      <c r="J125" s="22" t="n">
        <v>428.16</v>
      </c>
      <c r="K125" s="21" t="n">
        <v>44357</v>
      </c>
      <c r="L125" s="22" t="n">
        <v>428.23</v>
      </c>
      <c r="M125" s="8" t="s">
        <v>73</v>
      </c>
      <c r="N125" s="4" t="n">
        <v>6</v>
      </c>
      <c r="O125" s="6" t="n">
        <f aca="false">IF(C125="롱",(J125-E125)/E125,(E125-J125)/E125)</f>
        <v>-0.0050195203569436</v>
      </c>
    </row>
    <row r="126" customFormat="false" ht="17.15" hidden="false" customHeight="false" outlineLevel="0" collapsed="false">
      <c r="A126" s="4" t="n">
        <v>6</v>
      </c>
      <c r="B126" s="4" t="s">
        <v>22</v>
      </c>
      <c r="C126" s="8" t="s">
        <v>72</v>
      </c>
      <c r="D126" s="21" t="n">
        <v>44361</v>
      </c>
      <c r="E126" s="22" t="n">
        <v>433.22</v>
      </c>
      <c r="F126" s="21" t="n">
        <v>44362</v>
      </c>
      <c r="G126" s="22" t="n">
        <v>433.41</v>
      </c>
      <c r="H126" s="22" t="n">
        <v>410.58</v>
      </c>
      <c r="I126" s="21" t="n">
        <v>44368</v>
      </c>
      <c r="J126" s="22" t="n">
        <v>431.46</v>
      </c>
      <c r="K126" s="21" t="n">
        <v>44369</v>
      </c>
      <c r="L126" s="22" t="n">
        <v>432.1</v>
      </c>
      <c r="M126" s="8" t="s">
        <v>73</v>
      </c>
      <c r="N126" s="4" t="n">
        <v>5</v>
      </c>
      <c r="O126" s="6" t="n">
        <f aca="false">IF(C126="롱",(J126-E126)/E126,(E126-J126)/E126)</f>
        <v>-0.00406260098795081</v>
      </c>
    </row>
    <row r="127" customFormat="false" ht="17.15" hidden="false" customHeight="false" outlineLevel="0" collapsed="false">
      <c r="A127" s="4" t="n">
        <v>6</v>
      </c>
      <c r="B127" s="4" t="s">
        <v>22</v>
      </c>
      <c r="C127" s="8" t="s">
        <v>72</v>
      </c>
      <c r="D127" s="21" t="n">
        <v>44371</v>
      </c>
      <c r="E127" s="22" t="n">
        <v>438.38</v>
      </c>
      <c r="F127" s="21" t="n">
        <v>44372</v>
      </c>
      <c r="G127" s="22" t="n">
        <v>438.76</v>
      </c>
      <c r="H127" s="22" t="n">
        <v>418.98</v>
      </c>
      <c r="I127" s="21" t="n">
        <v>44376</v>
      </c>
      <c r="J127" s="22" t="n">
        <v>437.54</v>
      </c>
      <c r="K127" s="21" t="n">
        <v>44377</v>
      </c>
      <c r="L127" s="22" t="n">
        <v>437.76</v>
      </c>
      <c r="M127" s="8" t="s">
        <v>73</v>
      </c>
      <c r="N127" s="4" t="n">
        <v>3</v>
      </c>
      <c r="O127" s="6" t="n">
        <f aca="false">IF(C127="롱",(J127-E127)/E127,(E127-J127)/E127)</f>
        <v>-0.00191614580957155</v>
      </c>
    </row>
    <row r="128" customFormat="false" ht="17.15" hidden="false" customHeight="false" outlineLevel="0" collapsed="false">
      <c r="A128" s="4" t="n">
        <v>6</v>
      </c>
      <c r="B128" s="4" t="s">
        <v>22</v>
      </c>
      <c r="C128" s="8" t="s">
        <v>72</v>
      </c>
      <c r="D128" s="21" t="n">
        <v>44412</v>
      </c>
      <c r="E128" s="22" t="n">
        <v>436.05</v>
      </c>
      <c r="F128" s="21" t="n">
        <v>44413</v>
      </c>
      <c r="G128" s="22" t="n">
        <v>436.46</v>
      </c>
      <c r="H128" s="22" t="n">
        <v>412.57</v>
      </c>
      <c r="I128" s="21" t="n">
        <v>44417</v>
      </c>
      <c r="J128" s="22" t="n">
        <v>431.65</v>
      </c>
      <c r="K128" s="21" t="n">
        <v>44418</v>
      </c>
      <c r="L128" s="22" t="n">
        <v>433.01</v>
      </c>
      <c r="M128" s="8" t="s">
        <v>73</v>
      </c>
      <c r="N128" s="4" t="n">
        <v>3</v>
      </c>
      <c r="O128" s="6" t="n">
        <f aca="false">IF(C128="롱",(J128-E128)/E128,(E128-J128)/E128)</f>
        <v>-0.0100905859419792</v>
      </c>
    </row>
    <row r="129" customFormat="false" ht="17.15" hidden="false" customHeight="false" outlineLevel="0" collapsed="false">
      <c r="A129" s="4" t="n">
        <v>6</v>
      </c>
      <c r="B129" s="4" t="s">
        <v>22</v>
      </c>
      <c r="C129" s="8" t="s">
        <v>72</v>
      </c>
      <c r="D129" s="21" t="n">
        <v>44935</v>
      </c>
      <c r="E129" s="22" t="n">
        <v>309.69</v>
      </c>
      <c r="F129" s="21" t="n">
        <v>44936</v>
      </c>
      <c r="G129" s="22" t="n">
        <v>308.69</v>
      </c>
      <c r="H129" s="22" t="n">
        <v>285.25</v>
      </c>
      <c r="I129" s="21" t="n">
        <v>44944</v>
      </c>
      <c r="J129" s="22" t="n">
        <v>311.91</v>
      </c>
      <c r="K129" s="21" t="n">
        <v>44945</v>
      </c>
      <c r="L129" s="22" t="n">
        <v>310.08</v>
      </c>
      <c r="M129" s="8" t="s">
        <v>73</v>
      </c>
      <c r="N129" s="4" t="n">
        <v>7</v>
      </c>
      <c r="O129" s="6" t="n">
        <f aca="false">IF(C129="롱",(J129-E129)/E129,(E129-J129)/E129)</f>
        <v>0.0071684587813621</v>
      </c>
    </row>
    <row r="130" customFormat="false" ht="17.15" hidden="false" customHeight="false" outlineLevel="0" collapsed="false">
      <c r="A130" s="4" t="n">
        <v>6</v>
      </c>
      <c r="B130" s="4" t="s">
        <v>22</v>
      </c>
      <c r="C130" s="8" t="s">
        <v>72</v>
      </c>
      <c r="D130" s="21" t="n">
        <v>44951</v>
      </c>
      <c r="E130" s="22" t="n">
        <v>320.76</v>
      </c>
      <c r="F130" s="21" t="n">
        <v>44952</v>
      </c>
      <c r="G130" s="22" t="n">
        <v>321.82</v>
      </c>
      <c r="H130" s="22" t="n">
        <v>296.46</v>
      </c>
      <c r="I130" s="21" t="n">
        <v>44957</v>
      </c>
      <c r="J130" s="22" t="n">
        <v>317.26</v>
      </c>
      <c r="K130" s="21" t="n">
        <v>44958</v>
      </c>
      <c r="L130" s="22" t="n">
        <v>320.54</v>
      </c>
      <c r="M130" s="8" t="s">
        <v>73</v>
      </c>
      <c r="N130" s="4" t="n">
        <v>4</v>
      </c>
      <c r="O130" s="6" t="n">
        <f aca="false">IF(C130="롱",(J130-E130)/E130,(E130-J130)/E130)</f>
        <v>-0.0109115849856591</v>
      </c>
    </row>
    <row r="131" customFormat="false" ht="17.15" hidden="false" customHeight="false" outlineLevel="0" collapsed="false">
      <c r="A131" s="4" t="n">
        <v>6</v>
      </c>
      <c r="B131" s="4" t="s">
        <v>22</v>
      </c>
      <c r="C131" s="8" t="s">
        <v>72</v>
      </c>
      <c r="D131" s="21" t="n">
        <v>44960</v>
      </c>
      <c r="E131" s="22" t="n">
        <v>325.86</v>
      </c>
      <c r="F131" s="21" t="n">
        <v>44963</v>
      </c>
      <c r="G131" s="22" t="n">
        <v>322.9</v>
      </c>
      <c r="H131" s="22" t="n">
        <v>302.13</v>
      </c>
      <c r="I131" s="21" t="n">
        <v>44963</v>
      </c>
      <c r="J131" s="22" t="n">
        <v>318.83</v>
      </c>
      <c r="K131" s="21" t="n">
        <v>44964</v>
      </c>
      <c r="L131" s="22" t="n">
        <v>319.36</v>
      </c>
      <c r="M131" s="8" t="s">
        <v>73</v>
      </c>
      <c r="N131" s="4" t="n">
        <v>1</v>
      </c>
      <c r="O131" s="6" t="n">
        <f aca="false">IF(C131="롱",(J131-E131)/E131,(E131-J131)/E131)</f>
        <v>-0.0215736819493035</v>
      </c>
    </row>
    <row r="132" customFormat="false" ht="17.15" hidden="false" customHeight="false" outlineLevel="0" collapsed="false">
      <c r="A132" s="4" t="n">
        <v>6</v>
      </c>
      <c r="B132" s="4" t="s">
        <v>22</v>
      </c>
      <c r="C132" s="8" t="s">
        <v>72</v>
      </c>
      <c r="D132" s="21" t="n">
        <v>45008</v>
      </c>
      <c r="E132" s="22" t="n">
        <v>315.75</v>
      </c>
      <c r="F132" s="21" t="n">
        <v>45009</v>
      </c>
      <c r="G132" s="22" t="n">
        <v>315.17</v>
      </c>
      <c r="H132" s="22" t="n">
        <v>293.25</v>
      </c>
      <c r="I132" s="21" t="n">
        <v>45012</v>
      </c>
      <c r="J132" s="22" t="n">
        <v>312.85</v>
      </c>
      <c r="K132" s="21" t="n">
        <v>45013</v>
      </c>
      <c r="L132" s="22" t="n">
        <v>314.15</v>
      </c>
      <c r="M132" s="8" t="s">
        <v>73</v>
      </c>
      <c r="N132" s="4" t="n">
        <v>2</v>
      </c>
      <c r="O132" s="6" t="n">
        <f aca="false">IF(C132="롱",(J132-E132)/E132,(E132-J132)/E132)</f>
        <v>-0.00918448139350745</v>
      </c>
    </row>
    <row r="133" customFormat="false" ht="17.15" hidden="false" customHeight="false" outlineLevel="0" collapsed="false">
      <c r="A133" s="4" t="n">
        <v>6</v>
      </c>
      <c r="B133" s="4" t="s">
        <v>22</v>
      </c>
      <c r="C133" s="8" t="s">
        <v>72</v>
      </c>
      <c r="D133" s="21" t="n">
        <v>45015</v>
      </c>
      <c r="E133" s="22" t="n">
        <v>318.05</v>
      </c>
      <c r="F133" s="21" t="n">
        <v>45016</v>
      </c>
      <c r="G133" s="22" t="n">
        <v>319.6</v>
      </c>
      <c r="H133" s="22" t="n">
        <v>297.53</v>
      </c>
      <c r="I133" s="21" t="n">
        <v>45022</v>
      </c>
      <c r="J133" s="22" t="n">
        <v>317.82</v>
      </c>
      <c r="K133" s="21" t="n">
        <v>45023</v>
      </c>
      <c r="L133" s="22" t="n">
        <v>321.29</v>
      </c>
      <c r="M133" s="8" t="s">
        <v>73</v>
      </c>
      <c r="N133" s="4" t="n">
        <v>5</v>
      </c>
      <c r="O133" s="6" t="n">
        <f aca="false">IF(C133="롱",(J133-E133)/E133,(E133-J133)/E133)</f>
        <v>-0.000723156736362264</v>
      </c>
    </row>
    <row r="134" customFormat="false" ht="17.15" hidden="false" customHeight="false" outlineLevel="0" collapsed="false">
      <c r="A134" s="4" t="n">
        <v>6</v>
      </c>
      <c r="B134" s="4" t="s">
        <v>22</v>
      </c>
      <c r="C134" s="8" t="s">
        <v>72</v>
      </c>
      <c r="D134" s="21" t="n">
        <v>45027</v>
      </c>
      <c r="E134" s="22" t="n">
        <v>330.87</v>
      </c>
      <c r="F134" s="21" t="n">
        <v>45028</v>
      </c>
      <c r="G134" s="22" t="n">
        <v>330.88</v>
      </c>
      <c r="H134" s="22" t="n">
        <v>310.88</v>
      </c>
      <c r="I134" s="21" t="n">
        <v>45036</v>
      </c>
      <c r="J134" s="22" t="n">
        <v>332.66</v>
      </c>
      <c r="K134" s="21" t="n">
        <v>45037</v>
      </c>
      <c r="L134" s="22" t="n">
        <v>332.08</v>
      </c>
      <c r="M134" s="8" t="s">
        <v>73</v>
      </c>
      <c r="N134" s="4" t="n">
        <v>7</v>
      </c>
      <c r="O134" s="6" t="n">
        <f aca="false">IF(C134="롱",(J134-E134)/E134,(E134-J134)/E134)</f>
        <v>0.00540997975035519</v>
      </c>
    </row>
    <row r="135" customFormat="false" ht="17.15" hidden="false" customHeight="false" outlineLevel="0" collapsed="false">
      <c r="A135" s="4" t="n">
        <v>6</v>
      </c>
      <c r="B135" s="4" t="s">
        <v>22</v>
      </c>
      <c r="C135" s="8" t="s">
        <v>72</v>
      </c>
      <c r="D135" s="21" t="n">
        <v>45065</v>
      </c>
      <c r="E135" s="22" t="n">
        <v>334.23</v>
      </c>
      <c r="F135" s="21" t="n">
        <v>45068</v>
      </c>
      <c r="G135" s="22" t="n">
        <v>334.5</v>
      </c>
      <c r="H135" s="22" t="n">
        <v>317.6</v>
      </c>
      <c r="I135" s="21" t="n">
        <v>45071</v>
      </c>
      <c r="J135" s="22" t="n">
        <v>335.35</v>
      </c>
      <c r="K135" s="21" t="n">
        <v>45072</v>
      </c>
      <c r="L135" s="22" t="n">
        <v>336.87</v>
      </c>
      <c r="M135" s="8" t="s">
        <v>73</v>
      </c>
      <c r="N135" s="4" t="n">
        <v>4</v>
      </c>
      <c r="O135" s="6" t="n">
        <f aca="false">IF(C135="롱",(J135-E135)/E135,(E135-J135)/E135)</f>
        <v>0.00335098584806871</v>
      </c>
    </row>
    <row r="136" customFormat="false" ht="17.15" hidden="false" customHeight="false" outlineLevel="0" collapsed="false">
      <c r="A136" s="4" t="n">
        <v>6</v>
      </c>
      <c r="B136" s="4" t="s">
        <v>22</v>
      </c>
      <c r="C136" s="8" t="s">
        <v>72</v>
      </c>
      <c r="D136" s="21" t="n">
        <v>45121</v>
      </c>
      <c r="E136" s="22" t="n">
        <v>346.93</v>
      </c>
      <c r="F136" s="21" t="n">
        <v>45124</v>
      </c>
      <c r="G136" s="22" t="n">
        <v>345.38</v>
      </c>
      <c r="H136" s="22" t="n">
        <v>327.92</v>
      </c>
      <c r="I136" s="21" t="n">
        <v>45126</v>
      </c>
      <c r="J136" s="22" t="n">
        <v>343.11</v>
      </c>
      <c r="K136" s="21" t="n">
        <v>45127</v>
      </c>
      <c r="L136" s="22" t="n">
        <v>341.37</v>
      </c>
      <c r="M136" s="8" t="s">
        <v>73</v>
      </c>
      <c r="N136" s="4" t="n">
        <v>3</v>
      </c>
      <c r="O136" s="6" t="n">
        <f aca="false">IF(C136="롱",(J136-E136)/E136,(E136-J136)/E136)</f>
        <v>-0.011010866745453</v>
      </c>
    </row>
    <row r="137" customFormat="false" ht="17.15" hidden="false" customHeight="false" outlineLevel="0" collapsed="false">
      <c r="A137" s="4" t="n">
        <v>6</v>
      </c>
      <c r="B137" s="4" t="s">
        <v>22</v>
      </c>
      <c r="C137" s="8" t="s">
        <v>72</v>
      </c>
      <c r="D137" s="21" t="n">
        <v>45132</v>
      </c>
      <c r="E137" s="22" t="n">
        <v>344.92</v>
      </c>
      <c r="F137" s="21" t="n">
        <v>45133</v>
      </c>
      <c r="G137" s="22" t="n">
        <v>345.18</v>
      </c>
      <c r="H137" s="22" t="n">
        <v>324.52</v>
      </c>
      <c r="I137" s="21" t="n">
        <v>45133</v>
      </c>
      <c r="J137" s="22" t="n">
        <v>340.56</v>
      </c>
      <c r="K137" s="21" t="n">
        <v>45134</v>
      </c>
      <c r="L137" s="22" t="n">
        <v>341.64</v>
      </c>
      <c r="M137" s="8" t="s">
        <v>73</v>
      </c>
      <c r="N137" s="4" t="n">
        <v>1</v>
      </c>
      <c r="O137" s="6" t="n">
        <f aca="false">IF(C137="롱",(J137-E137)/E137,(E137-J137)/E137)</f>
        <v>-0.0126406123158994</v>
      </c>
    </row>
    <row r="138" customFormat="false" ht="17.15" hidden="false" customHeight="false" outlineLevel="0" collapsed="false">
      <c r="A138" s="4" t="n">
        <v>6</v>
      </c>
      <c r="B138" s="4" t="s">
        <v>22</v>
      </c>
      <c r="C138" s="8" t="s">
        <v>72</v>
      </c>
      <c r="D138" s="21" t="n">
        <v>45168</v>
      </c>
      <c r="E138" s="22" t="n">
        <v>334.94</v>
      </c>
      <c r="F138" s="21" t="n">
        <v>45169</v>
      </c>
      <c r="G138" s="22" t="n">
        <v>335.38</v>
      </c>
      <c r="H138" s="22" t="n">
        <v>314.35</v>
      </c>
      <c r="I138" s="21" t="n">
        <v>45175</v>
      </c>
      <c r="J138" s="22" t="n">
        <v>337.85</v>
      </c>
      <c r="K138" s="21" t="n">
        <v>45176</v>
      </c>
      <c r="L138" s="22" t="n">
        <v>336.93</v>
      </c>
      <c r="M138" s="8" t="s">
        <v>73</v>
      </c>
      <c r="N138" s="4" t="n">
        <v>5</v>
      </c>
      <c r="O138" s="6" t="n">
        <f aca="false">IF(C138="롱",(J138-E138)/E138,(E138-J138)/E138)</f>
        <v>0.00868812324595457</v>
      </c>
    </row>
    <row r="139" customFormat="false" ht="17.15" hidden="false" customHeight="false" outlineLevel="0" collapsed="false">
      <c r="A139" s="4" t="n">
        <v>6</v>
      </c>
      <c r="B139" s="4" t="s">
        <v>22</v>
      </c>
      <c r="C139" s="8" t="s">
        <v>72</v>
      </c>
      <c r="D139" s="21" t="n">
        <v>45287</v>
      </c>
      <c r="E139" s="22" t="n">
        <v>352.46</v>
      </c>
      <c r="F139" s="21" t="n">
        <v>45288</v>
      </c>
      <c r="G139" s="22" t="n">
        <v>352.75</v>
      </c>
      <c r="H139" s="22" t="n">
        <v>335.18</v>
      </c>
      <c r="I139" s="21" t="n">
        <v>45294</v>
      </c>
      <c r="J139" s="22" t="n">
        <v>351.2</v>
      </c>
      <c r="K139" s="21" t="n">
        <v>45295</v>
      </c>
      <c r="L139" s="22" t="n">
        <v>349.1</v>
      </c>
      <c r="M139" s="8" t="s">
        <v>73</v>
      </c>
      <c r="N139" s="4" t="n">
        <v>3</v>
      </c>
      <c r="O139" s="6" t="n">
        <f aca="false">IF(C139="롱",(J139-E139)/E139,(E139-J139)/E139)</f>
        <v>-0.00357487374453836</v>
      </c>
    </row>
    <row r="140" customFormat="false" ht="17.15" hidden="false" customHeight="false" outlineLevel="0" collapsed="false">
      <c r="A140" s="4" t="n">
        <v>6</v>
      </c>
      <c r="B140" s="4" t="s">
        <v>22</v>
      </c>
      <c r="C140" s="8" t="s">
        <v>72</v>
      </c>
      <c r="D140" s="21" t="n">
        <v>45335</v>
      </c>
      <c r="E140" s="22" t="n">
        <v>357.38</v>
      </c>
      <c r="F140" s="21" t="n">
        <v>45336</v>
      </c>
      <c r="G140" s="22" t="n">
        <v>351.52</v>
      </c>
      <c r="H140" s="22" t="n">
        <v>330.7</v>
      </c>
      <c r="I140" s="21" t="n">
        <v>45337</v>
      </c>
      <c r="J140" s="22" t="n">
        <v>351.21</v>
      </c>
      <c r="K140" s="21" t="n">
        <v>45338</v>
      </c>
      <c r="L140" s="22" t="n">
        <v>354.19</v>
      </c>
      <c r="M140" s="8" t="s">
        <v>73</v>
      </c>
      <c r="N140" s="4" t="n">
        <v>2</v>
      </c>
      <c r="O140" s="6" t="n">
        <f aca="false">IF(C140="롱",(J140-E140)/E140,(E140-J140)/E140)</f>
        <v>-0.0172645363478651</v>
      </c>
    </row>
    <row r="141" customFormat="false" ht="17.15" hidden="false" customHeight="false" outlineLevel="0" collapsed="false">
      <c r="A141" s="4" t="n">
        <v>6</v>
      </c>
      <c r="B141" s="4" t="s">
        <v>22</v>
      </c>
      <c r="C141" s="8" t="s">
        <v>72</v>
      </c>
      <c r="D141" s="21" t="n">
        <v>45365</v>
      </c>
      <c r="E141" s="22" t="n">
        <v>366.68</v>
      </c>
      <c r="F141" s="21" t="n">
        <v>45366</v>
      </c>
      <c r="G141" s="22" t="n">
        <v>364.12</v>
      </c>
      <c r="H141" s="22" t="n">
        <v>344.08</v>
      </c>
      <c r="I141" s="21" t="n">
        <v>45366</v>
      </c>
      <c r="J141" s="22" t="n">
        <v>359.39</v>
      </c>
      <c r="K141" s="21" t="n">
        <v>45369</v>
      </c>
      <c r="L141" s="22" t="n">
        <v>360.74</v>
      </c>
      <c r="M141" s="8" t="s">
        <v>73</v>
      </c>
      <c r="N141" s="4" t="n">
        <v>1</v>
      </c>
      <c r="O141" s="6" t="n">
        <f aca="false">IF(C141="롱",(J141-E141)/E141,(E141-J141)/E141)</f>
        <v>-0.0198810952329007</v>
      </c>
    </row>
    <row r="142" customFormat="false" ht="17.15" hidden="false" customHeight="false" outlineLevel="0" collapsed="false">
      <c r="A142" s="4" t="n">
        <v>6</v>
      </c>
      <c r="B142" s="4" t="s">
        <v>22</v>
      </c>
      <c r="C142" s="8" t="s">
        <v>72</v>
      </c>
      <c r="D142" s="21" t="n">
        <v>45456</v>
      </c>
      <c r="E142" s="22" t="n">
        <v>374.75</v>
      </c>
      <c r="F142" s="21" t="n">
        <v>45457</v>
      </c>
      <c r="G142" s="22" t="n">
        <v>375.76</v>
      </c>
      <c r="H142" s="22" t="n">
        <v>348.88</v>
      </c>
      <c r="I142" s="21" t="n">
        <v>45467</v>
      </c>
      <c r="J142" s="22" t="n">
        <v>378.39</v>
      </c>
      <c r="K142" s="21" t="n">
        <v>45468</v>
      </c>
      <c r="L142" s="22" t="n">
        <v>378.12</v>
      </c>
      <c r="M142" s="8" t="s">
        <v>73</v>
      </c>
      <c r="N142" s="4" t="n">
        <v>7</v>
      </c>
      <c r="O142" s="6" t="n">
        <f aca="false">IF(C142="롱",(J142-E142)/E142,(E142-J142)/E142)</f>
        <v>0.00971314209472978</v>
      </c>
    </row>
    <row r="143" customFormat="false" ht="17.15" hidden="false" customHeight="false" outlineLevel="0" collapsed="false">
      <c r="A143" s="4" t="n">
        <v>6</v>
      </c>
      <c r="B143" s="4" t="s">
        <v>22</v>
      </c>
      <c r="C143" s="8" t="s">
        <v>72</v>
      </c>
      <c r="D143" s="21" t="n">
        <v>45478</v>
      </c>
      <c r="E143" s="22" t="n">
        <v>395.47</v>
      </c>
      <c r="F143" s="21" t="n">
        <v>45481</v>
      </c>
      <c r="G143" s="22" t="n">
        <v>395.62</v>
      </c>
      <c r="H143" s="22" t="n">
        <v>373.57</v>
      </c>
      <c r="I143" s="21" t="n">
        <v>45485</v>
      </c>
      <c r="J143" s="22" t="n">
        <v>392.29</v>
      </c>
      <c r="K143" s="21" t="n">
        <v>45488</v>
      </c>
      <c r="L143" s="22" t="n">
        <v>394.09</v>
      </c>
      <c r="M143" s="8" t="s">
        <v>73</v>
      </c>
      <c r="N143" s="4" t="n">
        <v>5</v>
      </c>
      <c r="O143" s="6" t="n">
        <f aca="false">IF(C143="롱",(J143-E143)/E143,(E143-J143)/E143)</f>
        <v>-0.00804106506182519</v>
      </c>
    </row>
    <row r="144" customFormat="false" ht="17.15" hidden="false" customHeight="false" outlineLevel="0" collapsed="false">
      <c r="A144" s="4" t="n">
        <v>6</v>
      </c>
      <c r="B144" s="4" t="s">
        <v>22</v>
      </c>
      <c r="C144" s="8" t="s">
        <v>72</v>
      </c>
      <c r="D144" s="21" t="n">
        <v>45737</v>
      </c>
      <c r="E144" s="22" t="n">
        <v>355.18</v>
      </c>
      <c r="F144" s="21" t="n">
        <v>45740</v>
      </c>
      <c r="G144" s="22" t="n">
        <v>353.72</v>
      </c>
      <c r="H144" s="22" t="n">
        <v>329.36</v>
      </c>
      <c r="I144" s="21" t="n">
        <v>45741</v>
      </c>
      <c r="J144" s="22" t="n">
        <v>351.09</v>
      </c>
      <c r="K144" s="21" t="n">
        <v>45742</v>
      </c>
      <c r="L144" s="22" t="n">
        <v>352.78</v>
      </c>
      <c r="M144" s="8" t="s">
        <v>73</v>
      </c>
      <c r="N144" s="4" t="n">
        <v>2</v>
      </c>
      <c r="O144" s="6" t="n">
        <f aca="false">IF(C144="롱",(J144-E144)/E144,(E144-J144)/E144)</f>
        <v>-0.0115152880229744</v>
      </c>
    </row>
    <row r="145" customFormat="false" ht="17.15" hidden="false" customHeight="false" outlineLevel="0" collapsed="false">
      <c r="A145" s="4" t="n">
        <v>6</v>
      </c>
      <c r="B145" s="4" t="s">
        <v>22</v>
      </c>
      <c r="C145" s="8" t="s">
        <v>72</v>
      </c>
      <c r="D145" s="21" t="n">
        <v>45768</v>
      </c>
      <c r="E145" s="22" t="n">
        <v>329.31</v>
      </c>
      <c r="F145" s="21" t="n">
        <v>45769</v>
      </c>
      <c r="G145" s="22" t="n">
        <v>328.14</v>
      </c>
      <c r="H145" s="22" t="n">
        <v>296.38</v>
      </c>
      <c r="I145" s="21" t="n">
        <v>45796</v>
      </c>
      <c r="J145" s="22" t="n">
        <v>346.57</v>
      </c>
      <c r="K145" s="21" t="n">
        <v>45797</v>
      </c>
      <c r="L145" s="22" t="n">
        <v>349.43</v>
      </c>
      <c r="M145" s="8" t="s">
        <v>73</v>
      </c>
      <c r="N145" s="4" t="n">
        <v>17</v>
      </c>
      <c r="O145" s="6" t="n">
        <f aca="false">IF(C145="롱",(J145-E145)/E145,(E145-J145)/E145)</f>
        <v>0.0524126203273511</v>
      </c>
    </row>
    <row r="146" customFormat="false" ht="17.15" hidden="false" customHeight="false" outlineLevel="0" collapsed="false">
      <c r="A146" s="4" t="n">
        <v>6</v>
      </c>
      <c r="B146" s="4" t="s">
        <v>22</v>
      </c>
      <c r="C146" s="8" t="s">
        <v>72</v>
      </c>
      <c r="D146" s="21" t="n">
        <v>45813</v>
      </c>
      <c r="E146" s="22" t="n">
        <v>376.54</v>
      </c>
      <c r="F146" s="21" t="n">
        <v>45817</v>
      </c>
      <c r="G146" s="22" t="n">
        <v>381.25</v>
      </c>
      <c r="H146" s="22" t="n">
        <v>351.56</v>
      </c>
      <c r="I146" s="21" t="n">
        <v>45835</v>
      </c>
      <c r="J146" s="22" t="n">
        <v>412.72</v>
      </c>
      <c r="K146" s="21" t="n">
        <v>45838</v>
      </c>
      <c r="L146" s="22" t="n">
        <v>415.28</v>
      </c>
      <c r="M146" s="8" t="s">
        <v>73</v>
      </c>
      <c r="N146" s="4" t="n">
        <v>15</v>
      </c>
      <c r="O146" s="6" t="n">
        <f aca="false">IF(C146="롱",(J146-E146)/E146,(E146-J146)/E146)</f>
        <v>0.0960854092526691</v>
      </c>
    </row>
    <row r="147" customFormat="false" ht="17.15" hidden="false" customHeight="false" outlineLevel="0" collapsed="false">
      <c r="A147" s="4" t="n">
        <v>6</v>
      </c>
      <c r="B147" s="4" t="s">
        <v>22</v>
      </c>
      <c r="C147" s="8" t="s">
        <v>72</v>
      </c>
      <c r="D147" s="21" t="n">
        <v>45908</v>
      </c>
      <c r="E147" s="22" t="n">
        <v>434.85</v>
      </c>
      <c r="F147" s="21" t="n">
        <v>45909</v>
      </c>
      <c r="G147" s="22" t="n">
        <v>436.17</v>
      </c>
      <c r="H147" s="22" t="n">
        <v>408.98</v>
      </c>
      <c r="I147" s="21" t="n">
        <v>45926</v>
      </c>
      <c r="J147" s="22" t="n">
        <v>468.03</v>
      </c>
      <c r="K147" s="21" t="n">
        <v>45929</v>
      </c>
      <c r="L147" s="22" t="n">
        <v>472.11</v>
      </c>
      <c r="M147" s="8" t="s">
        <v>73</v>
      </c>
      <c r="N147" s="4" t="n">
        <v>14</v>
      </c>
      <c r="O147" s="6" t="n">
        <f aca="false">IF(C147="롱",(J147-E147)/E147,(E147-J147)/E147)</f>
        <v>0.0763021731631596</v>
      </c>
    </row>
    <row r="148" customFormat="false" ht="17.15" hidden="false" customHeight="false" outlineLevel="0" collapsed="false">
      <c r="A148" s="4" t="n">
        <v>6</v>
      </c>
      <c r="B148" s="4" t="s">
        <v>22</v>
      </c>
      <c r="C148" s="8" t="s">
        <v>72</v>
      </c>
      <c r="D148" s="21" t="n">
        <v>45947</v>
      </c>
      <c r="E148" s="22" t="n">
        <v>525.48</v>
      </c>
      <c r="F148" s="21" t="n">
        <v>45950</v>
      </c>
      <c r="G148" s="22" t="n">
        <v>529.82</v>
      </c>
      <c r="H148" s="22" t="n">
        <v>476.83</v>
      </c>
      <c r="I148" s="21" t="n">
        <v>45966</v>
      </c>
      <c r="J148" s="22" t="n">
        <v>565.4</v>
      </c>
      <c r="K148" s="21" t="n">
        <v>45967</v>
      </c>
      <c r="L148" s="22" t="n">
        <v>578.79</v>
      </c>
      <c r="M148" s="8" t="s">
        <v>73</v>
      </c>
      <c r="N148" s="4" t="n">
        <v>13</v>
      </c>
      <c r="O148" s="6" t="n">
        <f aca="false">IF(C148="롱",(J148-E148)/E148,(E148-J148)/E148)</f>
        <v>0.0759686381974575</v>
      </c>
    </row>
    <row r="149" customFormat="false" ht="17.15" hidden="false" customHeight="false" outlineLevel="0" collapsed="false">
      <c r="A149" s="4" t="n">
        <v>6</v>
      </c>
      <c r="B149" s="4" t="s">
        <v>22</v>
      </c>
      <c r="C149" s="8" t="s">
        <v>72</v>
      </c>
      <c r="D149" s="21" t="n">
        <v>46021</v>
      </c>
      <c r="E149" s="22" t="n">
        <v>605.98</v>
      </c>
      <c r="F149" s="21" t="n">
        <v>46024</v>
      </c>
      <c r="G149" s="22" t="n">
        <v>607.66</v>
      </c>
      <c r="H149" s="22" t="n">
        <v>552.85</v>
      </c>
      <c r="I149" s="21" t="n">
        <v>46055</v>
      </c>
      <c r="J149" s="22" t="n">
        <v>725.46</v>
      </c>
      <c r="K149" s="21" t="n">
        <v>46056</v>
      </c>
      <c r="L149" s="22" t="n">
        <v>751.94</v>
      </c>
      <c r="M149" s="8" t="s">
        <v>73</v>
      </c>
      <c r="N149" s="4" t="n">
        <v>22</v>
      </c>
      <c r="O149" s="6" t="n">
        <f aca="false">IF(C149="롱",(J149-E149)/E149,(E149-J149)/E149)</f>
        <v>0.197168223373709</v>
      </c>
    </row>
    <row r="150" customFormat="false" ht="17.15" hidden="false" customHeight="false" outlineLevel="0" collapsed="false">
      <c r="A150" s="4" t="n">
        <v>6</v>
      </c>
      <c r="B150" s="4" t="s">
        <v>22</v>
      </c>
      <c r="C150" s="8" t="s">
        <v>72</v>
      </c>
      <c r="D150" s="21" t="n">
        <v>46076</v>
      </c>
      <c r="E150" s="22" t="n">
        <v>865.49</v>
      </c>
      <c r="F150" s="21" t="n">
        <v>46077</v>
      </c>
      <c r="G150" s="22" t="n">
        <v>866.44</v>
      </c>
      <c r="H150" s="22" t="n">
        <v>778.94</v>
      </c>
      <c r="I150" s="21" t="n">
        <v>46084</v>
      </c>
      <c r="J150" s="22" t="n">
        <v>859.4</v>
      </c>
      <c r="K150" s="21" t="n">
        <v>46085</v>
      </c>
      <c r="L150" s="22" t="n">
        <v>827.46</v>
      </c>
      <c r="M150" s="8" t="s">
        <v>73</v>
      </c>
      <c r="N150" s="4" t="n">
        <v>5</v>
      </c>
      <c r="O150" s="6" t="n">
        <f aca="false">IF(C150="롱",(J150-E150)/E150,(E150-J150)/E150)</f>
        <v>-0.00703647644686828</v>
      </c>
    </row>
    <row r="151" customFormat="false" ht="17.15" hidden="false" customHeight="false" outlineLevel="0" collapsed="false">
      <c r="A151" s="4" t="n">
        <v>6</v>
      </c>
      <c r="B151" s="4" t="s">
        <v>22</v>
      </c>
      <c r="C151" s="8" t="s">
        <v>72</v>
      </c>
      <c r="D151" s="21" t="n">
        <v>46120</v>
      </c>
      <c r="E151" s="22" t="n">
        <v>882.81</v>
      </c>
      <c r="F151" s="21" t="n">
        <v>46121</v>
      </c>
      <c r="G151" s="22" t="n">
        <v>874.49</v>
      </c>
      <c r="H151" s="22" t="n">
        <v>794.53</v>
      </c>
      <c r="I151" s="21" t="n">
        <v>46142</v>
      </c>
      <c r="J151" s="22" t="n">
        <v>992.15</v>
      </c>
      <c r="K151" s="21" t="n">
        <v>46146</v>
      </c>
      <c r="L151" s="22" t="n">
        <v>1022.41</v>
      </c>
      <c r="M151" s="8" t="s">
        <v>73</v>
      </c>
      <c r="N151" s="4" t="n">
        <v>16</v>
      </c>
      <c r="O151" s="6" t="n">
        <f aca="false">IF(C151="롱",(J151-E151)/E151,(E151-J151)/E151)</f>
        <v>0.123854510030471</v>
      </c>
    </row>
    <row r="152" customFormat="false" ht="17.15" hidden="false" customHeight="false" outlineLevel="0" collapsed="false">
      <c r="A152" s="4" t="n">
        <v>6</v>
      </c>
      <c r="B152" s="4" t="s">
        <v>22</v>
      </c>
      <c r="C152" s="8" t="s">
        <v>72</v>
      </c>
      <c r="D152" s="21" t="n">
        <v>46149</v>
      </c>
      <c r="E152" s="22" t="n">
        <v>1149.86</v>
      </c>
      <c r="F152" s="21" t="n">
        <v>46150</v>
      </c>
      <c r="G152" s="22" t="n">
        <v>1124.95</v>
      </c>
      <c r="H152" s="22" t="n">
        <v>1034.87</v>
      </c>
      <c r="I152" s="21" t="n">
        <v>46157</v>
      </c>
      <c r="J152" s="22" t="n">
        <v>1162.39</v>
      </c>
      <c r="K152" s="21" t="n">
        <v>46160</v>
      </c>
      <c r="L152" s="22" t="n">
        <v>1154.84</v>
      </c>
      <c r="M152" s="8" t="s">
        <v>73</v>
      </c>
      <c r="N152" s="4" t="n">
        <v>6</v>
      </c>
      <c r="O152" s="6" t="n">
        <f aca="false">IF(C152="롱",(J152-E152)/E152,(E152-J152)/E152)</f>
        <v>0.0108969787626321</v>
      </c>
    </row>
    <row r="153" customFormat="false" ht="17.15" hidden="false" customHeight="false" outlineLevel="0" collapsed="false">
      <c r="A153" s="4" t="n">
        <v>6</v>
      </c>
      <c r="B153" s="4" t="s">
        <v>22</v>
      </c>
      <c r="C153" s="8" t="s">
        <v>72</v>
      </c>
      <c r="D153" s="21" t="n">
        <v>46168</v>
      </c>
      <c r="E153" s="22" t="n">
        <v>1260.53</v>
      </c>
      <c r="F153" s="21" t="n">
        <v>46169</v>
      </c>
      <c r="G153" s="22" t="n">
        <v>1296.31</v>
      </c>
      <c r="H153" s="22" t="n">
        <v>1134.48</v>
      </c>
      <c r="I153" s="21" t="n">
        <v>46178</v>
      </c>
      <c r="J153" s="22" t="n">
        <v>1297.02</v>
      </c>
      <c r="K153" s="21" t="n">
        <v>46181</v>
      </c>
      <c r="L153" s="22" t="n">
        <v>1282.81</v>
      </c>
      <c r="M153" s="8" t="s">
        <v>73</v>
      </c>
      <c r="N153" s="4" t="n">
        <v>7</v>
      </c>
      <c r="O153" s="6" t="n">
        <f aca="false">IF(C153="롱",(J153-E153)/E153,(E153-J153)/E153)</f>
        <v>0.0289481408613837</v>
      </c>
    </row>
    <row r="154" customFormat="false" ht="17.15" hidden="false" customHeight="false" outlineLevel="0" collapsed="false">
      <c r="A154" s="4" t="n">
        <v>6</v>
      </c>
      <c r="B154" s="4" t="s">
        <v>22</v>
      </c>
      <c r="C154" s="8" t="s">
        <v>72</v>
      </c>
      <c r="D154" s="21" t="n">
        <v>46191</v>
      </c>
      <c r="E154" s="22" t="n">
        <v>1459.23</v>
      </c>
      <c r="F154" s="21" t="n">
        <v>46192</v>
      </c>
      <c r="G154" s="22" t="n">
        <v>1499.31</v>
      </c>
      <c r="H154" s="22" t="n">
        <v>1313.31</v>
      </c>
      <c r="I154" s="21" t="n">
        <v>46196</v>
      </c>
      <c r="J154" s="22" t="n">
        <v>1321.7</v>
      </c>
      <c r="K154" s="21" t="n">
        <v>46197</v>
      </c>
      <c r="L154" s="22" t="n">
        <v>1348.99</v>
      </c>
      <c r="M154" s="8" t="s">
        <v>73</v>
      </c>
      <c r="N154" s="4" t="n">
        <v>3</v>
      </c>
      <c r="O154" s="6" t="n">
        <f aca="false">IF(C154="롱",(J154-E154)/E154,(E154-J154)/E154)</f>
        <v>-0.0942483364514161</v>
      </c>
    </row>
  </sheetData>
  <autoFilter ref="A4:O15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10" min="9" style="0" width="14"/>
    <col collapsed="false" customWidth="true" hidden="false" outlineLevel="0" max="11" min="11" style="0" width="16"/>
    <col collapsed="false" customWidth="true" hidden="false" outlineLevel="0" max="12" min="12" style="0" width="12"/>
    <col collapsed="false" customWidth="true" hidden="false" outlineLevel="0" max="13" min="13" style="0" width="16"/>
    <col collapsed="false" customWidth="true" hidden="false" outlineLevel="0" max="14" min="14" style="0" width="7"/>
    <col collapsed="false" customWidth="true" hidden="false" outlineLevel="0" max="15" min="15" style="0" width="16"/>
  </cols>
  <sheetData>
    <row r="1" customFormat="false" ht="19.4" hidden="false" customHeight="false" outlineLevel="0" collapsed="false">
      <c r="A1" s="1" t="s">
        <v>84</v>
      </c>
    </row>
    <row r="2" customFormat="false" ht="15" hidden="false" customHeight="false" outlineLevel="0" collapsed="false">
      <c r="A2" s="2" t="s">
        <v>58</v>
      </c>
    </row>
    <row r="4" customFormat="false" ht="31.5" hidden="false" customHeight="true" outlineLevel="0" collapsed="false">
      <c r="A4" s="19" t="s">
        <v>2</v>
      </c>
      <c r="B4" s="19" t="s">
        <v>3</v>
      </c>
      <c r="C4" s="19" t="s">
        <v>59</v>
      </c>
      <c r="D4" s="19" t="s">
        <v>60</v>
      </c>
      <c r="E4" s="19" t="s">
        <v>61</v>
      </c>
      <c r="F4" s="20" t="s">
        <v>62</v>
      </c>
      <c r="G4" s="19" t="s">
        <v>63</v>
      </c>
      <c r="H4" s="19" t="s">
        <v>64</v>
      </c>
      <c r="I4" s="19" t="s">
        <v>65</v>
      </c>
      <c r="J4" s="19" t="s">
        <v>66</v>
      </c>
      <c r="K4" s="20" t="s">
        <v>67</v>
      </c>
      <c r="L4" s="19" t="s">
        <v>68</v>
      </c>
      <c r="M4" s="19" t="s">
        <v>69</v>
      </c>
      <c r="N4" s="19" t="s">
        <v>70</v>
      </c>
      <c r="O4" s="19" t="s">
        <v>71</v>
      </c>
    </row>
    <row r="5" customFormat="false" ht="17.15" hidden="false" customHeight="false" outlineLevel="0" collapsed="false">
      <c r="A5" s="4" t="n">
        <v>7</v>
      </c>
      <c r="B5" s="4" t="s">
        <v>24</v>
      </c>
      <c r="C5" s="8" t="s">
        <v>72</v>
      </c>
      <c r="D5" s="21" t="n">
        <v>37407</v>
      </c>
      <c r="E5" s="22" t="n">
        <v>100.8</v>
      </c>
      <c r="F5" s="21" t="n">
        <v>37410</v>
      </c>
      <c r="G5" s="22" t="n">
        <v>100.54</v>
      </c>
      <c r="H5" s="22" t="n">
        <v>90.72</v>
      </c>
      <c r="I5" s="21" t="n">
        <v>37414</v>
      </c>
      <c r="J5" s="22" t="n">
        <v>100.37</v>
      </c>
      <c r="K5" s="21" t="n">
        <v>37417</v>
      </c>
      <c r="L5" s="22" t="n">
        <v>101.38</v>
      </c>
      <c r="M5" s="8" t="s">
        <v>73</v>
      </c>
      <c r="N5" s="4" t="n">
        <v>4</v>
      </c>
      <c r="O5" s="6" t="n">
        <f aca="false">IF(C5="롱",(J5-E5)/E5,(E5-J5)/E5)</f>
        <v>-0.00426587301587294</v>
      </c>
    </row>
    <row r="6" customFormat="false" ht="17.15" hidden="false" customHeight="false" outlineLevel="0" collapsed="false">
      <c r="A6" s="4" t="n">
        <v>7</v>
      </c>
      <c r="B6" s="4" t="s">
        <v>24</v>
      </c>
      <c r="C6" s="8" t="s">
        <v>72</v>
      </c>
      <c r="D6" s="21" t="n">
        <v>37433</v>
      </c>
      <c r="E6" s="22" t="n">
        <v>88.61</v>
      </c>
      <c r="F6" s="21" t="n">
        <v>37434</v>
      </c>
      <c r="G6" s="22" t="n">
        <v>90.74</v>
      </c>
      <c r="H6" s="22" t="n">
        <v>79.75</v>
      </c>
      <c r="I6" s="21" t="n">
        <v>37442</v>
      </c>
      <c r="J6" s="22" t="n">
        <v>99.34</v>
      </c>
      <c r="K6" s="21" t="n">
        <v>37445</v>
      </c>
      <c r="L6" s="22" t="n">
        <v>101.78</v>
      </c>
      <c r="M6" s="8" t="s">
        <v>73</v>
      </c>
      <c r="N6" s="4" t="n">
        <v>6</v>
      </c>
      <c r="O6" s="6" t="n">
        <f aca="false">IF(C6="롱",(J6-E6)/E6,(E6-J6)/E6)</f>
        <v>0.121092427491254</v>
      </c>
    </row>
    <row r="7" customFormat="false" ht="17.15" hidden="false" customHeight="false" outlineLevel="0" collapsed="false">
      <c r="A7" s="4" t="n">
        <v>7</v>
      </c>
      <c r="B7" s="4" t="s">
        <v>24</v>
      </c>
      <c r="C7" s="8" t="s">
        <v>72</v>
      </c>
      <c r="D7" s="21" t="n">
        <v>37495</v>
      </c>
      <c r="E7" s="22" t="n">
        <v>90.92</v>
      </c>
      <c r="F7" s="21" t="n">
        <v>37496</v>
      </c>
      <c r="G7" s="22" t="n">
        <v>90.16</v>
      </c>
      <c r="H7" s="22" t="n">
        <v>81.83</v>
      </c>
      <c r="I7" s="21" t="n">
        <v>37524</v>
      </c>
      <c r="J7" s="22" t="n">
        <v>82.6</v>
      </c>
      <c r="K7" s="21" t="n">
        <v>37525</v>
      </c>
      <c r="L7" s="22" t="n">
        <v>84.55</v>
      </c>
      <c r="M7" s="8" t="s">
        <v>73</v>
      </c>
      <c r="N7" s="4" t="n">
        <v>20</v>
      </c>
      <c r="O7" s="6" t="n">
        <f aca="false">IF(C7="롱",(J7-E7)/E7,(E7-J7)/E7)</f>
        <v>-0.09150901891773</v>
      </c>
    </row>
    <row r="8" customFormat="false" ht="17.15" hidden="false" customHeight="false" outlineLevel="0" collapsed="false">
      <c r="A8" s="4" t="n">
        <v>7</v>
      </c>
      <c r="B8" s="4" t="s">
        <v>24</v>
      </c>
      <c r="C8" s="8" t="s">
        <v>72</v>
      </c>
      <c r="D8" s="21" t="n">
        <v>38334</v>
      </c>
      <c r="E8" s="22" t="n">
        <v>108.36</v>
      </c>
      <c r="F8" s="21" t="n">
        <v>38335</v>
      </c>
      <c r="G8" s="22" t="n">
        <v>108.63</v>
      </c>
      <c r="H8" s="22" t="n">
        <v>97.87</v>
      </c>
      <c r="I8" s="21" t="n">
        <v>38342</v>
      </c>
      <c r="J8" s="22" t="n">
        <v>113.51</v>
      </c>
      <c r="K8" s="21" t="n">
        <v>38343</v>
      </c>
      <c r="L8" s="22" t="n">
        <v>114.28</v>
      </c>
      <c r="M8" s="8" t="s">
        <v>73</v>
      </c>
      <c r="N8" s="4" t="n">
        <v>6</v>
      </c>
      <c r="O8" s="6" t="n">
        <f aca="false">IF(C8="롱",(J8-E8)/E8,(E8-J8)/E8)</f>
        <v>0.0475267626430418</v>
      </c>
    </row>
    <row r="9" customFormat="false" ht="17.15" hidden="false" customHeight="false" outlineLevel="0" collapsed="false">
      <c r="A9" s="4" t="n">
        <v>7</v>
      </c>
      <c r="B9" s="4" t="s">
        <v>24</v>
      </c>
      <c r="C9" s="8" t="s">
        <v>72</v>
      </c>
      <c r="D9" s="21" t="n">
        <v>38460</v>
      </c>
      <c r="E9" s="22" t="n">
        <v>119.76</v>
      </c>
      <c r="F9" s="21" t="n">
        <v>38461</v>
      </c>
      <c r="G9" s="22" t="n">
        <v>120.64</v>
      </c>
      <c r="H9" s="22" t="n">
        <v>109.85</v>
      </c>
      <c r="I9" s="21" t="n">
        <v>38470</v>
      </c>
      <c r="J9" s="22" t="n">
        <v>118.36</v>
      </c>
      <c r="K9" s="21" t="n">
        <v>38471</v>
      </c>
      <c r="L9" s="22" t="n">
        <v>117.06</v>
      </c>
      <c r="M9" s="8" t="s">
        <v>73</v>
      </c>
      <c r="N9" s="4" t="n">
        <v>8</v>
      </c>
      <c r="O9" s="6" t="n">
        <f aca="false">IF(C9="롱",(J9-E9)/E9,(E9-J9)/E9)</f>
        <v>-0.0116900467601871</v>
      </c>
    </row>
    <row r="10" customFormat="false" ht="17.15" hidden="false" customHeight="false" outlineLevel="0" collapsed="false">
      <c r="A10" s="4" t="n">
        <v>7</v>
      </c>
      <c r="B10" s="4" t="s">
        <v>24</v>
      </c>
      <c r="C10" s="8" t="s">
        <v>72</v>
      </c>
      <c r="D10" s="21" t="n">
        <v>38471</v>
      </c>
      <c r="E10" s="22" t="n">
        <v>117.58</v>
      </c>
      <c r="F10" s="21" t="n">
        <v>38474</v>
      </c>
      <c r="G10" s="22" t="n">
        <v>118.29</v>
      </c>
      <c r="H10" s="22" t="n">
        <v>107.9</v>
      </c>
      <c r="I10" s="21" t="n">
        <v>38491</v>
      </c>
      <c r="J10" s="22" t="n">
        <v>123.04</v>
      </c>
      <c r="K10" s="21" t="n">
        <v>38492</v>
      </c>
      <c r="L10" s="22" t="n">
        <v>123.35</v>
      </c>
      <c r="M10" s="8" t="s">
        <v>73</v>
      </c>
      <c r="N10" s="4" t="n">
        <v>13</v>
      </c>
      <c r="O10" s="6" t="n">
        <f aca="false">IF(C10="롱",(J10-E10)/E10,(E10-J10)/E10)</f>
        <v>0.0464364687872088</v>
      </c>
    </row>
    <row r="11" customFormat="false" ht="17.15" hidden="false" customHeight="false" outlineLevel="0" collapsed="false">
      <c r="A11" s="4" t="n">
        <v>7</v>
      </c>
      <c r="B11" s="4" t="s">
        <v>24</v>
      </c>
      <c r="C11" s="8" t="s">
        <v>72</v>
      </c>
      <c r="D11" s="21" t="n">
        <v>38785</v>
      </c>
      <c r="E11" s="22" t="n">
        <v>169.17</v>
      </c>
      <c r="F11" s="21" t="n">
        <v>38786</v>
      </c>
      <c r="G11" s="22" t="n">
        <v>169.82</v>
      </c>
      <c r="H11" s="22" t="n">
        <v>153.18</v>
      </c>
      <c r="I11" s="21" t="n">
        <v>38807</v>
      </c>
      <c r="J11" s="22" t="n">
        <v>176.21</v>
      </c>
      <c r="K11" s="21" t="n">
        <v>38810</v>
      </c>
      <c r="L11" s="22" t="n">
        <v>176.45</v>
      </c>
      <c r="M11" s="8" t="s">
        <v>73</v>
      </c>
      <c r="N11" s="4" t="n">
        <v>16</v>
      </c>
      <c r="O11" s="6" t="n">
        <f aca="false">IF(C11="롱",(J11-E11)/E11,(E11-J11)/E11)</f>
        <v>0.0416149435479105</v>
      </c>
    </row>
    <row r="12" customFormat="false" ht="17.15" hidden="false" customHeight="false" outlineLevel="0" collapsed="false">
      <c r="A12" s="4" t="n">
        <v>7</v>
      </c>
      <c r="B12" s="4" t="s">
        <v>24</v>
      </c>
      <c r="C12" s="8" t="s">
        <v>72</v>
      </c>
      <c r="D12" s="21" t="n">
        <v>38819</v>
      </c>
      <c r="E12" s="22" t="n">
        <v>179.13</v>
      </c>
      <c r="F12" s="21" t="n">
        <v>38820</v>
      </c>
      <c r="G12" s="22" t="n">
        <v>179.11</v>
      </c>
      <c r="H12" s="22" t="n">
        <v>166.76</v>
      </c>
      <c r="I12" s="21" t="n">
        <v>38821</v>
      </c>
      <c r="J12" s="22" t="n">
        <v>185.67</v>
      </c>
      <c r="K12" s="21" t="n">
        <v>38824</v>
      </c>
      <c r="L12" s="22" t="n">
        <v>185.95</v>
      </c>
      <c r="M12" s="8" t="s">
        <v>73</v>
      </c>
      <c r="N12" s="4" t="n">
        <v>2</v>
      </c>
      <c r="O12" s="6" t="n">
        <f aca="false">IF(C12="롱",(J12-E12)/E12,(E12-J12)/E12)</f>
        <v>0.036509797353877</v>
      </c>
    </row>
    <row r="13" customFormat="false" ht="17.15" hidden="false" customHeight="false" outlineLevel="0" collapsed="false">
      <c r="A13" s="4" t="n">
        <v>7</v>
      </c>
      <c r="B13" s="4" t="s">
        <v>24</v>
      </c>
      <c r="C13" s="8" t="s">
        <v>72</v>
      </c>
      <c r="D13" s="21" t="n">
        <v>38903</v>
      </c>
      <c r="E13" s="22" t="n">
        <v>165.51</v>
      </c>
      <c r="F13" s="21" t="n">
        <v>38904</v>
      </c>
      <c r="G13" s="22" t="n">
        <v>164.3</v>
      </c>
      <c r="H13" s="22" t="n">
        <v>148.96</v>
      </c>
      <c r="I13" s="21" t="n">
        <v>38946</v>
      </c>
      <c r="J13" s="22" t="n">
        <v>172.65</v>
      </c>
      <c r="K13" s="21" t="n">
        <v>38947</v>
      </c>
      <c r="L13" s="22" t="n">
        <v>172.94</v>
      </c>
      <c r="M13" s="8" t="s">
        <v>73</v>
      </c>
      <c r="N13" s="4" t="n">
        <v>29</v>
      </c>
      <c r="O13" s="6" t="n">
        <f aca="false">IF(C13="롱",(J13-E13)/E13,(E13-J13)/E13)</f>
        <v>0.0431393873481966</v>
      </c>
    </row>
    <row r="14" customFormat="false" ht="17.15" hidden="false" customHeight="false" outlineLevel="0" collapsed="false">
      <c r="A14" s="4" t="n">
        <v>7</v>
      </c>
      <c r="B14" s="4" t="s">
        <v>24</v>
      </c>
      <c r="C14" s="8" t="s">
        <v>72</v>
      </c>
      <c r="D14" s="21" t="n">
        <v>39111</v>
      </c>
      <c r="E14" s="22" t="n">
        <v>176.41</v>
      </c>
      <c r="F14" s="21" t="n">
        <v>39112</v>
      </c>
      <c r="G14" s="22" t="n">
        <v>176.7</v>
      </c>
      <c r="H14" s="22" t="n">
        <v>163.73</v>
      </c>
      <c r="I14" s="21" t="n">
        <v>39115</v>
      </c>
      <c r="J14" s="22" t="n">
        <v>183.2</v>
      </c>
      <c r="K14" s="21" t="n">
        <v>39118</v>
      </c>
      <c r="L14" s="22" t="n">
        <v>183.21</v>
      </c>
      <c r="M14" s="8" t="s">
        <v>73</v>
      </c>
      <c r="N14" s="4" t="n">
        <v>4</v>
      </c>
      <c r="O14" s="6" t="n">
        <f aca="false">IF(C14="롱",(J14-E14)/E14,(E14-J14)/E14)</f>
        <v>0.0384898815259905</v>
      </c>
    </row>
    <row r="15" customFormat="false" ht="17.15" hidden="false" customHeight="false" outlineLevel="0" collapsed="false">
      <c r="A15" s="4" t="n">
        <v>7</v>
      </c>
      <c r="B15" s="4" t="s">
        <v>24</v>
      </c>
      <c r="C15" s="8" t="s">
        <v>72</v>
      </c>
      <c r="D15" s="21" t="n">
        <v>39141</v>
      </c>
      <c r="E15" s="22" t="n">
        <v>183.2</v>
      </c>
      <c r="F15" s="21" t="n">
        <v>39143</v>
      </c>
      <c r="G15" s="22" t="n">
        <v>181.87</v>
      </c>
      <c r="H15" s="22" t="n">
        <v>171.06</v>
      </c>
      <c r="I15" s="21" t="n">
        <v>39176</v>
      </c>
      <c r="J15" s="22" t="n">
        <v>191.77</v>
      </c>
      <c r="K15" s="21" t="n">
        <v>39177</v>
      </c>
      <c r="L15" s="22" t="n">
        <v>192</v>
      </c>
      <c r="M15" s="8" t="s">
        <v>73</v>
      </c>
      <c r="N15" s="4" t="n">
        <v>24</v>
      </c>
      <c r="O15" s="6" t="n">
        <f aca="false">IF(C15="롱",(J15-E15)/E15,(E15-J15)/E15)</f>
        <v>0.0467794759825329</v>
      </c>
    </row>
    <row r="16" customFormat="false" ht="17.15" hidden="false" customHeight="false" outlineLevel="0" collapsed="false">
      <c r="A16" s="4" t="n">
        <v>7</v>
      </c>
      <c r="B16" s="4" t="s">
        <v>24</v>
      </c>
      <c r="C16" s="8" t="s">
        <v>72</v>
      </c>
      <c r="D16" s="21" t="n">
        <v>39311</v>
      </c>
      <c r="E16" s="22" t="n">
        <v>208.57</v>
      </c>
      <c r="F16" s="21" t="n">
        <v>39314</v>
      </c>
      <c r="G16" s="22" t="n">
        <v>216.42</v>
      </c>
      <c r="H16" s="22" t="n">
        <v>187.71</v>
      </c>
      <c r="I16" s="21" t="n">
        <v>39324</v>
      </c>
      <c r="J16" s="22" t="n">
        <v>234.22</v>
      </c>
      <c r="K16" s="21" t="n">
        <v>39325</v>
      </c>
      <c r="L16" s="22" t="n">
        <v>234.38</v>
      </c>
      <c r="M16" s="8" t="s">
        <v>73</v>
      </c>
      <c r="N16" s="4" t="n">
        <v>9</v>
      </c>
      <c r="O16" s="6" t="n">
        <f aca="false">IF(C16="롱",(J16-E16)/E16,(E16-J16)/E16)</f>
        <v>0.122980294385578</v>
      </c>
    </row>
    <row r="17" customFormat="false" ht="17.15" hidden="false" customHeight="false" outlineLevel="0" collapsed="false">
      <c r="A17" s="4" t="n">
        <v>7</v>
      </c>
      <c r="B17" s="4" t="s">
        <v>24</v>
      </c>
      <c r="C17" s="8" t="s">
        <v>72</v>
      </c>
      <c r="D17" s="21" t="n">
        <v>39409</v>
      </c>
      <c r="E17" s="22" t="n">
        <v>225.54</v>
      </c>
      <c r="F17" s="21" t="n">
        <v>39412</v>
      </c>
      <c r="G17" s="22" t="n">
        <v>229.43</v>
      </c>
      <c r="H17" s="22" t="n">
        <v>202.99</v>
      </c>
      <c r="I17" s="21" t="n">
        <v>39421</v>
      </c>
      <c r="J17" s="22" t="n">
        <v>247.03</v>
      </c>
      <c r="K17" s="21" t="n">
        <v>39422</v>
      </c>
      <c r="L17" s="22" t="n">
        <v>250.8</v>
      </c>
      <c r="M17" s="8" t="s">
        <v>73</v>
      </c>
      <c r="N17" s="4" t="n">
        <v>8</v>
      </c>
      <c r="O17" s="6" t="n">
        <f aca="false">IF(C17="롱",(J17-E17)/E17,(E17-J17)/E17)</f>
        <v>0.0952824332712601</v>
      </c>
    </row>
    <row r="18" customFormat="false" ht="17.15" hidden="false" customHeight="false" outlineLevel="0" collapsed="false">
      <c r="A18" s="4" t="n">
        <v>7</v>
      </c>
      <c r="B18" s="4" t="s">
        <v>24</v>
      </c>
      <c r="C18" s="8" t="s">
        <v>72</v>
      </c>
      <c r="D18" s="21" t="n">
        <v>39444</v>
      </c>
      <c r="E18" s="22" t="n">
        <v>241.27</v>
      </c>
      <c r="F18" s="21" t="n">
        <v>39449</v>
      </c>
      <c r="G18" s="22" t="n">
        <v>240.47</v>
      </c>
      <c r="H18" s="22" t="n">
        <v>217.14</v>
      </c>
      <c r="I18" s="21" t="n">
        <v>39457</v>
      </c>
      <c r="J18" s="22" t="n">
        <v>229.47</v>
      </c>
      <c r="K18" s="21" t="n">
        <v>39458</v>
      </c>
      <c r="L18" s="22" t="n">
        <v>232.12</v>
      </c>
      <c r="M18" s="8" t="s">
        <v>73</v>
      </c>
      <c r="N18" s="4" t="n">
        <v>7</v>
      </c>
      <c r="O18" s="6" t="n">
        <f aca="false">IF(C18="롱",(J18-E18)/E18,(E18-J18)/E18)</f>
        <v>-0.0489078625606168</v>
      </c>
    </row>
    <row r="19" customFormat="false" ht="17.15" hidden="false" customHeight="false" outlineLevel="0" collapsed="false">
      <c r="A19" s="4" t="n">
        <v>7</v>
      </c>
      <c r="B19" s="4" t="s">
        <v>24</v>
      </c>
      <c r="C19" s="8" t="s">
        <v>72</v>
      </c>
      <c r="D19" s="21" t="n">
        <v>39461</v>
      </c>
      <c r="E19" s="22" t="n">
        <v>222.81</v>
      </c>
      <c r="F19" s="21" t="n">
        <v>39462</v>
      </c>
      <c r="G19" s="22" t="n">
        <v>224.78</v>
      </c>
      <c r="H19" s="22" t="n">
        <v>200.53</v>
      </c>
      <c r="I19" s="21" t="n">
        <v>39462</v>
      </c>
      <c r="J19" s="22" t="n">
        <v>220.91</v>
      </c>
      <c r="K19" s="21" t="n">
        <v>39463</v>
      </c>
      <c r="L19" s="22" t="n">
        <v>216.9</v>
      </c>
      <c r="M19" s="8" t="s">
        <v>73</v>
      </c>
      <c r="N19" s="4" t="n">
        <v>1</v>
      </c>
      <c r="O19" s="6" t="n">
        <f aca="false">IF(C19="롱",(J19-E19)/E19,(E19-J19)/E19)</f>
        <v>-0.00852744490821779</v>
      </c>
    </row>
    <row r="20" customFormat="false" ht="17.15" hidden="false" customHeight="false" outlineLevel="0" collapsed="false">
      <c r="A20" s="4" t="n">
        <v>7</v>
      </c>
      <c r="B20" s="4" t="s">
        <v>24</v>
      </c>
      <c r="C20" s="8" t="s">
        <v>72</v>
      </c>
      <c r="D20" s="21" t="n">
        <v>40119</v>
      </c>
      <c r="E20" s="22" t="n">
        <v>204.25</v>
      </c>
      <c r="F20" s="21" t="n">
        <v>40120</v>
      </c>
      <c r="G20" s="22" t="n">
        <v>204.49</v>
      </c>
      <c r="H20" s="22" t="n">
        <v>183.82</v>
      </c>
      <c r="I20" s="21" t="n">
        <v>40135</v>
      </c>
      <c r="J20" s="22" t="n">
        <v>211.56</v>
      </c>
      <c r="K20" s="21" t="n">
        <v>40136</v>
      </c>
      <c r="L20" s="22" t="n">
        <v>212.28</v>
      </c>
      <c r="M20" s="8" t="s">
        <v>73</v>
      </c>
      <c r="N20" s="4" t="n">
        <v>12</v>
      </c>
      <c r="O20" s="6" t="n">
        <f aca="false">IF(C20="롱",(J20-E20)/E20,(E20-J20)/E20)</f>
        <v>0.0357894736842105</v>
      </c>
    </row>
    <row r="21" customFormat="false" ht="17.15" hidden="false" customHeight="false" outlineLevel="0" collapsed="false">
      <c r="A21" s="4" t="n">
        <v>7</v>
      </c>
      <c r="B21" s="4" t="s">
        <v>24</v>
      </c>
      <c r="C21" s="8" t="s">
        <v>72</v>
      </c>
      <c r="D21" s="21" t="n">
        <v>40165</v>
      </c>
      <c r="E21" s="22" t="n">
        <v>216.68</v>
      </c>
      <c r="F21" s="21" t="n">
        <v>40168</v>
      </c>
      <c r="G21" s="22" t="n">
        <v>216.47</v>
      </c>
      <c r="H21" s="22" t="n">
        <v>198.91</v>
      </c>
      <c r="I21" s="21" t="n">
        <v>40171</v>
      </c>
      <c r="J21" s="22" t="n">
        <v>221.67</v>
      </c>
      <c r="K21" s="21" t="n">
        <v>40175</v>
      </c>
      <c r="L21" s="22" t="n">
        <v>223.04</v>
      </c>
      <c r="M21" s="8" t="s">
        <v>73</v>
      </c>
      <c r="N21" s="4" t="n">
        <v>4</v>
      </c>
      <c r="O21" s="6" t="n">
        <f aca="false">IF(C21="롱",(J21-E21)/E21,(E21-J21)/E21)</f>
        <v>0.0230293520398744</v>
      </c>
    </row>
    <row r="22" customFormat="false" ht="17.15" hidden="false" customHeight="false" outlineLevel="0" collapsed="false">
      <c r="A22" s="4" t="n">
        <v>7</v>
      </c>
      <c r="B22" s="4" t="s">
        <v>24</v>
      </c>
      <c r="C22" s="8" t="s">
        <v>72</v>
      </c>
      <c r="D22" s="21" t="n">
        <v>40217</v>
      </c>
      <c r="E22" s="22" t="n">
        <v>203.37</v>
      </c>
      <c r="F22" s="21" t="n">
        <v>40218</v>
      </c>
      <c r="G22" s="22" t="n">
        <v>203.17</v>
      </c>
      <c r="H22" s="22" t="n">
        <v>184.21</v>
      </c>
      <c r="I22" s="21" t="n">
        <v>40226</v>
      </c>
      <c r="J22" s="22" t="n">
        <v>213.44</v>
      </c>
      <c r="K22" s="21" t="n">
        <v>40227</v>
      </c>
      <c r="L22" s="22" t="n">
        <v>213.81</v>
      </c>
      <c r="M22" s="8" t="s">
        <v>73</v>
      </c>
      <c r="N22" s="4" t="n">
        <v>6</v>
      </c>
      <c r="O22" s="6" t="n">
        <f aca="false">IF(C22="롱",(J22-E22)/E22,(E22-J22)/E22)</f>
        <v>0.0495156611102916</v>
      </c>
    </row>
    <row r="23" customFormat="false" ht="17.15" hidden="false" customHeight="false" outlineLevel="0" collapsed="false">
      <c r="A23" s="4" t="n">
        <v>7</v>
      </c>
      <c r="B23" s="4" t="s">
        <v>24</v>
      </c>
      <c r="C23" s="8" t="s">
        <v>72</v>
      </c>
      <c r="D23" s="21" t="n">
        <v>40317</v>
      </c>
      <c r="E23" s="22" t="n">
        <v>212.43</v>
      </c>
      <c r="F23" s="21" t="n">
        <v>40318</v>
      </c>
      <c r="G23" s="22" t="n">
        <v>211.55</v>
      </c>
      <c r="H23" s="22" t="n">
        <v>191.78</v>
      </c>
      <c r="I23" s="21" t="n">
        <v>40318</v>
      </c>
      <c r="J23" s="22" t="n">
        <v>208.78</v>
      </c>
      <c r="K23" s="21" t="n">
        <v>40322</v>
      </c>
      <c r="L23" s="22" t="n">
        <v>207.5</v>
      </c>
      <c r="M23" s="8" t="s">
        <v>73</v>
      </c>
      <c r="N23" s="4" t="n">
        <v>1</v>
      </c>
      <c r="O23" s="6" t="n">
        <f aca="false">IF(C23="롱",(J23-E23)/E23,(E23-J23)/E23)</f>
        <v>-0.0171821305841925</v>
      </c>
    </row>
    <row r="24" customFormat="false" ht="17.15" hidden="false" customHeight="false" outlineLevel="0" collapsed="false">
      <c r="A24" s="4" t="n">
        <v>7</v>
      </c>
      <c r="B24" s="4" t="s">
        <v>24</v>
      </c>
      <c r="C24" s="8" t="s">
        <v>72</v>
      </c>
      <c r="D24" s="21" t="n">
        <v>40358</v>
      </c>
      <c r="E24" s="22" t="n">
        <v>222.54</v>
      </c>
      <c r="F24" s="21" t="n">
        <v>40359</v>
      </c>
      <c r="G24" s="22" t="n">
        <v>218.7</v>
      </c>
      <c r="H24" s="22" t="n">
        <v>207.67</v>
      </c>
      <c r="I24" s="21" t="n">
        <v>40373</v>
      </c>
      <c r="J24" s="22" t="n">
        <v>229.27</v>
      </c>
      <c r="K24" s="21" t="n">
        <v>40374</v>
      </c>
      <c r="L24" s="22" t="n">
        <v>228.75</v>
      </c>
      <c r="M24" s="8" t="s">
        <v>73</v>
      </c>
      <c r="N24" s="4" t="n">
        <v>11</v>
      </c>
      <c r="O24" s="6" t="n">
        <f aca="false">IF(C24="롱",(J24-E24)/E24,(E24-J24)/E24)</f>
        <v>0.0302417542913634</v>
      </c>
    </row>
    <row r="25" customFormat="false" ht="17.15" hidden="false" customHeight="false" outlineLevel="0" collapsed="false">
      <c r="A25" s="4" t="n">
        <v>7</v>
      </c>
      <c r="B25" s="4" t="s">
        <v>24</v>
      </c>
      <c r="C25" s="8" t="s">
        <v>72</v>
      </c>
      <c r="D25" s="21" t="n">
        <v>40378</v>
      </c>
      <c r="E25" s="22" t="n">
        <v>225.32</v>
      </c>
      <c r="F25" s="21" t="n">
        <v>40379</v>
      </c>
      <c r="G25" s="22" t="n">
        <v>224.47</v>
      </c>
      <c r="H25" s="22" t="n">
        <v>210.14</v>
      </c>
      <c r="I25" s="21" t="n">
        <v>40385</v>
      </c>
      <c r="J25" s="22" t="n">
        <v>230.87</v>
      </c>
      <c r="K25" s="21" t="n">
        <v>40386</v>
      </c>
      <c r="L25" s="22" t="n">
        <v>231.66</v>
      </c>
      <c r="M25" s="8" t="s">
        <v>73</v>
      </c>
      <c r="N25" s="4" t="n">
        <v>5</v>
      </c>
      <c r="O25" s="6" t="n">
        <f aca="false">IF(C25="롱",(J25-E25)/E25,(E25-J25)/E25)</f>
        <v>0.0246316350079887</v>
      </c>
    </row>
    <row r="26" customFormat="false" ht="17.15" hidden="false" customHeight="false" outlineLevel="0" collapsed="false">
      <c r="A26" s="4" t="n">
        <v>7</v>
      </c>
      <c r="B26" s="4" t="s">
        <v>24</v>
      </c>
      <c r="C26" s="8" t="s">
        <v>72</v>
      </c>
      <c r="D26" s="21" t="n">
        <v>40714</v>
      </c>
      <c r="E26" s="22" t="n">
        <v>264.39</v>
      </c>
      <c r="F26" s="21" t="n">
        <v>40715</v>
      </c>
      <c r="G26" s="22" t="n">
        <v>267.27</v>
      </c>
      <c r="H26" s="22" t="n">
        <v>238.56</v>
      </c>
      <c r="I26" s="21" t="n">
        <v>40725</v>
      </c>
      <c r="J26" s="22" t="n">
        <v>278.77</v>
      </c>
      <c r="K26" s="21" t="n">
        <v>40728</v>
      </c>
      <c r="L26" s="22" t="n">
        <v>281.28</v>
      </c>
      <c r="M26" s="8" t="s">
        <v>73</v>
      </c>
      <c r="N26" s="4" t="n">
        <v>9</v>
      </c>
      <c r="O26" s="6" t="n">
        <f aca="false">IF(C26="롱",(J26-E26)/E26,(E26-J26)/E26)</f>
        <v>0.0543893490676652</v>
      </c>
    </row>
    <row r="27" customFormat="false" ht="17.15" hidden="false" customHeight="false" outlineLevel="0" collapsed="false">
      <c r="A27" s="4" t="n">
        <v>7</v>
      </c>
      <c r="B27" s="4" t="s">
        <v>24</v>
      </c>
      <c r="C27" s="8" t="s">
        <v>72</v>
      </c>
      <c r="D27" s="21" t="n">
        <v>40736</v>
      </c>
      <c r="E27" s="22" t="n">
        <v>275.9</v>
      </c>
      <c r="F27" s="21" t="n">
        <v>40737</v>
      </c>
      <c r="G27" s="22" t="n">
        <v>276.83</v>
      </c>
      <c r="H27" s="22" t="n">
        <v>254.84</v>
      </c>
      <c r="I27" s="21" t="n">
        <v>40759</v>
      </c>
      <c r="J27" s="22" t="n">
        <v>261.54</v>
      </c>
      <c r="K27" s="21" t="n">
        <v>40760</v>
      </c>
      <c r="L27" s="22" t="n">
        <v>251.09</v>
      </c>
      <c r="M27" s="8" t="s">
        <v>73</v>
      </c>
      <c r="N27" s="4" t="n">
        <v>17</v>
      </c>
      <c r="O27" s="6" t="n">
        <f aca="false">IF(C27="롱",(J27-E27)/E27,(E27-J27)/E27)</f>
        <v>-0.0520478434215294</v>
      </c>
    </row>
    <row r="28" customFormat="false" ht="17.15" hidden="false" customHeight="false" outlineLevel="0" collapsed="false">
      <c r="A28" s="4" t="n">
        <v>7</v>
      </c>
      <c r="B28" s="4" t="s">
        <v>24</v>
      </c>
      <c r="C28" s="8" t="s">
        <v>72</v>
      </c>
      <c r="D28" s="21" t="n">
        <v>41036</v>
      </c>
      <c r="E28" s="22" t="n">
        <v>259.73</v>
      </c>
      <c r="F28" s="21" t="n">
        <v>41037</v>
      </c>
      <c r="G28" s="22" t="n">
        <v>261.28</v>
      </c>
      <c r="H28" s="22" t="n">
        <v>244.68</v>
      </c>
      <c r="I28" s="21" t="n">
        <v>41038</v>
      </c>
      <c r="J28" s="22" t="n">
        <v>258.79</v>
      </c>
      <c r="K28" s="21" t="n">
        <v>41039</v>
      </c>
      <c r="L28" s="22" t="n">
        <v>258</v>
      </c>
      <c r="M28" s="8" t="s">
        <v>73</v>
      </c>
      <c r="N28" s="4" t="n">
        <v>2</v>
      </c>
      <c r="O28" s="6" t="n">
        <f aca="false">IF(C28="롱",(J28-E28)/E28,(E28-J28)/E28)</f>
        <v>-0.00361914295614676</v>
      </c>
    </row>
    <row r="29" customFormat="false" ht="17.15" hidden="false" customHeight="false" outlineLevel="0" collapsed="false">
      <c r="A29" s="4" t="n">
        <v>7</v>
      </c>
      <c r="B29" s="4" t="s">
        <v>24</v>
      </c>
      <c r="C29" s="8" t="s">
        <v>72</v>
      </c>
      <c r="D29" s="21" t="n">
        <v>41355</v>
      </c>
      <c r="E29" s="22" t="n">
        <v>255.33</v>
      </c>
      <c r="F29" s="21" t="n">
        <v>41358</v>
      </c>
      <c r="G29" s="22" t="n">
        <v>258.18</v>
      </c>
      <c r="H29" s="22" t="n">
        <v>241.52</v>
      </c>
      <c r="I29" s="21" t="n">
        <v>41369</v>
      </c>
      <c r="J29" s="22" t="n">
        <v>252.77</v>
      </c>
      <c r="K29" s="21" t="n">
        <v>41372</v>
      </c>
      <c r="L29" s="22" t="n">
        <v>252.85</v>
      </c>
      <c r="M29" s="8" t="s">
        <v>73</v>
      </c>
      <c r="N29" s="4" t="n">
        <v>10</v>
      </c>
      <c r="O29" s="6" t="n">
        <f aca="false">IF(C29="롱",(J29-E29)/E29,(E29-J29)/E29)</f>
        <v>-0.0100262405514432</v>
      </c>
    </row>
    <row r="30" customFormat="false" ht="17.15" hidden="false" customHeight="false" outlineLevel="0" collapsed="false">
      <c r="A30" s="4" t="n">
        <v>7</v>
      </c>
      <c r="B30" s="4" t="s">
        <v>24</v>
      </c>
      <c r="C30" s="8" t="s">
        <v>72</v>
      </c>
      <c r="D30" s="21" t="n">
        <v>41620</v>
      </c>
      <c r="E30" s="22" t="n">
        <v>259.05</v>
      </c>
      <c r="F30" s="21" t="n">
        <v>41621</v>
      </c>
      <c r="G30" s="22" t="n">
        <v>258.29</v>
      </c>
      <c r="H30" s="22" t="n">
        <v>243.42</v>
      </c>
      <c r="I30" s="21" t="n">
        <v>41641</v>
      </c>
      <c r="J30" s="22" t="n">
        <v>257.64</v>
      </c>
      <c r="K30" s="21" t="n">
        <v>41642</v>
      </c>
      <c r="L30" s="22" t="n">
        <v>257.05</v>
      </c>
      <c r="M30" s="8" t="s">
        <v>73</v>
      </c>
      <c r="N30" s="4" t="n">
        <v>13</v>
      </c>
      <c r="O30" s="6" t="n">
        <f aca="false">IF(C30="롱",(J30-E30)/E30,(E30-J30)/E30)</f>
        <v>-0.00544296467863357</v>
      </c>
    </row>
    <row r="31" customFormat="false" ht="17.15" hidden="false" customHeight="false" outlineLevel="0" collapsed="false">
      <c r="A31" s="4" t="n">
        <v>7</v>
      </c>
      <c r="B31" s="4" t="s">
        <v>24</v>
      </c>
      <c r="C31" s="8" t="s">
        <v>72</v>
      </c>
      <c r="D31" s="21" t="n">
        <v>41828</v>
      </c>
      <c r="E31" s="22" t="n">
        <v>259.93</v>
      </c>
      <c r="F31" s="21" t="n">
        <v>41829</v>
      </c>
      <c r="G31" s="22" t="n">
        <v>258.6</v>
      </c>
      <c r="H31" s="22" t="n">
        <v>248.87</v>
      </c>
      <c r="I31" s="21" t="n">
        <v>41848</v>
      </c>
      <c r="J31" s="22" t="n">
        <v>265.53</v>
      </c>
      <c r="K31" s="21" t="n">
        <v>41849</v>
      </c>
      <c r="L31" s="22" t="n">
        <v>266.2</v>
      </c>
      <c r="M31" s="8" t="s">
        <v>73</v>
      </c>
      <c r="N31" s="4" t="n">
        <v>14</v>
      </c>
      <c r="O31" s="6" t="n">
        <f aca="false">IF(C31="롱",(J31-E31)/E31,(E31-J31)/E31)</f>
        <v>0.0215442619166697</v>
      </c>
    </row>
    <row r="32" customFormat="false" ht="17.15" hidden="false" customHeight="false" outlineLevel="0" collapsed="false">
      <c r="A32" s="4" t="n">
        <v>7</v>
      </c>
      <c r="B32" s="4" t="s">
        <v>24</v>
      </c>
      <c r="C32" s="8" t="s">
        <v>72</v>
      </c>
      <c r="D32" s="21" t="n">
        <v>41859</v>
      </c>
      <c r="E32" s="22" t="n">
        <v>262.02</v>
      </c>
      <c r="F32" s="21" t="n">
        <v>41862</v>
      </c>
      <c r="G32" s="22" t="n">
        <v>264.59</v>
      </c>
      <c r="H32" s="22" t="n">
        <v>250.08</v>
      </c>
      <c r="I32" s="21" t="n">
        <v>41912</v>
      </c>
      <c r="J32" s="22" t="n">
        <v>256.77</v>
      </c>
      <c r="K32" s="21" t="n">
        <v>41913</v>
      </c>
      <c r="L32" s="22" t="n">
        <v>255.78</v>
      </c>
      <c r="M32" s="8" t="s">
        <v>73</v>
      </c>
      <c r="N32" s="4" t="n">
        <v>33</v>
      </c>
      <c r="O32" s="6" t="n">
        <f aca="false">IF(C32="롱",(J32-E32)/E32,(E32-J32)/E32)</f>
        <v>-0.0200366384245477</v>
      </c>
    </row>
    <row r="33" customFormat="false" ht="17.15" hidden="false" customHeight="false" outlineLevel="0" collapsed="false">
      <c r="A33" s="4" t="n">
        <v>7</v>
      </c>
      <c r="B33" s="4" t="s">
        <v>24</v>
      </c>
      <c r="C33" s="8" t="s">
        <v>72</v>
      </c>
      <c r="D33" s="21" t="n">
        <v>42536</v>
      </c>
      <c r="E33" s="22" t="n">
        <v>243.3</v>
      </c>
      <c r="F33" s="21" t="n">
        <v>42537</v>
      </c>
      <c r="G33" s="22" t="n">
        <v>243.66</v>
      </c>
      <c r="H33" s="22" t="n">
        <v>231.67</v>
      </c>
      <c r="I33" s="21" t="n">
        <v>42564</v>
      </c>
      <c r="J33" s="22" t="n">
        <v>249.25</v>
      </c>
      <c r="K33" s="21" t="n">
        <v>42565</v>
      </c>
      <c r="L33" s="22" t="n">
        <v>248.95</v>
      </c>
      <c r="M33" s="8" t="s">
        <v>73</v>
      </c>
      <c r="N33" s="4" t="n">
        <v>20</v>
      </c>
      <c r="O33" s="6" t="n">
        <f aca="false">IF(C33="롱",(J33-E33)/E33,(E33-J33)/E33)</f>
        <v>0.0244554048499794</v>
      </c>
    </row>
    <row r="34" customFormat="false" ht="17.15" hidden="false" customHeight="false" outlineLevel="0" collapsed="false">
      <c r="A34" s="4" t="n">
        <v>7</v>
      </c>
      <c r="B34" s="4" t="s">
        <v>24</v>
      </c>
      <c r="C34" s="8" t="s">
        <v>72</v>
      </c>
      <c r="D34" s="21" t="n">
        <v>42689</v>
      </c>
      <c r="E34" s="22" t="n">
        <v>249.2</v>
      </c>
      <c r="F34" s="21" t="n">
        <v>42690</v>
      </c>
      <c r="G34" s="22" t="n">
        <v>250.93</v>
      </c>
      <c r="H34" s="22" t="n">
        <v>234.98</v>
      </c>
      <c r="I34" s="21" t="n">
        <v>42710</v>
      </c>
      <c r="J34" s="22" t="n">
        <v>255.63</v>
      </c>
      <c r="K34" s="21" t="n">
        <v>42711</v>
      </c>
      <c r="L34" s="22" t="n">
        <v>256.57</v>
      </c>
      <c r="M34" s="8" t="s">
        <v>73</v>
      </c>
      <c r="N34" s="4" t="n">
        <v>15</v>
      </c>
      <c r="O34" s="6" t="n">
        <f aca="false">IF(C34="롱",(J34-E34)/E34,(E34-J34)/E34)</f>
        <v>0.0258025682182986</v>
      </c>
    </row>
    <row r="35" customFormat="false" ht="17.15" hidden="false" customHeight="false" outlineLevel="0" collapsed="false">
      <c r="A35" s="4" t="n">
        <v>7</v>
      </c>
      <c r="B35" s="4" t="s">
        <v>24</v>
      </c>
      <c r="C35" s="8" t="s">
        <v>72</v>
      </c>
      <c r="D35" s="21" t="n">
        <v>42982</v>
      </c>
      <c r="E35" s="22" t="n">
        <v>304.19</v>
      </c>
      <c r="F35" s="21" t="n">
        <v>42983</v>
      </c>
      <c r="G35" s="22" t="n">
        <v>305.64</v>
      </c>
      <c r="H35" s="22" t="n">
        <v>288.09</v>
      </c>
      <c r="I35" s="21" t="n">
        <v>42992</v>
      </c>
      <c r="J35" s="22" t="n">
        <v>312.52</v>
      </c>
      <c r="K35" s="21" t="n">
        <v>42993</v>
      </c>
      <c r="L35" s="22" t="n">
        <v>311.19</v>
      </c>
      <c r="M35" s="8" t="s">
        <v>73</v>
      </c>
      <c r="N35" s="4" t="n">
        <v>8</v>
      </c>
      <c r="O35" s="6" t="n">
        <f aca="false">IF(C35="롱",(J35-E35)/E35,(E35-J35)/E35)</f>
        <v>0.0273842006640586</v>
      </c>
    </row>
    <row r="36" customFormat="false" ht="17.15" hidden="false" customHeight="false" outlineLevel="0" collapsed="false">
      <c r="A36" s="4" t="n">
        <v>7</v>
      </c>
      <c r="B36" s="4" t="s">
        <v>24</v>
      </c>
      <c r="C36" s="8" t="s">
        <v>72</v>
      </c>
      <c r="D36" s="21" t="n">
        <v>43111</v>
      </c>
      <c r="E36" s="22" t="n">
        <v>325.67</v>
      </c>
      <c r="F36" s="21" t="n">
        <v>43112</v>
      </c>
      <c r="G36" s="22" t="n">
        <v>327.34</v>
      </c>
      <c r="H36" s="22" t="n">
        <v>307.78</v>
      </c>
      <c r="I36" s="21" t="n">
        <v>43125</v>
      </c>
      <c r="J36" s="22" t="n">
        <v>334.08</v>
      </c>
      <c r="K36" s="21" t="n">
        <v>43126</v>
      </c>
      <c r="L36" s="22" t="n">
        <v>333.75</v>
      </c>
      <c r="M36" s="8" t="s">
        <v>73</v>
      </c>
      <c r="N36" s="4" t="n">
        <v>10</v>
      </c>
      <c r="O36" s="6" t="n">
        <f aca="false">IF(C36="롱",(J36-E36)/E36,(E36-J36)/E36)</f>
        <v>0.0258236865538735</v>
      </c>
    </row>
    <row r="37" customFormat="false" ht="17.15" hidden="false" customHeight="false" outlineLevel="0" collapsed="false">
      <c r="A37" s="4" t="n">
        <v>7</v>
      </c>
      <c r="B37" s="4" t="s">
        <v>24</v>
      </c>
      <c r="C37" s="8" t="s">
        <v>72</v>
      </c>
      <c r="D37" s="21" t="n">
        <v>43132</v>
      </c>
      <c r="E37" s="22" t="n">
        <v>333.36</v>
      </c>
      <c r="F37" s="21" t="n">
        <v>43133</v>
      </c>
      <c r="G37" s="22" t="n">
        <v>332.69</v>
      </c>
      <c r="H37" s="22" t="n">
        <v>315.14</v>
      </c>
      <c r="I37" s="21" t="n">
        <v>43136</v>
      </c>
      <c r="J37" s="22" t="n">
        <v>323.29</v>
      </c>
      <c r="K37" s="21" t="n">
        <v>43137</v>
      </c>
      <c r="L37" s="22" t="n">
        <v>316.62</v>
      </c>
      <c r="M37" s="8" t="s">
        <v>73</v>
      </c>
      <c r="N37" s="4" t="n">
        <v>2</v>
      </c>
      <c r="O37" s="6" t="n">
        <f aca="false">IF(C37="롱",(J37-E37)/E37,(E37-J37)/E37)</f>
        <v>-0.0302075833933285</v>
      </c>
    </row>
    <row r="38" customFormat="false" ht="17.15" hidden="false" customHeight="false" outlineLevel="0" collapsed="false">
      <c r="A38" s="4" t="n">
        <v>7</v>
      </c>
      <c r="B38" s="4" t="s">
        <v>24</v>
      </c>
      <c r="C38" s="8" t="s">
        <v>72</v>
      </c>
      <c r="D38" s="21" t="n">
        <v>43137</v>
      </c>
      <c r="E38" s="22" t="n">
        <v>318.01</v>
      </c>
      <c r="F38" s="21" t="n">
        <v>43138</v>
      </c>
      <c r="G38" s="22" t="n">
        <v>322.06</v>
      </c>
      <c r="H38" s="22" t="n">
        <v>296.71</v>
      </c>
      <c r="I38" s="21" t="n">
        <v>43138</v>
      </c>
      <c r="J38" s="22" t="n">
        <v>310.48</v>
      </c>
      <c r="K38" s="21" t="n">
        <v>43139</v>
      </c>
      <c r="L38" s="22" t="n">
        <v>310.84</v>
      </c>
      <c r="M38" s="8" t="s">
        <v>73</v>
      </c>
      <c r="N38" s="4" t="n">
        <v>1</v>
      </c>
      <c r="O38" s="6" t="n">
        <f aca="false">IF(C38="롱",(J38-E38)/E38,(E38-J38)/E38)</f>
        <v>-0.0236785006760793</v>
      </c>
    </row>
    <row r="39" customFormat="false" ht="17.15" hidden="false" customHeight="false" outlineLevel="0" collapsed="false">
      <c r="A39" s="4" t="n">
        <v>7</v>
      </c>
      <c r="B39" s="4" t="s">
        <v>24</v>
      </c>
      <c r="C39" s="8" t="s">
        <v>72</v>
      </c>
      <c r="D39" s="21" t="n">
        <v>43885</v>
      </c>
      <c r="E39" s="22" t="n">
        <v>281.02</v>
      </c>
      <c r="F39" s="21" t="n">
        <v>43886</v>
      </c>
      <c r="G39" s="22" t="n">
        <v>280.48</v>
      </c>
      <c r="H39" s="22" t="n">
        <v>252.92</v>
      </c>
      <c r="I39" s="21" t="n">
        <v>43888</v>
      </c>
      <c r="J39" s="22" t="n">
        <v>277.09</v>
      </c>
      <c r="K39" s="21" t="n">
        <v>43889</v>
      </c>
      <c r="L39" s="22" t="n">
        <v>272.33</v>
      </c>
      <c r="M39" s="8" t="s">
        <v>73</v>
      </c>
      <c r="N39" s="4" t="n">
        <v>3</v>
      </c>
      <c r="O39" s="6" t="n">
        <f aca="false">IF(C39="롱",(J39-E39)/E39,(E39-J39)/E39)</f>
        <v>-0.0139847697672764</v>
      </c>
    </row>
    <row r="40" customFormat="false" ht="17.15" hidden="false" customHeight="false" outlineLevel="0" collapsed="false">
      <c r="A40" s="4" t="n">
        <v>7</v>
      </c>
      <c r="B40" s="4" t="s">
        <v>24</v>
      </c>
      <c r="C40" s="8" t="s">
        <v>72</v>
      </c>
      <c r="D40" s="21" t="n">
        <v>44319</v>
      </c>
      <c r="E40" s="22" t="n">
        <v>420.36</v>
      </c>
      <c r="F40" s="21" t="n">
        <v>44320</v>
      </c>
      <c r="G40" s="22" t="n">
        <v>420.99</v>
      </c>
      <c r="H40" s="22" t="n">
        <v>397.39</v>
      </c>
      <c r="I40" s="21" t="n">
        <v>44326</v>
      </c>
      <c r="J40" s="22" t="n">
        <v>435.63</v>
      </c>
      <c r="K40" s="21" t="n">
        <v>44327</v>
      </c>
      <c r="L40" s="22" t="n">
        <v>434.14</v>
      </c>
      <c r="M40" s="8" t="s">
        <v>73</v>
      </c>
      <c r="N40" s="4" t="n">
        <v>4</v>
      </c>
      <c r="O40" s="6" t="n">
        <f aca="false">IF(C40="롱",(J40-E40)/E40,(E40-J40)/E40)</f>
        <v>0.0363260062803311</v>
      </c>
    </row>
    <row r="41" customFormat="false" ht="17.15" hidden="false" customHeight="false" outlineLevel="0" collapsed="false">
      <c r="A41" s="4" t="n">
        <v>7</v>
      </c>
      <c r="B41" s="4" t="s">
        <v>24</v>
      </c>
      <c r="C41" s="8" t="s">
        <v>72</v>
      </c>
      <c r="D41" s="21" t="n">
        <v>44329</v>
      </c>
      <c r="E41" s="22" t="n">
        <v>416.07</v>
      </c>
      <c r="F41" s="21" t="n">
        <v>44330</v>
      </c>
      <c r="G41" s="22" t="n">
        <v>417.5</v>
      </c>
      <c r="H41" s="22" t="n">
        <v>388.28</v>
      </c>
      <c r="I41" s="21" t="n">
        <v>44347</v>
      </c>
      <c r="J41" s="22" t="n">
        <v>427.91</v>
      </c>
      <c r="K41" s="21" t="n">
        <v>44348</v>
      </c>
      <c r="L41" s="22" t="n">
        <v>428.08</v>
      </c>
      <c r="M41" s="8" t="s">
        <v>73</v>
      </c>
      <c r="N41" s="4" t="n">
        <v>11</v>
      </c>
      <c r="O41" s="6" t="n">
        <f aca="false">IF(C41="롱",(J41-E41)/E41,(E41-J41)/E41)</f>
        <v>0.0284567500660947</v>
      </c>
    </row>
    <row r="42" customFormat="false" ht="17.15" hidden="false" customHeight="false" outlineLevel="0" collapsed="false">
      <c r="A42" s="4" t="n">
        <v>7</v>
      </c>
      <c r="B42" s="4" t="s">
        <v>24</v>
      </c>
      <c r="C42" s="8" t="s">
        <v>72</v>
      </c>
      <c r="D42" s="21" t="n">
        <v>44386</v>
      </c>
      <c r="E42" s="22" t="n">
        <v>427.84</v>
      </c>
      <c r="F42" s="21" t="n">
        <v>44389</v>
      </c>
      <c r="G42" s="22" t="n">
        <v>429.33</v>
      </c>
      <c r="H42" s="22" t="n">
        <v>409.4</v>
      </c>
      <c r="I42" s="21" t="n">
        <v>44407</v>
      </c>
      <c r="J42" s="22" t="n">
        <v>423.91</v>
      </c>
      <c r="K42" s="21" t="n">
        <v>44410</v>
      </c>
      <c r="L42" s="22" t="n">
        <v>426.29</v>
      </c>
      <c r="M42" s="8" t="s">
        <v>73</v>
      </c>
      <c r="N42" s="4" t="n">
        <v>15</v>
      </c>
      <c r="O42" s="6" t="n">
        <f aca="false">IF(C42="롱",(J42-E42)/E42,(E42-J42)/E42)</f>
        <v>-0.00918567688855635</v>
      </c>
    </row>
    <row r="43" customFormat="false" ht="17.15" hidden="false" customHeight="false" outlineLevel="0" collapsed="false">
      <c r="A43" s="4" t="n">
        <v>7</v>
      </c>
      <c r="B43" s="4" t="s">
        <v>24</v>
      </c>
      <c r="C43" s="8" t="s">
        <v>72</v>
      </c>
      <c r="D43" s="21" t="n">
        <v>44421</v>
      </c>
      <c r="E43" s="22" t="n">
        <v>416.06</v>
      </c>
      <c r="F43" s="21" t="n">
        <v>44425</v>
      </c>
      <c r="G43" s="22" t="n">
        <v>415.5</v>
      </c>
      <c r="H43" s="22" t="n">
        <v>392.23</v>
      </c>
      <c r="I43" s="21" t="n">
        <v>44425</v>
      </c>
      <c r="J43" s="22" t="n">
        <v>411.31</v>
      </c>
      <c r="K43" s="21" t="n">
        <v>44426</v>
      </c>
      <c r="L43" s="22" t="n">
        <v>410.92</v>
      </c>
      <c r="M43" s="8" t="s">
        <v>73</v>
      </c>
      <c r="N43" s="4" t="n">
        <v>1</v>
      </c>
      <c r="O43" s="6" t="n">
        <f aca="false">IF(C43="롱",(J43-E43)/E43,(E43-J43)/E43)</f>
        <v>-0.0114166226025093</v>
      </c>
    </row>
    <row r="44" customFormat="false" ht="17.15" hidden="false" customHeight="false" outlineLevel="0" collapsed="false">
      <c r="A44" s="4" t="n">
        <v>7</v>
      </c>
      <c r="B44" s="4" t="s">
        <v>24</v>
      </c>
      <c r="C44" s="8" t="s">
        <v>72</v>
      </c>
      <c r="D44" s="21" t="n">
        <v>44448</v>
      </c>
      <c r="E44" s="22" t="n">
        <v>407.28</v>
      </c>
      <c r="F44" s="21" t="n">
        <v>44449</v>
      </c>
      <c r="G44" s="22" t="n">
        <v>407.99</v>
      </c>
      <c r="H44" s="22" t="n">
        <v>376.37</v>
      </c>
      <c r="I44" s="21" t="n">
        <v>44470</v>
      </c>
      <c r="J44" s="22" t="n">
        <v>394.79</v>
      </c>
      <c r="K44" s="21" t="n">
        <v>44474</v>
      </c>
      <c r="L44" s="22" t="n">
        <v>391.95</v>
      </c>
      <c r="M44" s="8" t="s">
        <v>73</v>
      </c>
      <c r="N44" s="4" t="n">
        <v>13</v>
      </c>
      <c r="O44" s="6" t="n">
        <f aca="false">IF(C44="롱",(J44-E44)/E44,(E44-J44)/E44)</f>
        <v>-0.0306668630917304</v>
      </c>
    </row>
    <row r="45" customFormat="false" ht="17.15" hidden="false" customHeight="false" outlineLevel="0" collapsed="false">
      <c r="A45" s="4" t="n">
        <v>7</v>
      </c>
      <c r="B45" s="4" t="s">
        <v>24</v>
      </c>
      <c r="C45" s="8" t="s">
        <v>72</v>
      </c>
      <c r="D45" s="21" t="n">
        <v>45117</v>
      </c>
      <c r="E45" s="22" t="n">
        <v>330.84</v>
      </c>
      <c r="F45" s="21" t="n">
        <v>45118</v>
      </c>
      <c r="G45" s="22" t="n">
        <v>333.47</v>
      </c>
      <c r="H45" s="22" t="n">
        <v>313.5</v>
      </c>
      <c r="I45" s="21" t="n">
        <v>45121</v>
      </c>
      <c r="J45" s="22" t="n">
        <v>346.93</v>
      </c>
      <c r="K45" s="21" t="n">
        <v>45124</v>
      </c>
      <c r="L45" s="22" t="n">
        <v>345.38</v>
      </c>
      <c r="M45" s="8" t="s">
        <v>73</v>
      </c>
      <c r="N45" s="4" t="n">
        <v>4</v>
      </c>
      <c r="O45" s="6" t="n">
        <f aca="false">IF(C45="롱",(J45-E45)/E45,(E45-J45)/E45)</f>
        <v>0.0486337806794826</v>
      </c>
    </row>
    <row r="46" customFormat="false" ht="17.15" hidden="false" customHeight="false" outlineLevel="0" collapsed="false">
      <c r="A46" s="4" t="n">
        <v>7</v>
      </c>
      <c r="B46" s="4" t="s">
        <v>24</v>
      </c>
      <c r="C46" s="8" t="s">
        <v>72</v>
      </c>
      <c r="D46" s="21" t="n">
        <v>45154</v>
      </c>
      <c r="E46" s="22" t="n">
        <v>331.28</v>
      </c>
      <c r="F46" s="21" t="n">
        <v>45155</v>
      </c>
      <c r="G46" s="22" t="n">
        <v>329.63</v>
      </c>
      <c r="H46" s="22" t="n">
        <v>309.23</v>
      </c>
      <c r="I46" s="21" t="n">
        <v>45155</v>
      </c>
      <c r="J46" s="22" t="n">
        <v>330.23</v>
      </c>
      <c r="K46" s="21" t="n">
        <v>45156</v>
      </c>
      <c r="L46" s="22" t="n">
        <v>326.9</v>
      </c>
      <c r="M46" s="8" t="s">
        <v>73</v>
      </c>
      <c r="N46" s="4" t="n">
        <v>1</v>
      </c>
      <c r="O46" s="6" t="n">
        <f aca="false">IF(C46="롱",(J46-E46)/E46,(E46-J46)/E46)</f>
        <v>-0.00316952426949998</v>
      </c>
    </row>
    <row r="47" customFormat="false" ht="17.15" hidden="false" customHeight="false" outlineLevel="0" collapsed="false">
      <c r="A47" s="4" t="n">
        <v>7</v>
      </c>
      <c r="B47" s="4" t="s">
        <v>24</v>
      </c>
      <c r="C47" s="8" t="s">
        <v>72</v>
      </c>
      <c r="D47" s="21" t="n">
        <v>45156</v>
      </c>
      <c r="E47" s="22" t="n">
        <v>328.42</v>
      </c>
      <c r="F47" s="21" t="n">
        <v>45159</v>
      </c>
      <c r="G47" s="22" t="n">
        <v>329.45</v>
      </c>
      <c r="H47" s="22" t="n">
        <v>305.53</v>
      </c>
      <c r="I47" s="21" t="n">
        <v>45168</v>
      </c>
      <c r="J47" s="22" t="n">
        <v>334.94</v>
      </c>
      <c r="K47" s="21" t="n">
        <v>45169</v>
      </c>
      <c r="L47" s="22" t="n">
        <v>335.38</v>
      </c>
      <c r="M47" s="8" t="s">
        <v>73</v>
      </c>
      <c r="N47" s="4" t="n">
        <v>8</v>
      </c>
      <c r="O47" s="6" t="n">
        <f aca="false">IF(C47="롱",(J47-E47)/E47,(E47-J47)/E47)</f>
        <v>0.0198526277327811</v>
      </c>
    </row>
    <row r="48" customFormat="false" ht="17.15" hidden="false" customHeight="false" outlineLevel="0" collapsed="false">
      <c r="A48" s="4" t="n">
        <v>7</v>
      </c>
      <c r="B48" s="4" t="s">
        <v>24</v>
      </c>
      <c r="C48" s="8" t="s">
        <v>72</v>
      </c>
      <c r="D48" s="21" t="n">
        <v>45176</v>
      </c>
      <c r="E48" s="22" t="n">
        <v>336.74</v>
      </c>
      <c r="F48" s="21" t="n">
        <v>45177</v>
      </c>
      <c r="G48" s="22" t="n">
        <v>336.29</v>
      </c>
      <c r="H48" s="22" t="n">
        <v>318.42</v>
      </c>
      <c r="I48" s="21" t="n">
        <v>45184</v>
      </c>
      <c r="J48" s="22" t="n">
        <v>344.98</v>
      </c>
      <c r="K48" s="21" t="n">
        <v>45187</v>
      </c>
      <c r="L48" s="22" t="n">
        <v>342.98</v>
      </c>
      <c r="M48" s="8" t="s">
        <v>73</v>
      </c>
      <c r="N48" s="4" t="n">
        <v>6</v>
      </c>
      <c r="O48" s="6" t="n">
        <f aca="false">IF(C48="롱",(J48-E48)/E48,(E48-J48)/E48)</f>
        <v>0.0244699174437252</v>
      </c>
    </row>
    <row r="49" customFormat="false" ht="17.15" hidden="false" customHeight="false" outlineLevel="0" collapsed="false">
      <c r="A49" s="4" t="n">
        <v>7</v>
      </c>
      <c r="B49" s="4" t="s">
        <v>24</v>
      </c>
      <c r="C49" s="8" t="s">
        <v>72</v>
      </c>
      <c r="D49" s="21" t="n">
        <v>45189</v>
      </c>
      <c r="E49" s="22" t="n">
        <v>338.75</v>
      </c>
      <c r="F49" s="21" t="n">
        <v>45190</v>
      </c>
      <c r="G49" s="22" t="n">
        <v>336.73</v>
      </c>
      <c r="H49" s="22" t="n">
        <v>321.16</v>
      </c>
      <c r="I49" s="21" t="n">
        <v>45195</v>
      </c>
      <c r="J49" s="22" t="n">
        <v>326.9</v>
      </c>
      <c r="K49" s="21" t="n">
        <v>45196</v>
      </c>
      <c r="L49" s="22" t="n">
        <v>325.05</v>
      </c>
      <c r="M49" s="8" t="s">
        <v>73</v>
      </c>
      <c r="N49" s="4" t="n">
        <v>4</v>
      </c>
      <c r="O49" s="6" t="n">
        <f aca="false">IF(C49="롱",(J49-E49)/E49,(E49-J49)/E49)</f>
        <v>-0.0349815498154982</v>
      </c>
    </row>
    <row r="50" customFormat="false" ht="17.15" hidden="false" customHeight="false" outlineLevel="0" collapsed="false">
      <c r="A50" s="4" t="n">
        <v>7</v>
      </c>
      <c r="B50" s="4" t="s">
        <v>24</v>
      </c>
      <c r="C50" s="8" t="s">
        <v>72</v>
      </c>
      <c r="D50" s="21" t="n">
        <v>45196</v>
      </c>
      <c r="E50" s="22" t="n">
        <v>326.71</v>
      </c>
      <c r="F50" s="21" t="n">
        <v>45203</v>
      </c>
      <c r="G50" s="22" t="n">
        <v>322.61</v>
      </c>
      <c r="H50" s="22" t="n">
        <v>308.72</v>
      </c>
      <c r="I50" s="21" t="n">
        <v>45203</v>
      </c>
      <c r="J50" s="22" t="n">
        <v>319.45</v>
      </c>
      <c r="K50" s="21" t="n">
        <v>45204</v>
      </c>
      <c r="L50" s="22" t="n">
        <v>321.46</v>
      </c>
      <c r="M50" s="8" t="s">
        <v>73</v>
      </c>
      <c r="N50" s="4" t="n">
        <v>1</v>
      </c>
      <c r="O50" s="6" t="n">
        <f aca="false">IF(C50="롱",(J50-E50)/E50,(E50-J50)/E50)</f>
        <v>-0.0222215420403416</v>
      </c>
    </row>
    <row r="51" customFormat="false" ht="17.15" hidden="false" customHeight="false" outlineLevel="0" collapsed="false">
      <c r="A51" s="4" t="n">
        <v>7</v>
      </c>
      <c r="B51" s="4" t="s">
        <v>24</v>
      </c>
      <c r="C51" s="8" t="s">
        <v>72</v>
      </c>
      <c r="D51" s="21" t="n">
        <v>46233</v>
      </c>
      <c r="E51" s="22" t="n">
        <v>872.49</v>
      </c>
      <c r="F51" s="21" t="n">
        <v>46234</v>
      </c>
      <c r="G51" s="22" t="n">
        <v>880.79</v>
      </c>
      <c r="H51" s="22" t="n">
        <v>785.24</v>
      </c>
      <c r="I51" s="21" t="n">
        <v>46247</v>
      </c>
      <c r="J51" s="22" t="n">
        <v>1071.24</v>
      </c>
      <c r="K51" s="21" t="n">
        <v>46248</v>
      </c>
      <c r="L51" s="22" t="n">
        <v>1103.18</v>
      </c>
      <c r="M51" s="8" t="s">
        <v>73</v>
      </c>
      <c r="N51" s="4" t="n">
        <v>10</v>
      </c>
      <c r="O51" s="6" t="n">
        <f aca="false">IF(C51="롱",(J51-E51)/E51,(E51-J51)/E51)</f>
        <v>0.227796307120999</v>
      </c>
    </row>
    <row r="52" customFormat="false" ht="17.15" hidden="false" customHeight="false" outlineLevel="0" collapsed="false">
      <c r="A52" s="4" t="n">
        <v>7</v>
      </c>
      <c r="B52" s="4" t="s">
        <v>24</v>
      </c>
      <c r="C52" s="8" t="s">
        <v>72</v>
      </c>
      <c r="D52" s="21" t="n">
        <v>46279</v>
      </c>
      <c r="E52" s="22" t="n">
        <v>1050.83</v>
      </c>
      <c r="F52" s="21" t="n">
        <v>46280</v>
      </c>
      <c r="G52" s="22" t="n">
        <v>1047.75</v>
      </c>
      <c r="H52" s="22" t="n">
        <v>945.75</v>
      </c>
      <c r="I52" s="21" t="n">
        <v>46288</v>
      </c>
      <c r="J52" s="22" t="n">
        <v>1126.12</v>
      </c>
      <c r="K52" s="4"/>
      <c r="L52" s="22"/>
      <c r="M52" s="8" t="s">
        <v>77</v>
      </c>
      <c r="N52" s="4" t="n">
        <v>7</v>
      </c>
      <c r="O52" s="6" t="n">
        <f aca="false">IF(C52="롱",(J52-E52)/E52,(E52-J52)/E52)</f>
        <v>0.0716481257672506</v>
      </c>
    </row>
  </sheetData>
  <autoFilter ref="A4:O5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10" min="9" style="0" width="14"/>
    <col collapsed="false" customWidth="true" hidden="false" outlineLevel="0" max="11" min="11" style="0" width="16"/>
    <col collapsed="false" customWidth="true" hidden="false" outlineLevel="0" max="12" min="12" style="0" width="12"/>
    <col collapsed="false" customWidth="true" hidden="false" outlineLevel="0" max="13" min="13" style="0" width="16"/>
    <col collapsed="false" customWidth="true" hidden="false" outlineLevel="0" max="14" min="14" style="0" width="7"/>
    <col collapsed="false" customWidth="true" hidden="false" outlineLevel="0" max="15" min="15" style="0" width="16"/>
  </cols>
  <sheetData>
    <row r="1" customFormat="false" ht="19.4" hidden="false" customHeight="false" outlineLevel="0" collapsed="false">
      <c r="A1" s="1" t="s">
        <v>85</v>
      </c>
    </row>
    <row r="2" customFormat="false" ht="15" hidden="false" customHeight="false" outlineLevel="0" collapsed="false">
      <c r="A2" s="2" t="s">
        <v>58</v>
      </c>
    </row>
    <row r="4" customFormat="false" ht="31.5" hidden="false" customHeight="true" outlineLevel="0" collapsed="false">
      <c r="A4" s="19" t="s">
        <v>2</v>
      </c>
      <c r="B4" s="19" t="s">
        <v>3</v>
      </c>
      <c r="C4" s="19" t="s">
        <v>59</v>
      </c>
      <c r="D4" s="19" t="s">
        <v>60</v>
      </c>
      <c r="E4" s="19" t="s">
        <v>61</v>
      </c>
      <c r="F4" s="20" t="s">
        <v>62</v>
      </c>
      <c r="G4" s="19" t="s">
        <v>63</v>
      </c>
      <c r="H4" s="19" t="s">
        <v>64</v>
      </c>
      <c r="I4" s="19" t="s">
        <v>65</v>
      </c>
      <c r="J4" s="19" t="s">
        <v>66</v>
      </c>
      <c r="K4" s="20" t="s">
        <v>67</v>
      </c>
      <c r="L4" s="19" t="s">
        <v>68</v>
      </c>
      <c r="M4" s="19" t="s">
        <v>69</v>
      </c>
      <c r="N4" s="19" t="s">
        <v>70</v>
      </c>
      <c r="O4" s="19" t="s">
        <v>71</v>
      </c>
    </row>
    <row r="5" customFormat="false" ht="17.15" hidden="false" customHeight="false" outlineLevel="0" collapsed="false">
      <c r="A5" s="4" t="n">
        <v>8</v>
      </c>
      <c r="B5" s="4" t="s">
        <v>26</v>
      </c>
      <c r="C5" s="8" t="s">
        <v>72</v>
      </c>
      <c r="D5" s="21" t="n">
        <v>37426</v>
      </c>
      <c r="E5" s="22" t="n">
        <v>97.43</v>
      </c>
      <c r="F5" s="21" t="n">
        <v>37427</v>
      </c>
      <c r="G5" s="22" t="n">
        <v>96.63</v>
      </c>
      <c r="H5" s="22" t="n">
        <v>87.69</v>
      </c>
      <c r="I5" s="21" t="n">
        <v>37446</v>
      </c>
      <c r="J5" s="22" t="n">
        <v>101.05</v>
      </c>
      <c r="K5" s="21" t="n">
        <v>37447</v>
      </c>
      <c r="L5" s="22" t="n">
        <v>100.1</v>
      </c>
      <c r="M5" s="8" t="s">
        <v>73</v>
      </c>
      <c r="N5" s="4" t="n">
        <v>13</v>
      </c>
      <c r="O5" s="6" t="n">
        <f aca="false">IF(C5="롱",(J5-E5)/E5,(E5-J5)/E5)</f>
        <v>0.0371548804269731</v>
      </c>
    </row>
    <row r="6" customFormat="false" ht="17.15" hidden="false" customHeight="false" outlineLevel="0" collapsed="false">
      <c r="A6" s="4" t="n">
        <v>8</v>
      </c>
      <c r="B6" s="4" t="s">
        <v>26</v>
      </c>
      <c r="C6" s="8" t="s">
        <v>72</v>
      </c>
      <c r="D6" s="21" t="n">
        <v>38117</v>
      </c>
      <c r="E6" s="22" t="n">
        <v>102.94</v>
      </c>
      <c r="F6" s="21" t="n">
        <v>38118</v>
      </c>
      <c r="G6" s="22" t="n">
        <v>102.85</v>
      </c>
      <c r="H6" s="22" t="n">
        <v>92.65</v>
      </c>
      <c r="I6" s="21" t="n">
        <v>38119</v>
      </c>
      <c r="J6" s="22" t="n">
        <v>106.05</v>
      </c>
      <c r="K6" s="21" t="n">
        <v>38120</v>
      </c>
      <c r="L6" s="22" t="n">
        <v>105.58</v>
      </c>
      <c r="M6" s="8" t="s">
        <v>73</v>
      </c>
      <c r="N6" s="4" t="n">
        <v>2</v>
      </c>
      <c r="O6" s="6" t="n">
        <f aca="false">IF(C6="롱",(J6-E6)/E6,(E6-J6)/E6)</f>
        <v>0.030211773848844</v>
      </c>
    </row>
    <row r="7" customFormat="false" ht="17.15" hidden="false" customHeight="false" outlineLevel="0" collapsed="false">
      <c r="A7" s="4" t="n">
        <v>8</v>
      </c>
      <c r="B7" s="4" t="s">
        <v>26</v>
      </c>
      <c r="C7" s="8" t="s">
        <v>72</v>
      </c>
      <c r="D7" s="21" t="n">
        <v>38120</v>
      </c>
      <c r="E7" s="22" t="n">
        <v>102.14</v>
      </c>
      <c r="F7" s="21" t="n">
        <v>38121</v>
      </c>
      <c r="G7" s="22" t="n">
        <v>103.29</v>
      </c>
      <c r="H7" s="22" t="n">
        <v>91.93</v>
      </c>
      <c r="I7" s="21" t="n">
        <v>38135</v>
      </c>
      <c r="J7" s="22" t="n">
        <v>105.82</v>
      </c>
      <c r="K7" s="21" t="n">
        <v>38138</v>
      </c>
      <c r="L7" s="22" t="n">
        <v>105.24</v>
      </c>
      <c r="M7" s="8" t="s">
        <v>73</v>
      </c>
      <c r="N7" s="4" t="n">
        <v>10</v>
      </c>
      <c r="O7" s="6" t="n">
        <f aca="false">IF(C7="롱",(J7-E7)/E7,(E7-J7)/E7)</f>
        <v>0.0360289798316036</v>
      </c>
    </row>
    <row r="8" customFormat="false" ht="17.15" hidden="false" customHeight="false" outlineLevel="0" collapsed="false">
      <c r="A8" s="4" t="n">
        <v>8</v>
      </c>
      <c r="B8" s="4" t="s">
        <v>26</v>
      </c>
      <c r="C8" s="8" t="s">
        <v>72</v>
      </c>
      <c r="D8" s="21" t="n">
        <v>38881</v>
      </c>
      <c r="E8" s="22" t="n">
        <v>155.43</v>
      </c>
      <c r="F8" s="21" t="n">
        <v>38882</v>
      </c>
      <c r="G8" s="22" t="n">
        <v>154.15</v>
      </c>
      <c r="H8" s="22" t="n">
        <v>139.89</v>
      </c>
      <c r="I8" s="21" t="n">
        <v>38884</v>
      </c>
      <c r="J8" s="22" t="n">
        <v>163.05</v>
      </c>
      <c r="K8" s="21" t="n">
        <v>38887</v>
      </c>
      <c r="L8" s="22" t="n">
        <v>162.11</v>
      </c>
      <c r="M8" s="8" t="s">
        <v>73</v>
      </c>
      <c r="N8" s="4" t="n">
        <v>3</v>
      </c>
      <c r="O8" s="6" t="n">
        <f aca="false">IF(C8="롱",(J8-E8)/E8,(E8-J8)/E8)</f>
        <v>0.0490252846940745</v>
      </c>
    </row>
    <row r="9" customFormat="false" ht="17.15" hidden="false" customHeight="false" outlineLevel="0" collapsed="false">
      <c r="A9" s="4" t="n">
        <v>8</v>
      </c>
      <c r="B9" s="4" t="s">
        <v>26</v>
      </c>
      <c r="C9" s="8" t="s">
        <v>72</v>
      </c>
      <c r="D9" s="21" t="n">
        <v>38888</v>
      </c>
      <c r="E9" s="22" t="n">
        <v>158.48</v>
      </c>
      <c r="F9" s="21" t="n">
        <v>38889</v>
      </c>
      <c r="G9" s="22" t="n">
        <v>158.91</v>
      </c>
      <c r="H9" s="22" t="n">
        <v>142.63</v>
      </c>
      <c r="I9" s="21" t="n">
        <v>38895</v>
      </c>
      <c r="J9" s="22" t="n">
        <v>161.36</v>
      </c>
      <c r="K9" s="21" t="n">
        <v>38896</v>
      </c>
      <c r="L9" s="22" t="n">
        <v>158.61</v>
      </c>
      <c r="M9" s="8" t="s">
        <v>73</v>
      </c>
      <c r="N9" s="4" t="n">
        <v>5</v>
      </c>
      <c r="O9" s="6" t="n">
        <f aca="false">IF(C9="롱",(J9-E9)/E9,(E9-J9)/E9)</f>
        <v>0.0181726400807674</v>
      </c>
    </row>
    <row r="10" customFormat="false" ht="17.15" hidden="false" customHeight="false" outlineLevel="0" collapsed="false">
      <c r="A10" s="4" t="n">
        <v>8</v>
      </c>
      <c r="B10" s="4" t="s">
        <v>26</v>
      </c>
      <c r="C10" s="8" t="s">
        <v>72</v>
      </c>
      <c r="D10" s="21" t="n">
        <v>38916</v>
      </c>
      <c r="E10" s="22" t="n">
        <v>159.69</v>
      </c>
      <c r="F10" s="21" t="n">
        <v>38917</v>
      </c>
      <c r="G10" s="22" t="n">
        <v>160.06</v>
      </c>
      <c r="H10" s="22" t="n">
        <v>143.84</v>
      </c>
      <c r="I10" s="21" t="n">
        <v>38918</v>
      </c>
      <c r="J10" s="22" t="n">
        <v>165.11</v>
      </c>
      <c r="K10" s="21" t="n">
        <v>38919</v>
      </c>
      <c r="L10" s="22" t="n">
        <v>163.46</v>
      </c>
      <c r="M10" s="8" t="s">
        <v>73</v>
      </c>
      <c r="N10" s="4" t="n">
        <v>2</v>
      </c>
      <c r="O10" s="6" t="n">
        <f aca="false">IF(C10="롱",(J10-E10)/E10,(E10-J10)/E10)</f>
        <v>0.033940760222932</v>
      </c>
    </row>
    <row r="11" customFormat="false" ht="17.15" hidden="false" customHeight="false" outlineLevel="0" collapsed="false">
      <c r="A11" s="4" t="n">
        <v>8</v>
      </c>
      <c r="B11" s="4" t="s">
        <v>26</v>
      </c>
      <c r="C11" s="8" t="s">
        <v>72</v>
      </c>
      <c r="D11" s="21" t="n">
        <v>39146</v>
      </c>
      <c r="E11" s="22" t="n">
        <v>177.69</v>
      </c>
      <c r="F11" s="21" t="n">
        <v>39147</v>
      </c>
      <c r="G11" s="22" t="n">
        <v>178.66</v>
      </c>
      <c r="H11" s="22" t="n">
        <v>165.04</v>
      </c>
      <c r="I11" s="21" t="n">
        <v>39147</v>
      </c>
      <c r="J11" s="22" t="n">
        <v>181.23</v>
      </c>
      <c r="K11" s="21" t="n">
        <v>39148</v>
      </c>
      <c r="L11" s="22" t="n">
        <v>182.9</v>
      </c>
      <c r="M11" s="8" t="s">
        <v>73</v>
      </c>
      <c r="N11" s="4" t="n">
        <v>1</v>
      </c>
      <c r="O11" s="6" t="n">
        <f aca="false">IF(C11="롱",(J11-E11)/E11,(E11-J11)/E11)</f>
        <v>0.0199223366537227</v>
      </c>
    </row>
    <row r="12" customFormat="false" ht="17.15" hidden="false" customHeight="false" outlineLevel="0" collapsed="false">
      <c r="A12" s="4" t="n">
        <v>8</v>
      </c>
      <c r="B12" s="4" t="s">
        <v>26</v>
      </c>
      <c r="C12" s="8" t="s">
        <v>72</v>
      </c>
      <c r="D12" s="21" t="n">
        <v>39311</v>
      </c>
      <c r="E12" s="22" t="n">
        <v>208.57</v>
      </c>
      <c r="F12" s="21" t="n">
        <v>39314</v>
      </c>
      <c r="G12" s="22" t="n">
        <v>216.42</v>
      </c>
      <c r="H12" s="22" t="n">
        <v>187.71</v>
      </c>
      <c r="I12" s="21" t="n">
        <v>39317</v>
      </c>
      <c r="J12" s="22" t="n">
        <v>228.6</v>
      </c>
      <c r="K12" s="21" t="n">
        <v>39318</v>
      </c>
      <c r="L12" s="22" t="n">
        <v>227.67</v>
      </c>
      <c r="M12" s="8" t="s">
        <v>73</v>
      </c>
      <c r="N12" s="4" t="n">
        <v>4</v>
      </c>
      <c r="O12" s="6" t="n">
        <f aca="false">IF(C12="롱",(J12-E12)/E12,(E12-J12)/E12)</f>
        <v>0.0960349043486599</v>
      </c>
    </row>
    <row r="13" customFormat="false" ht="17.15" hidden="false" customHeight="false" outlineLevel="0" collapsed="false">
      <c r="A13" s="4" t="n">
        <v>8</v>
      </c>
      <c r="B13" s="4" t="s">
        <v>26</v>
      </c>
      <c r="C13" s="8" t="s">
        <v>72</v>
      </c>
      <c r="D13" s="21" t="n">
        <v>39377</v>
      </c>
      <c r="E13" s="22" t="n">
        <v>239.94</v>
      </c>
      <c r="F13" s="21" t="n">
        <v>39378</v>
      </c>
      <c r="G13" s="22" t="n">
        <v>243.9</v>
      </c>
      <c r="H13" s="22" t="n">
        <v>215.95</v>
      </c>
      <c r="I13" s="21" t="n">
        <v>39378</v>
      </c>
      <c r="J13" s="22" t="n">
        <v>244.9</v>
      </c>
      <c r="K13" s="21" t="n">
        <v>39379</v>
      </c>
      <c r="L13" s="22" t="n">
        <v>247.03</v>
      </c>
      <c r="M13" s="8" t="s">
        <v>73</v>
      </c>
      <c r="N13" s="4" t="n">
        <v>1</v>
      </c>
      <c r="O13" s="6" t="n">
        <f aca="false">IF(C13="롱",(J13-E13)/E13,(E13-J13)/E13)</f>
        <v>0.020671834625323</v>
      </c>
    </row>
    <row r="14" customFormat="false" ht="17.15" hidden="false" customHeight="false" outlineLevel="0" collapsed="false">
      <c r="A14" s="4" t="n">
        <v>8</v>
      </c>
      <c r="B14" s="4" t="s">
        <v>26</v>
      </c>
      <c r="C14" s="8" t="s">
        <v>72</v>
      </c>
      <c r="D14" s="21" t="n">
        <v>39405</v>
      </c>
      <c r="E14" s="22" t="n">
        <v>239.78</v>
      </c>
      <c r="F14" s="21" t="n">
        <v>39406</v>
      </c>
      <c r="G14" s="22" t="n">
        <v>234.58</v>
      </c>
      <c r="H14" s="22" t="n">
        <v>215.8</v>
      </c>
      <c r="I14" s="21" t="n">
        <v>39420</v>
      </c>
      <c r="J14" s="22" t="n">
        <v>244.04</v>
      </c>
      <c r="K14" s="21" t="n">
        <v>39421</v>
      </c>
      <c r="L14" s="22" t="n">
        <v>243.24</v>
      </c>
      <c r="M14" s="8" t="s">
        <v>73</v>
      </c>
      <c r="N14" s="4" t="n">
        <v>11</v>
      </c>
      <c r="O14" s="6" t="n">
        <f aca="false">IF(C14="롱",(J14-E14)/E14,(E14-J14)/E14)</f>
        <v>0.0177662857619484</v>
      </c>
    </row>
    <row r="15" customFormat="false" ht="17.15" hidden="false" customHeight="false" outlineLevel="0" collapsed="false">
      <c r="A15" s="4" t="n">
        <v>8</v>
      </c>
      <c r="B15" s="4" t="s">
        <v>26</v>
      </c>
      <c r="C15" s="8" t="s">
        <v>72</v>
      </c>
      <c r="D15" s="21" t="n">
        <v>39828</v>
      </c>
      <c r="E15" s="22" t="n">
        <v>145.05</v>
      </c>
      <c r="F15" s="21" t="n">
        <v>39829</v>
      </c>
      <c r="G15" s="22" t="n">
        <v>146.08</v>
      </c>
      <c r="H15" s="22" t="n">
        <v>130.55</v>
      </c>
      <c r="I15" s="21" t="n">
        <v>39832</v>
      </c>
      <c r="J15" s="22" t="n">
        <v>150.02</v>
      </c>
      <c r="K15" s="21" t="n">
        <v>39833</v>
      </c>
      <c r="L15" s="22" t="n">
        <v>147.78</v>
      </c>
      <c r="M15" s="8" t="s">
        <v>73</v>
      </c>
      <c r="N15" s="4" t="n">
        <v>2</v>
      </c>
      <c r="O15" s="6" t="n">
        <f aca="false">IF(C15="롱",(J15-E15)/E15,(E15-J15)/E15)</f>
        <v>0.0342640468803861</v>
      </c>
    </row>
    <row r="16" customFormat="false" ht="17.15" hidden="false" customHeight="false" outlineLevel="0" collapsed="false">
      <c r="A16" s="4" t="n">
        <v>8</v>
      </c>
      <c r="B16" s="4" t="s">
        <v>26</v>
      </c>
      <c r="C16" s="8" t="s">
        <v>72</v>
      </c>
      <c r="D16" s="21" t="n">
        <v>39833</v>
      </c>
      <c r="E16" s="22" t="n">
        <v>146.55</v>
      </c>
      <c r="F16" s="21" t="n">
        <v>39834</v>
      </c>
      <c r="G16" s="22" t="n">
        <v>141.28</v>
      </c>
      <c r="H16" s="22" t="n">
        <v>131.9</v>
      </c>
      <c r="I16" s="21" t="n">
        <v>39841</v>
      </c>
      <c r="J16" s="22" t="n">
        <v>151.04</v>
      </c>
      <c r="K16" s="21" t="n">
        <v>39842</v>
      </c>
      <c r="L16" s="22" t="n">
        <v>152.03</v>
      </c>
      <c r="M16" s="8" t="s">
        <v>73</v>
      </c>
      <c r="N16" s="4" t="n">
        <v>4</v>
      </c>
      <c r="O16" s="6" t="n">
        <f aca="false">IF(C16="롱",(J16-E16)/E16,(E16-J16)/E16)</f>
        <v>0.0306380075059705</v>
      </c>
    </row>
    <row r="17" customFormat="false" ht="17.15" hidden="false" customHeight="false" outlineLevel="0" collapsed="false">
      <c r="A17" s="4" t="n">
        <v>8</v>
      </c>
      <c r="B17" s="4" t="s">
        <v>26</v>
      </c>
      <c r="C17" s="8" t="s">
        <v>72</v>
      </c>
      <c r="D17" s="21" t="n">
        <v>39861</v>
      </c>
      <c r="E17" s="22" t="n">
        <v>146.6</v>
      </c>
      <c r="F17" s="21" t="n">
        <v>39862</v>
      </c>
      <c r="G17" s="22" t="n">
        <v>144.49</v>
      </c>
      <c r="H17" s="22" t="n">
        <v>131.94</v>
      </c>
      <c r="I17" s="21" t="n">
        <v>39874</v>
      </c>
      <c r="J17" s="22" t="n">
        <v>131.94</v>
      </c>
      <c r="K17" s="21" t="n">
        <v>39875</v>
      </c>
      <c r="L17" s="22" t="n">
        <v>129.46</v>
      </c>
      <c r="M17" s="8" t="s">
        <v>75</v>
      </c>
      <c r="N17" s="4" t="n">
        <v>9</v>
      </c>
      <c r="O17" s="6" t="n">
        <f aca="false">IF(C17="롱",(J17-E17)/E17,(E17-J17)/E17)</f>
        <v>-0.1</v>
      </c>
    </row>
    <row r="18" customFormat="false" ht="17.15" hidden="false" customHeight="false" outlineLevel="0" collapsed="false">
      <c r="A18" s="4" t="n">
        <v>8</v>
      </c>
      <c r="B18" s="4" t="s">
        <v>26</v>
      </c>
      <c r="C18" s="8" t="s">
        <v>72</v>
      </c>
      <c r="D18" s="21" t="n">
        <v>40763</v>
      </c>
      <c r="E18" s="22" t="n">
        <v>242.45</v>
      </c>
      <c r="F18" s="21" t="n">
        <v>40764</v>
      </c>
      <c r="G18" s="22" t="n">
        <v>234.26</v>
      </c>
      <c r="H18" s="22" t="n">
        <v>218.2</v>
      </c>
      <c r="I18" s="21" t="n">
        <v>40772</v>
      </c>
      <c r="J18" s="22" t="n">
        <v>243.43</v>
      </c>
      <c r="K18" s="21" t="n">
        <v>40773</v>
      </c>
      <c r="L18" s="22" t="n">
        <v>243.15</v>
      </c>
      <c r="M18" s="8" t="s">
        <v>73</v>
      </c>
      <c r="N18" s="4" t="n">
        <v>6</v>
      </c>
      <c r="O18" s="6" t="n">
        <f aca="false">IF(C18="롱",(J18-E18)/E18,(E18-J18)/E18)</f>
        <v>0.00404207053000626</v>
      </c>
    </row>
    <row r="19" customFormat="false" ht="17.15" hidden="false" customHeight="false" outlineLevel="0" collapsed="false">
      <c r="A19" s="4" t="n">
        <v>8</v>
      </c>
      <c r="B19" s="4" t="s">
        <v>26</v>
      </c>
      <c r="C19" s="8" t="s">
        <v>72</v>
      </c>
      <c r="D19" s="21" t="n">
        <v>40773</v>
      </c>
      <c r="E19" s="22" t="n">
        <v>238.31</v>
      </c>
      <c r="F19" s="21" t="n">
        <v>40774</v>
      </c>
      <c r="G19" s="22" t="n">
        <v>228.95</v>
      </c>
      <c r="H19" s="22" t="n">
        <v>214.48</v>
      </c>
      <c r="I19" s="21" t="n">
        <v>40812</v>
      </c>
      <c r="J19" s="22" t="n">
        <v>214.48</v>
      </c>
      <c r="K19" s="21" t="n">
        <v>40813</v>
      </c>
      <c r="L19" s="22" t="n">
        <v>221.23</v>
      </c>
      <c r="M19" s="8" t="s">
        <v>75</v>
      </c>
      <c r="N19" s="4" t="n">
        <v>25</v>
      </c>
      <c r="O19" s="6" t="n">
        <f aca="false">IF(C19="롱",(J19-E19)/E19,(E19-J19)/E19)</f>
        <v>-0.099995803784986</v>
      </c>
    </row>
    <row r="20" customFormat="false" ht="17.15" hidden="false" customHeight="false" outlineLevel="0" collapsed="false">
      <c r="A20" s="4" t="n">
        <v>8</v>
      </c>
      <c r="B20" s="4" t="s">
        <v>26</v>
      </c>
      <c r="C20" s="8" t="s">
        <v>72</v>
      </c>
      <c r="D20" s="21" t="n">
        <v>43384</v>
      </c>
      <c r="E20" s="22" t="n">
        <v>275.15</v>
      </c>
      <c r="F20" s="21" t="n">
        <v>43385</v>
      </c>
      <c r="G20" s="22" t="n">
        <v>275.82</v>
      </c>
      <c r="H20" s="22" t="n">
        <v>257.03</v>
      </c>
      <c r="I20" s="21" t="n">
        <v>43468</v>
      </c>
      <c r="J20" s="22" t="n">
        <v>257.03</v>
      </c>
      <c r="K20" s="21" t="n">
        <v>43469</v>
      </c>
      <c r="L20" s="22" t="n">
        <v>255.62</v>
      </c>
      <c r="M20" s="8" t="s">
        <v>75</v>
      </c>
      <c r="N20" s="4" t="n">
        <v>57</v>
      </c>
      <c r="O20" s="6" t="n">
        <f aca="false">IF(C20="롱",(J20-E20)/E20,(E20-J20)/E20)</f>
        <v>-0.065854988188261</v>
      </c>
    </row>
    <row r="21" customFormat="false" ht="17.15" hidden="false" customHeight="false" outlineLevel="0" collapsed="false">
      <c r="A21" s="4" t="n">
        <v>8</v>
      </c>
      <c r="B21" s="4" t="s">
        <v>26</v>
      </c>
      <c r="C21" s="8" t="s">
        <v>72</v>
      </c>
      <c r="D21" s="21" t="n">
        <v>43997</v>
      </c>
      <c r="E21" s="22" t="n">
        <v>267.95</v>
      </c>
      <c r="F21" s="21" t="n">
        <v>43998</v>
      </c>
      <c r="G21" s="22" t="n">
        <v>275.89</v>
      </c>
      <c r="H21" s="22" t="n">
        <v>241.15</v>
      </c>
      <c r="I21" s="21" t="n">
        <v>43998</v>
      </c>
      <c r="J21" s="22" t="n">
        <v>282.59</v>
      </c>
      <c r="K21" s="21" t="n">
        <v>43999</v>
      </c>
      <c r="L21" s="22" t="n">
        <v>282.08</v>
      </c>
      <c r="M21" s="8" t="s">
        <v>73</v>
      </c>
      <c r="N21" s="4" t="n">
        <v>1</v>
      </c>
      <c r="O21" s="6" t="n">
        <f aca="false">IF(C21="롱",(J21-E21)/E21,(E21-J21)/E21)</f>
        <v>0.054637059152827</v>
      </c>
    </row>
    <row r="22" customFormat="false" ht="17.15" hidden="false" customHeight="false" outlineLevel="0" collapsed="false">
      <c r="A22" s="4" t="n">
        <v>8</v>
      </c>
      <c r="B22" s="4" t="s">
        <v>26</v>
      </c>
      <c r="C22" s="8" t="s">
        <v>72</v>
      </c>
      <c r="D22" s="21" t="n">
        <v>44586</v>
      </c>
      <c r="E22" s="22" t="n">
        <v>362.39</v>
      </c>
      <c r="F22" s="21" t="n">
        <v>44587</v>
      </c>
      <c r="G22" s="22" t="n">
        <v>363.72</v>
      </c>
      <c r="H22" s="22" t="n">
        <v>334.06</v>
      </c>
      <c r="I22" s="21" t="n">
        <v>44602</v>
      </c>
      <c r="J22" s="22" t="n">
        <v>371.57</v>
      </c>
      <c r="K22" s="21" t="n">
        <v>44603</v>
      </c>
      <c r="L22" s="22" t="n">
        <v>367.54</v>
      </c>
      <c r="M22" s="8" t="s">
        <v>73</v>
      </c>
      <c r="N22" s="4" t="n">
        <v>9</v>
      </c>
      <c r="O22" s="6" t="n">
        <f aca="false">IF(C22="롱",(J22-E22)/E22,(E22-J22)/E22)</f>
        <v>0.0253318248296035</v>
      </c>
    </row>
  </sheetData>
  <autoFilter ref="A4:O2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10" min="9" style="0" width="14"/>
    <col collapsed="false" customWidth="true" hidden="false" outlineLevel="0" max="11" min="11" style="0" width="16"/>
    <col collapsed="false" customWidth="true" hidden="false" outlineLevel="0" max="12" min="12" style="0" width="12"/>
    <col collapsed="false" customWidth="true" hidden="false" outlineLevel="0" max="13" min="13" style="0" width="16"/>
    <col collapsed="false" customWidth="true" hidden="false" outlineLevel="0" max="14" min="14" style="0" width="7"/>
    <col collapsed="false" customWidth="true" hidden="false" outlineLevel="0" max="15" min="15" style="0" width="16"/>
  </cols>
  <sheetData>
    <row r="1" customFormat="false" ht="19.4" hidden="false" customHeight="false" outlineLevel="0" collapsed="false">
      <c r="A1" s="1" t="s">
        <v>86</v>
      </c>
    </row>
    <row r="2" customFormat="false" ht="15" hidden="false" customHeight="false" outlineLevel="0" collapsed="false">
      <c r="A2" s="2" t="s">
        <v>58</v>
      </c>
    </row>
    <row r="4" customFormat="false" ht="31.5" hidden="false" customHeight="true" outlineLevel="0" collapsed="false">
      <c r="A4" s="19" t="s">
        <v>2</v>
      </c>
      <c r="B4" s="19" t="s">
        <v>3</v>
      </c>
      <c r="C4" s="19" t="s">
        <v>59</v>
      </c>
      <c r="D4" s="19" t="s">
        <v>60</v>
      </c>
      <c r="E4" s="19" t="s">
        <v>61</v>
      </c>
      <c r="F4" s="20" t="s">
        <v>62</v>
      </c>
      <c r="G4" s="19" t="s">
        <v>63</v>
      </c>
      <c r="H4" s="19" t="s">
        <v>64</v>
      </c>
      <c r="I4" s="19" t="s">
        <v>65</v>
      </c>
      <c r="J4" s="19" t="s">
        <v>66</v>
      </c>
      <c r="K4" s="20" t="s">
        <v>67</v>
      </c>
      <c r="L4" s="19" t="s">
        <v>68</v>
      </c>
      <c r="M4" s="19" t="s">
        <v>69</v>
      </c>
      <c r="N4" s="19" t="s">
        <v>70</v>
      </c>
      <c r="O4" s="19" t="s">
        <v>71</v>
      </c>
    </row>
    <row r="5" customFormat="false" ht="17.15" hidden="false" customHeight="false" outlineLevel="0" collapsed="false">
      <c r="A5" s="4" t="n">
        <v>9</v>
      </c>
      <c r="B5" s="4" t="s">
        <v>28</v>
      </c>
      <c r="C5" s="8" t="s">
        <v>72</v>
      </c>
      <c r="D5" s="21" t="n">
        <v>37559</v>
      </c>
      <c r="E5" s="22" t="n">
        <v>82.97</v>
      </c>
      <c r="F5" s="21" t="n">
        <v>37560</v>
      </c>
      <c r="G5" s="22" t="n">
        <v>83.79</v>
      </c>
      <c r="H5" s="22" t="n">
        <v>74.67</v>
      </c>
      <c r="I5" s="21" t="n">
        <v>37564</v>
      </c>
      <c r="J5" s="22" t="n">
        <v>85.04</v>
      </c>
      <c r="K5" s="21" t="n">
        <v>37565</v>
      </c>
      <c r="L5" s="22" t="n">
        <v>85.03</v>
      </c>
      <c r="M5" s="8" t="s">
        <v>73</v>
      </c>
      <c r="N5" s="4" t="n">
        <v>3</v>
      </c>
      <c r="O5" s="6" t="n">
        <f aca="false">IF(C5="롱",(J5-E5)/E5,(E5-J5)/E5)</f>
        <v>0.024948776666265</v>
      </c>
    </row>
    <row r="6" customFormat="false" ht="17.15" hidden="false" customHeight="false" outlineLevel="0" collapsed="false">
      <c r="A6" s="4" t="n">
        <v>9</v>
      </c>
      <c r="B6" s="4" t="s">
        <v>28</v>
      </c>
      <c r="C6" s="8" t="s">
        <v>72</v>
      </c>
      <c r="D6" s="21" t="n">
        <v>37565</v>
      </c>
      <c r="E6" s="22" t="n">
        <v>84.01</v>
      </c>
      <c r="F6" s="21" t="n">
        <v>37566</v>
      </c>
      <c r="G6" s="22" t="n">
        <v>85.21</v>
      </c>
      <c r="H6" s="22" t="n">
        <v>75.61</v>
      </c>
      <c r="I6" s="21" t="n">
        <v>37566</v>
      </c>
      <c r="J6" s="22" t="n">
        <v>86.4</v>
      </c>
      <c r="K6" s="21" t="n">
        <v>37567</v>
      </c>
      <c r="L6" s="22" t="n">
        <v>85.83</v>
      </c>
      <c r="M6" s="8" t="s">
        <v>73</v>
      </c>
      <c r="N6" s="4" t="n">
        <v>1</v>
      </c>
      <c r="O6" s="6" t="n">
        <f aca="false">IF(C6="롱",(J6-E6)/E6,(E6-J6)/E6)</f>
        <v>0.028448994167361</v>
      </c>
    </row>
    <row r="7" customFormat="false" ht="17.15" hidden="false" customHeight="false" outlineLevel="0" collapsed="false">
      <c r="A7" s="4" t="n">
        <v>9</v>
      </c>
      <c r="B7" s="4" t="s">
        <v>28</v>
      </c>
      <c r="C7" s="8" t="s">
        <v>72</v>
      </c>
      <c r="D7" s="21" t="n">
        <v>37571</v>
      </c>
      <c r="E7" s="22" t="n">
        <v>83.15</v>
      </c>
      <c r="F7" s="21" t="n">
        <v>37572</v>
      </c>
      <c r="G7" s="22" t="n">
        <v>81.42</v>
      </c>
      <c r="H7" s="22" t="n">
        <v>74.84</v>
      </c>
      <c r="I7" s="21" t="n">
        <v>37575</v>
      </c>
      <c r="J7" s="22" t="n">
        <v>85.26</v>
      </c>
      <c r="K7" s="21" t="n">
        <v>37578</v>
      </c>
      <c r="L7" s="22" t="n">
        <v>85.25</v>
      </c>
      <c r="M7" s="8" t="s">
        <v>73</v>
      </c>
      <c r="N7" s="4" t="n">
        <v>4</v>
      </c>
      <c r="O7" s="6" t="n">
        <f aca="false">IF(C7="롱",(J7-E7)/E7,(E7-J7)/E7)</f>
        <v>0.0253758268190018</v>
      </c>
    </row>
    <row r="8" customFormat="false" ht="17.15" hidden="false" customHeight="false" outlineLevel="0" collapsed="false">
      <c r="A8" s="4" t="n">
        <v>9</v>
      </c>
      <c r="B8" s="4" t="s">
        <v>28</v>
      </c>
      <c r="C8" s="8" t="s">
        <v>72</v>
      </c>
      <c r="D8" s="21" t="n">
        <v>37736</v>
      </c>
      <c r="E8" s="22" t="n">
        <v>72.07</v>
      </c>
      <c r="F8" s="21" t="n">
        <v>37739</v>
      </c>
      <c r="G8" s="22" t="n">
        <v>71.14</v>
      </c>
      <c r="H8" s="22" t="n">
        <v>64.86</v>
      </c>
      <c r="I8" s="21" t="n">
        <v>37740</v>
      </c>
      <c r="J8" s="22" t="n">
        <v>76.15</v>
      </c>
      <c r="K8" s="21" t="n">
        <v>37741</v>
      </c>
      <c r="L8" s="22" t="n">
        <v>76.11</v>
      </c>
      <c r="M8" s="8" t="s">
        <v>73</v>
      </c>
      <c r="N8" s="4" t="n">
        <v>2</v>
      </c>
      <c r="O8" s="6" t="n">
        <f aca="false">IF(C8="롱",(J8-E8)/E8,(E8-J8)/E8)</f>
        <v>0.0566116275842932</v>
      </c>
    </row>
    <row r="9" customFormat="false" ht="17.15" hidden="false" customHeight="false" outlineLevel="0" collapsed="false">
      <c r="A9" s="4" t="n">
        <v>9</v>
      </c>
      <c r="B9" s="4" t="s">
        <v>28</v>
      </c>
      <c r="C9" s="8" t="s">
        <v>72</v>
      </c>
      <c r="D9" s="21" t="n">
        <v>39462</v>
      </c>
      <c r="E9" s="22" t="n">
        <v>220.91</v>
      </c>
      <c r="F9" s="21" t="n">
        <v>39463</v>
      </c>
      <c r="G9" s="22" t="n">
        <v>216.9</v>
      </c>
      <c r="H9" s="22" t="n">
        <v>198.82</v>
      </c>
      <c r="I9" s="21" t="n">
        <v>39524</v>
      </c>
      <c r="J9" s="22" t="n">
        <v>198.82</v>
      </c>
      <c r="K9" s="21" t="n">
        <v>39525</v>
      </c>
      <c r="L9" s="22" t="n">
        <v>201.19</v>
      </c>
      <c r="M9" s="8" t="s">
        <v>75</v>
      </c>
      <c r="N9" s="4" t="n">
        <v>41</v>
      </c>
      <c r="O9" s="6" t="n">
        <f aca="false">IF(C9="롱",(J9-E9)/E9,(E9-J9)/E9)</f>
        <v>-0.0999954732696573</v>
      </c>
    </row>
    <row r="10" customFormat="false" ht="17.15" hidden="false" customHeight="false" outlineLevel="0" collapsed="false">
      <c r="A10" s="4" t="n">
        <v>9</v>
      </c>
      <c r="B10" s="4" t="s">
        <v>28</v>
      </c>
      <c r="C10" s="8" t="s">
        <v>72</v>
      </c>
      <c r="D10" s="21" t="n">
        <v>39758</v>
      </c>
      <c r="E10" s="22" t="n">
        <v>143.37</v>
      </c>
      <c r="F10" s="21" t="n">
        <v>39759</v>
      </c>
      <c r="G10" s="22" t="n">
        <v>138.29</v>
      </c>
      <c r="H10" s="22" t="n">
        <v>129.03</v>
      </c>
      <c r="I10" s="21" t="n">
        <v>39759</v>
      </c>
      <c r="J10" s="22" t="n">
        <v>148.44</v>
      </c>
      <c r="K10" s="21" t="n">
        <v>39762</v>
      </c>
      <c r="L10" s="22" t="n">
        <v>150.78</v>
      </c>
      <c r="M10" s="8" t="s">
        <v>73</v>
      </c>
      <c r="N10" s="4" t="n">
        <v>1</v>
      </c>
      <c r="O10" s="6" t="n">
        <f aca="false">IF(C10="롱",(J10-E10)/E10,(E10-J10)/E10)</f>
        <v>0.0353630466624816</v>
      </c>
    </row>
    <row r="11" customFormat="false" ht="17.15" hidden="false" customHeight="false" outlineLevel="0" collapsed="false">
      <c r="A11" s="4" t="n">
        <v>9</v>
      </c>
      <c r="B11" s="4" t="s">
        <v>28</v>
      </c>
      <c r="C11" s="8" t="s">
        <v>72</v>
      </c>
      <c r="D11" s="21" t="n">
        <v>39763</v>
      </c>
      <c r="E11" s="22" t="n">
        <v>147.67</v>
      </c>
      <c r="F11" s="21" t="n">
        <v>39764</v>
      </c>
      <c r="G11" s="22" t="n">
        <v>144.42</v>
      </c>
      <c r="H11" s="22" t="n">
        <v>132.9</v>
      </c>
      <c r="I11" s="21" t="n">
        <v>39771</v>
      </c>
      <c r="J11" s="22" t="n">
        <v>132.9</v>
      </c>
      <c r="K11" s="21" t="n">
        <v>39772</v>
      </c>
      <c r="L11" s="22" t="n">
        <v>125.91</v>
      </c>
      <c r="M11" s="8" t="s">
        <v>75</v>
      </c>
      <c r="N11" s="4" t="n">
        <v>6</v>
      </c>
      <c r="O11" s="6" t="n">
        <f aca="false">IF(C11="롱",(J11-E11)/E11,(E11-J11)/E11)</f>
        <v>-0.100020315568497</v>
      </c>
    </row>
    <row r="12" customFormat="false" ht="17.15" hidden="false" customHeight="false" outlineLevel="0" collapsed="false">
      <c r="A12" s="4" t="n">
        <v>9</v>
      </c>
      <c r="B12" s="4" t="s">
        <v>28</v>
      </c>
      <c r="C12" s="8" t="s">
        <v>72</v>
      </c>
      <c r="D12" s="21" t="n">
        <v>39772</v>
      </c>
      <c r="E12" s="22" t="n">
        <v>123.54</v>
      </c>
      <c r="F12" s="21" t="n">
        <v>39773</v>
      </c>
      <c r="G12" s="22" t="n">
        <v>121.31</v>
      </c>
      <c r="H12" s="22" t="n">
        <v>111.19</v>
      </c>
      <c r="I12" s="21" t="n">
        <v>39773</v>
      </c>
      <c r="J12" s="22" t="n">
        <v>130.76</v>
      </c>
      <c r="K12" s="21" t="n">
        <v>39776</v>
      </c>
      <c r="L12" s="22" t="n">
        <v>129.6</v>
      </c>
      <c r="M12" s="8" t="s">
        <v>73</v>
      </c>
      <c r="N12" s="4" t="n">
        <v>1</v>
      </c>
      <c r="O12" s="6" t="n">
        <f aca="false">IF(C12="롱",(J12-E12)/E12,(E12-J12)/E12)</f>
        <v>0.0584426096810748</v>
      </c>
    </row>
    <row r="13" customFormat="false" ht="17.15" hidden="false" customHeight="false" outlineLevel="0" collapsed="false">
      <c r="A13" s="4" t="n">
        <v>9</v>
      </c>
      <c r="B13" s="4" t="s">
        <v>28</v>
      </c>
      <c r="C13" s="8" t="s">
        <v>72</v>
      </c>
      <c r="D13" s="21" t="n">
        <v>39776</v>
      </c>
      <c r="E13" s="22" t="n">
        <v>126.02</v>
      </c>
      <c r="F13" s="21" t="n">
        <v>39777</v>
      </c>
      <c r="G13" s="22" t="n">
        <v>132.35</v>
      </c>
      <c r="H13" s="22" t="n">
        <v>113.42</v>
      </c>
      <c r="I13" s="21" t="n">
        <v>39778</v>
      </c>
      <c r="J13" s="22" t="n">
        <v>134.5</v>
      </c>
      <c r="K13" s="21" t="n">
        <v>39779</v>
      </c>
      <c r="L13" s="22" t="n">
        <v>138.55</v>
      </c>
      <c r="M13" s="8" t="s">
        <v>73</v>
      </c>
      <c r="N13" s="4" t="n">
        <v>2</v>
      </c>
      <c r="O13" s="6" t="n">
        <f aca="false">IF(C13="롱",(J13-E13)/E13,(E13-J13)/E13)</f>
        <v>0.0672909062053643</v>
      </c>
    </row>
    <row r="14" customFormat="false" ht="17.15" hidden="false" customHeight="false" outlineLevel="0" collapsed="false">
      <c r="A14" s="4" t="n">
        <v>9</v>
      </c>
      <c r="B14" s="4" t="s">
        <v>28</v>
      </c>
      <c r="C14" s="8" t="s">
        <v>72</v>
      </c>
      <c r="D14" s="21" t="n">
        <v>40870</v>
      </c>
      <c r="E14" s="22" t="n">
        <v>231.68</v>
      </c>
      <c r="F14" s="21" t="n">
        <v>40871</v>
      </c>
      <c r="G14" s="22" t="n">
        <v>230.7</v>
      </c>
      <c r="H14" s="22" t="n">
        <v>208.51</v>
      </c>
      <c r="I14" s="21" t="n">
        <v>40875</v>
      </c>
      <c r="J14" s="22" t="n">
        <v>236.59</v>
      </c>
      <c r="K14" s="21" t="n">
        <v>40876</v>
      </c>
      <c r="L14" s="22" t="n">
        <v>238.4</v>
      </c>
      <c r="M14" s="8" t="s">
        <v>73</v>
      </c>
      <c r="N14" s="4" t="n">
        <v>3</v>
      </c>
      <c r="O14" s="6" t="n">
        <f aca="false">IF(C14="롱",(J14-E14)/E14,(E14-J14)/E14)</f>
        <v>0.0211930248618784</v>
      </c>
    </row>
    <row r="15" customFormat="false" ht="17.15" hidden="false" customHeight="false" outlineLevel="0" collapsed="false">
      <c r="A15" s="4" t="n">
        <v>9</v>
      </c>
      <c r="B15" s="4" t="s">
        <v>28</v>
      </c>
      <c r="C15" s="8" t="s">
        <v>72</v>
      </c>
      <c r="D15" s="21" t="n">
        <v>41102</v>
      </c>
      <c r="E15" s="22" t="n">
        <v>234.66</v>
      </c>
      <c r="F15" s="21" t="n">
        <v>41103</v>
      </c>
      <c r="G15" s="22" t="n">
        <v>235.49</v>
      </c>
      <c r="H15" s="22" t="n">
        <v>216.21</v>
      </c>
      <c r="I15" s="21" t="n">
        <v>41103</v>
      </c>
      <c r="J15" s="22" t="n">
        <v>238.77</v>
      </c>
      <c r="K15" s="21" t="n">
        <v>41106</v>
      </c>
      <c r="L15" s="22" t="n">
        <v>239.81</v>
      </c>
      <c r="M15" s="8" t="s">
        <v>73</v>
      </c>
      <c r="N15" s="4" t="n">
        <v>1</v>
      </c>
      <c r="O15" s="6" t="n">
        <f aca="false">IF(C15="롱",(J15-E15)/E15,(E15-J15)/E15)</f>
        <v>0.0175147021222194</v>
      </c>
    </row>
    <row r="16" customFormat="false" ht="17.15" hidden="false" customHeight="false" outlineLevel="0" collapsed="false">
      <c r="A16" s="4" t="n">
        <v>9</v>
      </c>
      <c r="B16" s="4" t="s">
        <v>28</v>
      </c>
      <c r="C16" s="8" t="s">
        <v>72</v>
      </c>
      <c r="D16" s="21" t="n">
        <v>41115</v>
      </c>
      <c r="E16" s="22" t="n">
        <v>233.49</v>
      </c>
      <c r="F16" s="21" t="n">
        <v>41116</v>
      </c>
      <c r="G16" s="22" t="n">
        <v>234.75</v>
      </c>
      <c r="H16" s="22" t="n">
        <v>213.9</v>
      </c>
      <c r="I16" s="21" t="n">
        <v>41117</v>
      </c>
      <c r="J16" s="22" t="n">
        <v>242.23</v>
      </c>
      <c r="K16" s="21" t="n">
        <v>41120</v>
      </c>
      <c r="L16" s="22" t="n">
        <v>244.8</v>
      </c>
      <c r="M16" s="8" t="s">
        <v>73</v>
      </c>
      <c r="N16" s="4" t="n">
        <v>2</v>
      </c>
      <c r="O16" s="6" t="n">
        <f aca="false">IF(C16="롱",(J16-E16)/E16,(E16-J16)/E16)</f>
        <v>0.0374320099361856</v>
      </c>
    </row>
    <row r="17" customFormat="false" ht="17.15" hidden="false" customHeight="false" outlineLevel="0" collapsed="false">
      <c r="A17" s="4" t="n">
        <v>9</v>
      </c>
      <c r="B17" s="4" t="s">
        <v>28</v>
      </c>
      <c r="C17" s="8" t="s">
        <v>72</v>
      </c>
      <c r="D17" s="21" t="n">
        <v>41449</v>
      </c>
      <c r="E17" s="22" t="n">
        <v>233.47</v>
      </c>
      <c r="F17" s="21" t="n">
        <v>41450</v>
      </c>
      <c r="G17" s="22" t="n">
        <v>232.25</v>
      </c>
      <c r="H17" s="22" t="n">
        <v>217.88</v>
      </c>
      <c r="I17" s="21" t="n">
        <v>41452</v>
      </c>
      <c r="J17" s="22" t="n">
        <v>238.65</v>
      </c>
      <c r="K17" s="21" t="n">
        <v>41453</v>
      </c>
      <c r="L17" s="22" t="n">
        <v>240.01</v>
      </c>
      <c r="M17" s="8" t="s">
        <v>73</v>
      </c>
      <c r="N17" s="4" t="n">
        <v>3</v>
      </c>
      <c r="O17" s="6" t="n">
        <f aca="false">IF(C17="롱",(J17-E17)/E17,(E17-J17)/E17)</f>
        <v>0.0221870047543582</v>
      </c>
    </row>
    <row r="18" customFormat="false" ht="17.15" hidden="false" customHeight="false" outlineLevel="0" collapsed="false">
      <c r="A18" s="4" t="n">
        <v>9</v>
      </c>
      <c r="B18" s="4" t="s">
        <v>28</v>
      </c>
      <c r="C18" s="8" t="s">
        <v>72</v>
      </c>
      <c r="D18" s="21" t="n">
        <v>41463</v>
      </c>
      <c r="E18" s="22" t="n">
        <v>235.12</v>
      </c>
      <c r="F18" s="21" t="n">
        <v>41464</v>
      </c>
      <c r="G18" s="22" t="n">
        <v>236.69</v>
      </c>
      <c r="H18" s="22" t="n">
        <v>215.63</v>
      </c>
      <c r="I18" s="21" t="n">
        <v>41464</v>
      </c>
      <c r="J18" s="22" t="n">
        <v>236.94</v>
      </c>
      <c r="K18" s="21" t="n">
        <v>41465</v>
      </c>
      <c r="L18" s="22" t="n">
        <v>237.74</v>
      </c>
      <c r="M18" s="8" t="s">
        <v>73</v>
      </c>
      <c r="N18" s="4" t="n">
        <v>1</v>
      </c>
      <c r="O18" s="6" t="n">
        <f aca="false">IF(C18="롱",(J18-E18)/E18,(E18-J18)/E18)</f>
        <v>0.0077407281388227</v>
      </c>
    </row>
    <row r="19" customFormat="false" ht="17.15" hidden="false" customHeight="false" outlineLevel="0" collapsed="false">
      <c r="A19" s="4" t="n">
        <v>9</v>
      </c>
      <c r="B19" s="4" t="s">
        <v>28</v>
      </c>
      <c r="C19" s="8" t="s">
        <v>72</v>
      </c>
      <c r="D19" s="21" t="n">
        <v>42233</v>
      </c>
      <c r="E19" s="22" t="n">
        <v>235.37</v>
      </c>
      <c r="F19" s="21" t="n">
        <v>42234</v>
      </c>
      <c r="G19" s="22" t="n">
        <v>236.69</v>
      </c>
      <c r="H19" s="22" t="n">
        <v>221.76</v>
      </c>
      <c r="I19" s="21" t="n">
        <v>42240</v>
      </c>
      <c r="J19" s="22" t="n">
        <v>221.76</v>
      </c>
      <c r="K19" s="21" t="n">
        <v>42241</v>
      </c>
      <c r="L19" s="22" t="n">
        <v>222.56</v>
      </c>
      <c r="M19" s="8" t="s">
        <v>75</v>
      </c>
      <c r="N19" s="4" t="n">
        <v>5</v>
      </c>
      <c r="O19" s="6" t="n">
        <f aca="false">IF(C19="롱",(J19-E19)/E19,(E19-J19)/E19)</f>
        <v>-0.057823851807792</v>
      </c>
    </row>
    <row r="20" customFormat="false" ht="17.15" hidden="false" customHeight="false" outlineLevel="0" collapsed="false">
      <c r="A20" s="4" t="n">
        <v>9</v>
      </c>
      <c r="B20" s="4" t="s">
        <v>28</v>
      </c>
      <c r="C20" s="8" t="s">
        <v>72</v>
      </c>
      <c r="D20" s="21" t="n">
        <v>42248</v>
      </c>
      <c r="E20" s="22" t="n">
        <v>229.55</v>
      </c>
      <c r="F20" s="21" t="n">
        <v>42249</v>
      </c>
      <c r="G20" s="22" t="n">
        <v>226.36</v>
      </c>
      <c r="H20" s="22" t="n">
        <v>210.79</v>
      </c>
      <c r="I20" s="21" t="n">
        <v>42256</v>
      </c>
      <c r="J20" s="22" t="n">
        <v>234.4</v>
      </c>
      <c r="K20" s="21" t="n">
        <v>42257</v>
      </c>
      <c r="L20" s="22" t="n">
        <v>232.34</v>
      </c>
      <c r="M20" s="8" t="s">
        <v>73</v>
      </c>
      <c r="N20" s="4" t="n">
        <v>6</v>
      </c>
      <c r="O20" s="6" t="n">
        <f aca="false">IF(C20="롱",(J20-E20)/E20,(E20-J20)/E20)</f>
        <v>0.021128294489218</v>
      </c>
    </row>
    <row r="21" customFormat="false" ht="17.15" hidden="false" customHeight="false" outlineLevel="0" collapsed="false">
      <c r="A21" s="4" t="n">
        <v>9</v>
      </c>
      <c r="B21" s="4" t="s">
        <v>28</v>
      </c>
      <c r="C21" s="8" t="s">
        <v>72</v>
      </c>
      <c r="D21" s="21" t="n">
        <v>42384</v>
      </c>
      <c r="E21" s="22" t="n">
        <v>228.78</v>
      </c>
      <c r="F21" s="21" t="n">
        <v>42387</v>
      </c>
      <c r="G21" s="22" t="n">
        <v>225.56</v>
      </c>
      <c r="H21" s="22" t="n">
        <v>211.35</v>
      </c>
      <c r="I21" s="21" t="n">
        <v>42396</v>
      </c>
      <c r="J21" s="22" t="n">
        <v>230.96</v>
      </c>
      <c r="K21" s="21" t="n">
        <v>42397</v>
      </c>
      <c r="L21" s="22" t="n">
        <v>229.07</v>
      </c>
      <c r="M21" s="8" t="s">
        <v>73</v>
      </c>
      <c r="N21" s="4" t="n">
        <v>8</v>
      </c>
      <c r="O21" s="6" t="n">
        <f aca="false">IF(C21="롱",(J21-E21)/E21,(E21-J21)/E21)</f>
        <v>0.00952880496546904</v>
      </c>
    </row>
    <row r="22" customFormat="false" ht="17.15" hidden="false" customHeight="false" outlineLevel="0" collapsed="false">
      <c r="A22" s="4" t="n">
        <v>9</v>
      </c>
      <c r="B22" s="4" t="s">
        <v>28</v>
      </c>
      <c r="C22" s="8" t="s">
        <v>72</v>
      </c>
      <c r="D22" s="21" t="n">
        <v>42403</v>
      </c>
      <c r="E22" s="22" t="n">
        <v>228.97</v>
      </c>
      <c r="F22" s="21" t="n">
        <v>42404</v>
      </c>
      <c r="G22" s="22" t="n">
        <v>230.3</v>
      </c>
      <c r="H22" s="22" t="n">
        <v>210.6</v>
      </c>
      <c r="I22" s="21" t="n">
        <v>42404</v>
      </c>
      <c r="J22" s="22" t="n">
        <v>232.91</v>
      </c>
      <c r="K22" s="21" t="n">
        <v>42405</v>
      </c>
      <c r="L22" s="22" t="n">
        <v>232.73</v>
      </c>
      <c r="M22" s="8" t="s">
        <v>73</v>
      </c>
      <c r="N22" s="4" t="n">
        <v>1</v>
      </c>
      <c r="O22" s="6" t="n">
        <f aca="false">IF(C22="롱",(J22-E22)/E22,(E22-J22)/E22)</f>
        <v>0.0172074944315849</v>
      </c>
    </row>
    <row r="23" customFormat="false" ht="17.15" hidden="false" customHeight="false" outlineLevel="0" collapsed="false">
      <c r="A23" s="4" t="n">
        <v>9</v>
      </c>
      <c r="B23" s="4" t="s">
        <v>28</v>
      </c>
      <c r="C23" s="8" t="s">
        <v>72</v>
      </c>
      <c r="D23" s="21" t="n">
        <v>42411</v>
      </c>
      <c r="E23" s="22" t="n">
        <v>226.7</v>
      </c>
      <c r="F23" s="21" t="n">
        <v>42412</v>
      </c>
      <c r="G23" s="22" t="n">
        <v>225.5</v>
      </c>
      <c r="H23" s="22" t="n">
        <v>207.74</v>
      </c>
      <c r="I23" s="21" t="n">
        <v>42416</v>
      </c>
      <c r="J23" s="22" t="n">
        <v>231.52</v>
      </c>
      <c r="K23" s="21" t="n">
        <v>42417</v>
      </c>
      <c r="L23" s="22" t="n">
        <v>231.66</v>
      </c>
      <c r="M23" s="8" t="s">
        <v>73</v>
      </c>
      <c r="N23" s="4" t="n">
        <v>3</v>
      </c>
      <c r="O23" s="6" t="n">
        <f aca="false">IF(C23="롱",(J23-E23)/E23,(E23-J23)/E23)</f>
        <v>0.0212615791795325</v>
      </c>
    </row>
    <row r="24" customFormat="false" ht="17.15" hidden="false" customHeight="false" outlineLevel="0" collapsed="false">
      <c r="A24" s="4" t="n">
        <v>9</v>
      </c>
      <c r="B24" s="4" t="s">
        <v>28</v>
      </c>
      <c r="C24" s="8" t="s">
        <v>72</v>
      </c>
      <c r="D24" s="21" t="n">
        <v>45203</v>
      </c>
      <c r="E24" s="22" t="n">
        <v>319.45</v>
      </c>
      <c r="F24" s="21" t="n">
        <v>45204</v>
      </c>
      <c r="G24" s="22" t="n">
        <v>321.46</v>
      </c>
      <c r="H24" s="22" t="n">
        <v>300.17</v>
      </c>
      <c r="I24" s="21" t="n">
        <v>45210</v>
      </c>
      <c r="J24" s="22" t="n">
        <v>324.74</v>
      </c>
      <c r="K24" s="21" t="n">
        <v>45211</v>
      </c>
      <c r="L24" s="22" t="n">
        <v>326.89</v>
      </c>
      <c r="M24" s="8" t="s">
        <v>73</v>
      </c>
      <c r="N24" s="4" t="n">
        <v>4</v>
      </c>
      <c r="O24" s="6" t="n">
        <f aca="false">IF(C24="롱",(J24-E24)/E24,(E24-J24)/E24)</f>
        <v>0.0165597120050087</v>
      </c>
    </row>
    <row r="25" customFormat="false" ht="17.15" hidden="false" customHeight="false" outlineLevel="0" collapsed="false">
      <c r="A25" s="4" t="n">
        <v>9</v>
      </c>
      <c r="B25" s="4" t="s">
        <v>28</v>
      </c>
      <c r="C25" s="8" t="s">
        <v>72</v>
      </c>
      <c r="D25" s="21" t="n">
        <v>45219</v>
      </c>
      <c r="E25" s="22" t="n">
        <v>317.96</v>
      </c>
      <c r="F25" s="21" t="n">
        <v>45222</v>
      </c>
      <c r="G25" s="22" t="n">
        <v>317.43</v>
      </c>
      <c r="H25" s="22" t="n">
        <v>295.19</v>
      </c>
      <c r="I25" s="21" t="n">
        <v>45236</v>
      </c>
      <c r="J25" s="22" t="n">
        <v>334.16</v>
      </c>
      <c r="K25" s="21" t="n">
        <v>45237</v>
      </c>
      <c r="L25" s="22" t="n">
        <v>330.7</v>
      </c>
      <c r="M25" s="8" t="s">
        <v>73</v>
      </c>
      <c r="N25" s="4" t="n">
        <v>11</v>
      </c>
      <c r="O25" s="6" t="n">
        <f aca="false">IF(C25="롱",(J25-E25)/E25,(E25-J25)/E25)</f>
        <v>0.0509498050069193</v>
      </c>
    </row>
  </sheetData>
  <autoFilter ref="A4:O2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10" min="9" style="0" width="14"/>
    <col collapsed="false" customWidth="true" hidden="false" outlineLevel="0" max="11" min="11" style="0" width="16"/>
    <col collapsed="false" customWidth="true" hidden="false" outlineLevel="0" max="12" min="12" style="0" width="12"/>
    <col collapsed="false" customWidth="true" hidden="false" outlineLevel="0" max="13" min="13" style="0" width="16"/>
    <col collapsed="false" customWidth="true" hidden="false" outlineLevel="0" max="14" min="14" style="0" width="7"/>
    <col collapsed="false" customWidth="true" hidden="false" outlineLevel="0" max="15" min="15" style="0" width="16"/>
  </cols>
  <sheetData>
    <row r="1" customFormat="false" ht="19.4" hidden="false" customHeight="false" outlineLevel="0" collapsed="false">
      <c r="A1" s="1" t="s">
        <v>87</v>
      </c>
    </row>
    <row r="2" customFormat="false" ht="15" hidden="false" customHeight="false" outlineLevel="0" collapsed="false">
      <c r="A2" s="2" t="s">
        <v>58</v>
      </c>
    </row>
    <row r="4" customFormat="false" ht="31.5" hidden="false" customHeight="true" outlineLevel="0" collapsed="false">
      <c r="A4" s="19" t="s">
        <v>2</v>
      </c>
      <c r="B4" s="19" t="s">
        <v>3</v>
      </c>
      <c r="C4" s="19" t="s">
        <v>59</v>
      </c>
      <c r="D4" s="19" t="s">
        <v>60</v>
      </c>
      <c r="E4" s="19" t="s">
        <v>61</v>
      </c>
      <c r="F4" s="20" t="s">
        <v>62</v>
      </c>
      <c r="G4" s="19" t="s">
        <v>63</v>
      </c>
      <c r="H4" s="19" t="s">
        <v>64</v>
      </c>
      <c r="I4" s="19" t="s">
        <v>65</v>
      </c>
      <c r="J4" s="19" t="s">
        <v>66</v>
      </c>
      <c r="K4" s="20" t="s">
        <v>67</v>
      </c>
      <c r="L4" s="19" t="s">
        <v>68</v>
      </c>
      <c r="M4" s="19" t="s">
        <v>69</v>
      </c>
      <c r="N4" s="19" t="s">
        <v>70</v>
      </c>
      <c r="O4" s="19" t="s">
        <v>71</v>
      </c>
    </row>
    <row r="5" customFormat="false" ht="17.15" hidden="false" customHeight="false" outlineLevel="0" collapsed="false">
      <c r="A5" s="4" t="n">
        <v>10</v>
      </c>
      <c r="B5" s="4" t="s">
        <v>30</v>
      </c>
      <c r="C5" s="8" t="s">
        <v>72</v>
      </c>
      <c r="D5" s="21" t="n">
        <v>37575</v>
      </c>
      <c r="E5" s="22" t="n">
        <v>85.26</v>
      </c>
      <c r="F5" s="21" t="n">
        <v>37578</v>
      </c>
      <c r="G5" s="22" t="n">
        <v>85.25</v>
      </c>
      <c r="H5" s="22" t="n">
        <v>76.73</v>
      </c>
      <c r="I5" s="21" t="n">
        <v>37601</v>
      </c>
      <c r="J5" s="22" t="n">
        <v>88.51</v>
      </c>
      <c r="K5" s="21" t="n">
        <v>37602</v>
      </c>
      <c r="L5" s="22" t="n">
        <v>89.12</v>
      </c>
      <c r="M5" s="8" t="s">
        <v>73</v>
      </c>
      <c r="N5" s="4" t="n">
        <v>18</v>
      </c>
      <c r="O5" s="6" t="n">
        <f aca="false">IF(C5="롱",(J5-E5)/E5,(E5-J5)/E5)</f>
        <v>0.0381186957541637</v>
      </c>
    </row>
    <row r="6" customFormat="false" ht="17.15" hidden="false" customHeight="false" outlineLevel="0" collapsed="false">
      <c r="A6" s="4" t="n">
        <v>10</v>
      </c>
      <c r="B6" s="4" t="s">
        <v>30</v>
      </c>
      <c r="C6" s="8" t="s">
        <v>72</v>
      </c>
      <c r="D6" s="21" t="n">
        <v>37708</v>
      </c>
      <c r="E6" s="22" t="n">
        <v>70.77</v>
      </c>
      <c r="F6" s="21" t="n">
        <v>37711</v>
      </c>
      <c r="G6" s="22" t="n">
        <v>69.63</v>
      </c>
      <c r="H6" s="22" t="n">
        <v>63.69</v>
      </c>
      <c r="I6" s="21" t="n">
        <v>37711</v>
      </c>
      <c r="J6" s="22" t="n">
        <v>68.05</v>
      </c>
      <c r="K6" s="21" t="n">
        <v>37712</v>
      </c>
      <c r="L6" s="22" t="n">
        <v>67.19</v>
      </c>
      <c r="M6" s="8" t="s">
        <v>73</v>
      </c>
      <c r="N6" s="4" t="n">
        <v>1</v>
      </c>
      <c r="O6" s="6" t="n">
        <f aca="false">IF(C6="롱",(J6-E6)/E6,(E6-J6)/E6)</f>
        <v>-0.0384343648438604</v>
      </c>
    </row>
    <row r="7" customFormat="false" ht="17.15" hidden="false" customHeight="false" outlineLevel="0" collapsed="false">
      <c r="A7" s="4" t="n">
        <v>10</v>
      </c>
      <c r="B7" s="4" t="s">
        <v>30</v>
      </c>
      <c r="C7" s="8" t="s">
        <v>72</v>
      </c>
      <c r="D7" s="21" t="n">
        <v>37965</v>
      </c>
      <c r="E7" s="22" t="n">
        <v>102.69</v>
      </c>
      <c r="F7" s="21" t="n">
        <v>37966</v>
      </c>
      <c r="G7" s="22" t="n">
        <v>103</v>
      </c>
      <c r="H7" s="22" t="n">
        <v>92.42</v>
      </c>
      <c r="I7" s="21" t="n">
        <v>37966</v>
      </c>
      <c r="J7" s="22" t="n">
        <v>102.12</v>
      </c>
      <c r="K7" s="21" t="n">
        <v>37967</v>
      </c>
      <c r="L7" s="22" t="n">
        <v>104.2</v>
      </c>
      <c r="M7" s="8" t="s">
        <v>73</v>
      </c>
      <c r="N7" s="4" t="n">
        <v>1</v>
      </c>
      <c r="O7" s="6" t="n">
        <f aca="false">IF(C7="롱",(J7-E7)/E7,(E7-J7)/E7)</f>
        <v>-0.00555068653228156</v>
      </c>
    </row>
    <row r="8" customFormat="false" ht="17.15" hidden="false" customHeight="false" outlineLevel="0" collapsed="false">
      <c r="A8" s="4" t="n">
        <v>10</v>
      </c>
      <c r="B8" s="4" t="s">
        <v>30</v>
      </c>
      <c r="C8" s="8" t="s">
        <v>72</v>
      </c>
      <c r="D8" s="21" t="n">
        <v>38314</v>
      </c>
      <c r="E8" s="22" t="n">
        <v>111.18</v>
      </c>
      <c r="F8" s="21" t="n">
        <v>38315</v>
      </c>
      <c r="G8" s="22" t="n">
        <v>110.97</v>
      </c>
      <c r="H8" s="22" t="n">
        <v>100.8</v>
      </c>
      <c r="I8" s="21" t="n">
        <v>38317</v>
      </c>
      <c r="J8" s="22" t="n">
        <v>110.68</v>
      </c>
      <c r="K8" s="21" t="n">
        <v>38320</v>
      </c>
      <c r="L8" s="22" t="n">
        <v>111.08</v>
      </c>
      <c r="M8" s="8" t="s">
        <v>73</v>
      </c>
      <c r="N8" s="4" t="n">
        <v>3</v>
      </c>
      <c r="O8" s="6" t="n">
        <f aca="false">IF(C8="롱",(J8-E8)/E8,(E8-J8)/E8)</f>
        <v>-0.00449721172872819</v>
      </c>
    </row>
    <row r="9" customFormat="false" ht="17.15" hidden="false" customHeight="false" outlineLevel="0" collapsed="false">
      <c r="A9" s="4" t="n">
        <v>10</v>
      </c>
      <c r="B9" s="4" t="s">
        <v>30</v>
      </c>
      <c r="C9" s="8" t="s">
        <v>72</v>
      </c>
      <c r="D9" s="21" t="n">
        <v>38336</v>
      </c>
      <c r="E9" s="22" t="n">
        <v>111.87</v>
      </c>
      <c r="F9" s="21" t="n">
        <v>38337</v>
      </c>
      <c r="G9" s="22" t="n">
        <v>112.04</v>
      </c>
      <c r="H9" s="22" t="n">
        <v>101.25</v>
      </c>
      <c r="I9" s="21" t="n">
        <v>38426</v>
      </c>
      <c r="J9" s="22" t="n">
        <v>127.95</v>
      </c>
      <c r="K9" s="21" t="n">
        <v>38427</v>
      </c>
      <c r="L9" s="22" t="n">
        <v>127.64</v>
      </c>
      <c r="M9" s="8" t="s">
        <v>73</v>
      </c>
      <c r="N9" s="4" t="n">
        <v>59</v>
      </c>
      <c r="O9" s="6" t="n">
        <f aca="false">IF(C9="롱",(J9-E9)/E9,(E9-J9)/E9)</f>
        <v>0.143738267632073</v>
      </c>
    </row>
    <row r="10" customFormat="false" ht="17.15" hidden="false" customHeight="false" outlineLevel="0" collapsed="false">
      <c r="A10" s="4" t="n">
        <v>10</v>
      </c>
      <c r="B10" s="4" t="s">
        <v>30</v>
      </c>
      <c r="C10" s="8" t="s">
        <v>72</v>
      </c>
      <c r="D10" s="21" t="n">
        <v>38586</v>
      </c>
      <c r="E10" s="22" t="n">
        <v>144.4</v>
      </c>
      <c r="F10" s="21" t="n">
        <v>38587</v>
      </c>
      <c r="G10" s="22" t="n">
        <v>144.61</v>
      </c>
      <c r="H10" s="22" t="n">
        <v>133.83</v>
      </c>
      <c r="I10" s="21" t="n">
        <v>38588</v>
      </c>
      <c r="J10" s="22" t="n">
        <v>141.27</v>
      </c>
      <c r="K10" s="21" t="n">
        <v>38589</v>
      </c>
      <c r="L10" s="22" t="n">
        <v>140.12</v>
      </c>
      <c r="M10" s="8" t="s">
        <v>73</v>
      </c>
      <c r="N10" s="4" t="n">
        <v>2</v>
      </c>
      <c r="O10" s="6" t="n">
        <f aca="false">IF(C10="롱",(J10-E10)/E10,(E10-J10)/E10)</f>
        <v>-0.0216759002770083</v>
      </c>
    </row>
    <row r="11" customFormat="false" ht="17.15" hidden="false" customHeight="false" outlineLevel="0" collapsed="false">
      <c r="A11" s="4" t="n">
        <v>10</v>
      </c>
      <c r="B11" s="4" t="s">
        <v>30</v>
      </c>
      <c r="C11" s="8" t="s">
        <v>72</v>
      </c>
      <c r="D11" s="21" t="n">
        <v>38804</v>
      </c>
      <c r="E11" s="22" t="n">
        <v>172.77</v>
      </c>
      <c r="F11" s="21" t="n">
        <v>38805</v>
      </c>
      <c r="G11" s="22" t="n">
        <v>171.12</v>
      </c>
      <c r="H11" s="22" t="n">
        <v>158.57</v>
      </c>
      <c r="I11" s="21" t="n">
        <v>38852</v>
      </c>
      <c r="J11" s="22" t="n">
        <v>183.08</v>
      </c>
      <c r="K11" s="21" t="n">
        <v>38853</v>
      </c>
      <c r="L11" s="22" t="n">
        <v>183.32</v>
      </c>
      <c r="M11" s="8" t="s">
        <v>73</v>
      </c>
      <c r="N11" s="4" t="n">
        <v>32</v>
      </c>
      <c r="O11" s="6" t="n">
        <f aca="false">IF(C11="롱",(J11-E11)/E11,(E11-J11)/E11)</f>
        <v>0.0596747120449152</v>
      </c>
    </row>
    <row r="12" customFormat="false" ht="17.15" hidden="false" customHeight="false" outlineLevel="0" collapsed="false">
      <c r="A12" s="4" t="n">
        <v>10</v>
      </c>
      <c r="B12" s="4" t="s">
        <v>30</v>
      </c>
      <c r="C12" s="8" t="s">
        <v>72</v>
      </c>
      <c r="D12" s="21" t="n">
        <v>39114</v>
      </c>
      <c r="E12" s="22" t="n">
        <v>179.1</v>
      </c>
      <c r="F12" s="21" t="n">
        <v>39115</v>
      </c>
      <c r="G12" s="22" t="n">
        <v>179.58</v>
      </c>
      <c r="H12" s="22" t="n">
        <v>166.68</v>
      </c>
      <c r="I12" s="21" t="n">
        <v>39141</v>
      </c>
      <c r="J12" s="22" t="n">
        <v>183.2</v>
      </c>
      <c r="K12" s="21" t="n">
        <v>39143</v>
      </c>
      <c r="L12" s="22" t="n">
        <v>181.87</v>
      </c>
      <c r="M12" s="8" t="s">
        <v>73</v>
      </c>
      <c r="N12" s="4" t="n">
        <v>18</v>
      </c>
      <c r="O12" s="6" t="n">
        <f aca="false">IF(C12="롱",(J12-E12)/E12,(E12-J12)/E12)</f>
        <v>0.022892238972641</v>
      </c>
    </row>
    <row r="13" customFormat="false" ht="17.15" hidden="false" customHeight="false" outlineLevel="0" collapsed="false">
      <c r="A13" s="4" t="n">
        <v>10</v>
      </c>
      <c r="B13" s="4" t="s">
        <v>30</v>
      </c>
      <c r="C13" s="8" t="s">
        <v>72</v>
      </c>
      <c r="D13" s="21" t="n">
        <v>39160</v>
      </c>
      <c r="E13" s="22" t="n">
        <v>186.31</v>
      </c>
      <c r="F13" s="21" t="n">
        <v>39161</v>
      </c>
      <c r="G13" s="22" t="n">
        <v>187.02</v>
      </c>
      <c r="H13" s="22" t="n">
        <v>172.36</v>
      </c>
      <c r="I13" s="21" t="n">
        <v>39260</v>
      </c>
      <c r="J13" s="22" t="n">
        <v>220.35</v>
      </c>
      <c r="K13" s="21" t="n">
        <v>39261</v>
      </c>
      <c r="L13" s="22" t="n">
        <v>221.93</v>
      </c>
      <c r="M13" s="8" t="s">
        <v>73</v>
      </c>
      <c r="N13" s="4" t="n">
        <v>69</v>
      </c>
      <c r="O13" s="6" t="n">
        <f aca="false">IF(C13="롱",(J13-E13)/E13,(E13-J13)/E13)</f>
        <v>0.182706242284365</v>
      </c>
    </row>
    <row r="14" customFormat="false" ht="17.15" hidden="false" customHeight="false" outlineLevel="0" collapsed="false">
      <c r="A14" s="4" t="n">
        <v>10</v>
      </c>
      <c r="B14" s="4" t="s">
        <v>30</v>
      </c>
      <c r="C14" s="8" t="s">
        <v>72</v>
      </c>
      <c r="D14" s="21" t="n">
        <v>39513</v>
      </c>
      <c r="E14" s="22" t="n">
        <v>214.92</v>
      </c>
      <c r="F14" s="21" t="n">
        <v>39514</v>
      </c>
      <c r="G14" s="22" t="n">
        <v>212.84</v>
      </c>
      <c r="H14" s="22" t="n">
        <v>193.43</v>
      </c>
      <c r="I14" s="21" t="n">
        <v>39514</v>
      </c>
      <c r="J14" s="22" t="n">
        <v>210.57</v>
      </c>
      <c r="K14" s="21" t="n">
        <v>39517</v>
      </c>
      <c r="L14" s="22" t="n">
        <v>206.7</v>
      </c>
      <c r="M14" s="8" t="s">
        <v>73</v>
      </c>
      <c r="N14" s="4" t="n">
        <v>1</v>
      </c>
      <c r="O14" s="6" t="n">
        <f aca="false">IF(C14="롱",(J14-E14)/E14,(E14-J14)/E14)</f>
        <v>-0.0202400893355667</v>
      </c>
    </row>
    <row r="15" customFormat="false" ht="17.15" hidden="false" customHeight="false" outlineLevel="0" collapsed="false">
      <c r="A15" s="4" t="n">
        <v>10</v>
      </c>
      <c r="B15" s="4" t="s">
        <v>30</v>
      </c>
      <c r="C15" s="8" t="s">
        <v>72</v>
      </c>
      <c r="D15" s="21" t="n">
        <v>39932</v>
      </c>
      <c r="E15" s="22" t="n">
        <v>172.08</v>
      </c>
      <c r="F15" s="21" t="n">
        <v>39933</v>
      </c>
      <c r="G15" s="22" t="n">
        <v>174.04</v>
      </c>
      <c r="H15" s="22" t="n">
        <v>154.87</v>
      </c>
      <c r="I15" s="21" t="n">
        <v>39959</v>
      </c>
      <c r="J15" s="22" t="n">
        <v>174.77</v>
      </c>
      <c r="K15" s="21" t="n">
        <v>39960</v>
      </c>
      <c r="L15" s="22" t="n">
        <v>177.63</v>
      </c>
      <c r="M15" s="8" t="s">
        <v>73</v>
      </c>
      <c r="N15" s="4" t="n">
        <v>17</v>
      </c>
      <c r="O15" s="6" t="n">
        <f aca="false">IF(C15="롱",(J15-E15)/E15,(E15-J15)/E15)</f>
        <v>0.0156322640632264</v>
      </c>
    </row>
    <row r="16" customFormat="false" ht="17.15" hidden="false" customHeight="false" outlineLevel="0" collapsed="false">
      <c r="A16" s="4" t="n">
        <v>10</v>
      </c>
      <c r="B16" s="4" t="s">
        <v>30</v>
      </c>
      <c r="C16" s="8" t="s">
        <v>72</v>
      </c>
      <c r="D16" s="21" t="n">
        <v>40483</v>
      </c>
      <c r="E16" s="22" t="n">
        <v>247.41</v>
      </c>
      <c r="F16" s="21" t="n">
        <v>40484</v>
      </c>
      <c r="G16" s="22" t="n">
        <v>247.02</v>
      </c>
      <c r="H16" s="22" t="n">
        <v>231.62</v>
      </c>
      <c r="I16" s="21" t="n">
        <v>40499</v>
      </c>
      <c r="J16" s="22" t="n">
        <v>247.3</v>
      </c>
      <c r="K16" s="21" t="n">
        <v>40500</v>
      </c>
      <c r="L16" s="22" t="n">
        <v>248.92</v>
      </c>
      <c r="M16" s="8" t="s">
        <v>73</v>
      </c>
      <c r="N16" s="4" t="n">
        <v>12</v>
      </c>
      <c r="O16" s="6" t="n">
        <f aca="false">IF(C16="롱",(J16-E16)/E16,(E16-J16)/E16)</f>
        <v>-0.000444606119396893</v>
      </c>
    </row>
    <row r="17" customFormat="false" ht="17.15" hidden="false" customHeight="false" outlineLevel="0" collapsed="false">
      <c r="A17" s="4" t="n">
        <v>10</v>
      </c>
      <c r="B17" s="4" t="s">
        <v>30</v>
      </c>
      <c r="C17" s="8" t="s">
        <v>72</v>
      </c>
      <c r="D17" s="21" t="n">
        <v>40918</v>
      </c>
      <c r="E17" s="22" t="n">
        <v>241.69</v>
      </c>
      <c r="F17" s="21" t="n">
        <v>40919</v>
      </c>
      <c r="G17" s="22" t="n">
        <v>242.19</v>
      </c>
      <c r="H17" s="22" t="n">
        <v>218.32</v>
      </c>
      <c r="I17" s="21" t="n">
        <v>40966</v>
      </c>
      <c r="J17" s="22" t="n">
        <v>261.3</v>
      </c>
      <c r="K17" s="21" t="n">
        <v>40967</v>
      </c>
      <c r="L17" s="22" t="n">
        <v>262.19</v>
      </c>
      <c r="M17" s="8" t="s">
        <v>73</v>
      </c>
      <c r="N17" s="4" t="n">
        <v>32</v>
      </c>
      <c r="O17" s="6" t="n">
        <f aca="false">IF(C17="롱",(J17-E17)/E17,(E17-J17)/E17)</f>
        <v>0.0811369936695768</v>
      </c>
    </row>
    <row r="18" customFormat="false" ht="17.15" hidden="false" customHeight="false" outlineLevel="0" collapsed="false">
      <c r="A18" s="4" t="n">
        <v>10</v>
      </c>
      <c r="B18" s="4" t="s">
        <v>30</v>
      </c>
      <c r="C18" s="8" t="s">
        <v>72</v>
      </c>
      <c r="D18" s="21" t="n">
        <v>41407</v>
      </c>
      <c r="E18" s="22" t="n">
        <v>253.29</v>
      </c>
      <c r="F18" s="21" t="n">
        <v>41408</v>
      </c>
      <c r="G18" s="22" t="n">
        <v>254.09</v>
      </c>
      <c r="H18" s="22" t="n">
        <v>238.4</v>
      </c>
      <c r="I18" s="21" t="n">
        <v>41430</v>
      </c>
      <c r="J18" s="22" t="n">
        <v>256.51</v>
      </c>
      <c r="K18" s="21" t="n">
        <v>41432</v>
      </c>
      <c r="L18" s="22" t="n">
        <v>255.51</v>
      </c>
      <c r="M18" s="8" t="s">
        <v>73</v>
      </c>
      <c r="N18" s="4" t="n">
        <v>16</v>
      </c>
      <c r="O18" s="6" t="n">
        <f aca="false">IF(C18="롱",(J18-E18)/E18,(E18-J18)/E18)</f>
        <v>0.0127127008567255</v>
      </c>
    </row>
    <row r="19" customFormat="false" ht="17.15" hidden="false" customHeight="false" outlineLevel="0" collapsed="false">
      <c r="A19" s="4" t="n">
        <v>10</v>
      </c>
      <c r="B19" s="4" t="s">
        <v>30</v>
      </c>
      <c r="C19" s="8" t="s">
        <v>72</v>
      </c>
      <c r="D19" s="21" t="n">
        <v>41864</v>
      </c>
      <c r="E19" s="22" t="n">
        <v>265.91</v>
      </c>
      <c r="F19" s="21" t="n">
        <v>41865</v>
      </c>
      <c r="G19" s="22" t="n">
        <v>266.47</v>
      </c>
      <c r="H19" s="22" t="n">
        <v>253.59</v>
      </c>
      <c r="I19" s="21" t="n">
        <v>41869</v>
      </c>
      <c r="J19" s="22" t="n">
        <v>264.24</v>
      </c>
      <c r="K19" s="21" t="n">
        <v>41870</v>
      </c>
      <c r="L19" s="22" t="n">
        <v>266.07</v>
      </c>
      <c r="M19" s="8" t="s">
        <v>73</v>
      </c>
      <c r="N19" s="4" t="n">
        <v>2</v>
      </c>
      <c r="O19" s="6" t="n">
        <f aca="false">IF(C19="롱",(J19-E19)/E19,(E19-J19)/E19)</f>
        <v>-0.00628032040916105</v>
      </c>
    </row>
    <row r="20" customFormat="false" ht="17.15" hidden="false" customHeight="false" outlineLevel="0" collapsed="false">
      <c r="A20" s="4" t="n">
        <v>10</v>
      </c>
      <c r="B20" s="4" t="s">
        <v>30</v>
      </c>
      <c r="C20" s="8" t="s">
        <v>72</v>
      </c>
      <c r="D20" s="21" t="n">
        <v>42776</v>
      </c>
      <c r="E20" s="22" t="n">
        <v>268.66</v>
      </c>
      <c r="F20" s="21" t="n">
        <v>42779</v>
      </c>
      <c r="G20" s="22" t="n">
        <v>268.48</v>
      </c>
      <c r="H20" s="22" t="n">
        <v>256.93</v>
      </c>
      <c r="I20" s="21" t="n">
        <v>42780</v>
      </c>
      <c r="J20" s="22" t="n">
        <v>267.9</v>
      </c>
      <c r="K20" s="21" t="n">
        <v>42781</v>
      </c>
      <c r="L20" s="22" t="n">
        <v>267.64</v>
      </c>
      <c r="M20" s="8" t="s">
        <v>73</v>
      </c>
      <c r="N20" s="4" t="n">
        <v>2</v>
      </c>
      <c r="O20" s="6" t="n">
        <f aca="false">IF(C20="롱",(J20-E20)/E20,(E20-J20)/E20)</f>
        <v>-0.00282885431400301</v>
      </c>
    </row>
    <row r="21" customFormat="false" ht="17.15" hidden="false" customHeight="false" outlineLevel="0" collapsed="false">
      <c r="A21" s="4" t="n">
        <v>10</v>
      </c>
      <c r="B21" s="4" t="s">
        <v>30</v>
      </c>
      <c r="C21" s="8" t="s">
        <v>72</v>
      </c>
      <c r="D21" s="21" t="n">
        <v>43055</v>
      </c>
      <c r="E21" s="22" t="n">
        <v>334.36</v>
      </c>
      <c r="F21" s="21" t="n">
        <v>43056</v>
      </c>
      <c r="G21" s="22" t="n">
        <v>336.05</v>
      </c>
      <c r="H21" s="22" t="n">
        <v>319.56</v>
      </c>
      <c r="I21" s="21" t="n">
        <v>43059</v>
      </c>
      <c r="J21" s="22" t="n">
        <v>332.92</v>
      </c>
      <c r="K21" s="21" t="n">
        <v>43060</v>
      </c>
      <c r="L21" s="22" t="n">
        <v>333.78</v>
      </c>
      <c r="M21" s="8" t="s">
        <v>73</v>
      </c>
      <c r="N21" s="4" t="n">
        <v>2</v>
      </c>
      <c r="O21" s="6" t="n">
        <f aca="false">IF(C21="롱",(J21-E21)/E21,(E21-J21)/E21)</f>
        <v>-0.00430673525541332</v>
      </c>
    </row>
    <row r="22" customFormat="false" ht="17.15" hidden="false" customHeight="false" outlineLevel="0" collapsed="false">
      <c r="A22" s="4" t="n">
        <v>10</v>
      </c>
      <c r="B22" s="4" t="s">
        <v>30</v>
      </c>
      <c r="C22" s="8" t="s">
        <v>72</v>
      </c>
      <c r="D22" s="21" t="n">
        <v>43230</v>
      </c>
      <c r="E22" s="22" t="n">
        <v>317.31</v>
      </c>
      <c r="F22" s="21" t="n">
        <v>43231</v>
      </c>
      <c r="G22" s="22" t="n">
        <v>318.03</v>
      </c>
      <c r="H22" s="22" t="n">
        <v>301.42</v>
      </c>
      <c r="I22" s="21" t="n">
        <v>43235</v>
      </c>
      <c r="J22" s="22" t="n">
        <v>314.94</v>
      </c>
      <c r="K22" s="21" t="n">
        <v>43236</v>
      </c>
      <c r="L22" s="22" t="n">
        <v>313.81</v>
      </c>
      <c r="M22" s="8" t="s">
        <v>73</v>
      </c>
      <c r="N22" s="4" t="n">
        <v>3</v>
      </c>
      <c r="O22" s="6" t="n">
        <f aca="false">IF(C22="롱",(J22-E22)/E22,(E22-J22)/E22)</f>
        <v>-0.00746903658882482</v>
      </c>
    </row>
    <row r="23" customFormat="false" ht="17.15" hidden="false" customHeight="false" outlineLevel="0" collapsed="false">
      <c r="A23" s="4" t="n">
        <v>10</v>
      </c>
      <c r="B23" s="4" t="s">
        <v>30</v>
      </c>
      <c r="C23" s="8" t="s">
        <v>72</v>
      </c>
      <c r="D23" s="21" t="n">
        <v>43256</v>
      </c>
      <c r="E23" s="22" t="n">
        <v>315.76</v>
      </c>
      <c r="F23" s="21" t="n">
        <v>43258</v>
      </c>
      <c r="G23" s="22" t="n">
        <v>317.94</v>
      </c>
      <c r="H23" s="22" t="n">
        <v>299.12</v>
      </c>
      <c r="I23" s="21" t="n">
        <v>43259</v>
      </c>
      <c r="J23" s="22" t="n">
        <v>314.97</v>
      </c>
      <c r="K23" s="21" t="n">
        <v>43262</v>
      </c>
      <c r="L23" s="22" t="n">
        <v>315.24</v>
      </c>
      <c r="M23" s="8" t="s">
        <v>73</v>
      </c>
      <c r="N23" s="4" t="n">
        <v>2</v>
      </c>
      <c r="O23" s="6" t="n">
        <f aca="false">IF(C23="롱",(J23-E23)/E23,(E23-J23)/E23)</f>
        <v>-0.00250190017734977</v>
      </c>
    </row>
    <row r="24" customFormat="false" ht="17.15" hidden="false" customHeight="false" outlineLevel="0" collapsed="false">
      <c r="A24" s="4" t="n">
        <v>10</v>
      </c>
      <c r="B24" s="4" t="s">
        <v>30</v>
      </c>
      <c r="C24" s="8" t="s">
        <v>72</v>
      </c>
      <c r="D24" s="21" t="n">
        <v>43319</v>
      </c>
      <c r="E24" s="22" t="n">
        <v>297.18</v>
      </c>
      <c r="F24" s="21" t="n">
        <v>43320</v>
      </c>
      <c r="G24" s="22" t="n">
        <v>297.97</v>
      </c>
      <c r="H24" s="22" t="n">
        <v>282.05</v>
      </c>
      <c r="I24" s="21" t="n">
        <v>43322</v>
      </c>
      <c r="J24" s="22" t="n">
        <v>293.64</v>
      </c>
      <c r="K24" s="21" t="n">
        <v>43325</v>
      </c>
      <c r="L24" s="22" t="n">
        <v>291.21</v>
      </c>
      <c r="M24" s="8" t="s">
        <v>73</v>
      </c>
      <c r="N24" s="4" t="n">
        <v>3</v>
      </c>
      <c r="O24" s="6" t="n">
        <f aca="false">IF(C24="롱",(J24-E24)/E24,(E24-J24)/E24)</f>
        <v>-0.0119119725418939</v>
      </c>
    </row>
    <row r="25" customFormat="false" ht="17.15" hidden="false" customHeight="false" outlineLevel="0" collapsed="false">
      <c r="A25" s="4" t="n">
        <v>10</v>
      </c>
      <c r="B25" s="4" t="s">
        <v>30</v>
      </c>
      <c r="C25" s="8" t="s">
        <v>72</v>
      </c>
      <c r="D25" s="21" t="n">
        <v>43759</v>
      </c>
      <c r="E25" s="22" t="n">
        <v>273.79</v>
      </c>
      <c r="F25" s="21" t="n">
        <v>43760</v>
      </c>
      <c r="G25" s="22" t="n">
        <v>275.4</v>
      </c>
      <c r="H25" s="22" t="n">
        <v>257.44</v>
      </c>
      <c r="I25" s="21" t="n">
        <v>43790</v>
      </c>
      <c r="J25" s="22" t="n">
        <v>278.28</v>
      </c>
      <c r="K25" s="21" t="n">
        <v>43791</v>
      </c>
      <c r="L25" s="22" t="n">
        <v>278.57</v>
      </c>
      <c r="M25" s="8" t="s">
        <v>73</v>
      </c>
      <c r="N25" s="4" t="n">
        <v>23</v>
      </c>
      <c r="O25" s="6" t="n">
        <f aca="false">IF(C25="롱",(J25-E25)/E25,(E25-J25)/E25)</f>
        <v>0.0163994302202416</v>
      </c>
    </row>
    <row r="26" customFormat="false" ht="17.15" hidden="false" customHeight="false" outlineLevel="0" collapsed="false">
      <c r="A26" s="4" t="n">
        <v>10</v>
      </c>
      <c r="B26" s="4" t="s">
        <v>30</v>
      </c>
      <c r="C26" s="8" t="s">
        <v>72</v>
      </c>
      <c r="D26" s="21" t="n">
        <v>43794</v>
      </c>
      <c r="E26" s="22" t="n">
        <v>282.19</v>
      </c>
      <c r="F26" s="21" t="n">
        <v>43795</v>
      </c>
      <c r="G26" s="22" t="n">
        <v>283.09</v>
      </c>
      <c r="H26" s="22" t="n">
        <v>266.41</v>
      </c>
      <c r="I26" s="21" t="n">
        <v>43795</v>
      </c>
      <c r="J26" s="22" t="n">
        <v>281.83</v>
      </c>
      <c r="K26" s="21" t="n">
        <v>43796</v>
      </c>
      <c r="L26" s="22" t="n">
        <v>283.56</v>
      </c>
      <c r="M26" s="8" t="s">
        <v>73</v>
      </c>
      <c r="N26" s="4" t="n">
        <v>1</v>
      </c>
      <c r="O26" s="6" t="n">
        <f aca="false">IF(C26="롱",(J26-E26)/E26,(E26-J26)/E26)</f>
        <v>-0.00127573620610232</v>
      </c>
    </row>
    <row r="27" customFormat="false" ht="17.15" hidden="false" customHeight="false" outlineLevel="0" collapsed="false">
      <c r="A27" s="4" t="n">
        <v>10</v>
      </c>
      <c r="B27" s="4" t="s">
        <v>30</v>
      </c>
      <c r="C27" s="8" t="s">
        <v>72</v>
      </c>
      <c r="D27" s="21" t="n">
        <v>44124</v>
      </c>
      <c r="E27" s="22" t="n">
        <v>314.71</v>
      </c>
      <c r="F27" s="21" t="n">
        <v>44125</v>
      </c>
      <c r="G27" s="22" t="n">
        <v>315.34</v>
      </c>
      <c r="H27" s="22" t="n">
        <v>289.76</v>
      </c>
      <c r="I27" s="21" t="n">
        <v>44131</v>
      </c>
      <c r="J27" s="22" t="n">
        <v>311.8</v>
      </c>
      <c r="K27" s="21" t="n">
        <v>44132</v>
      </c>
      <c r="L27" s="22" t="n">
        <v>310.66</v>
      </c>
      <c r="M27" s="8" t="s">
        <v>73</v>
      </c>
      <c r="N27" s="4" t="n">
        <v>5</v>
      </c>
      <c r="O27" s="6" t="n">
        <f aca="false">IF(C27="롱",(J27-E27)/E27,(E27-J27)/E27)</f>
        <v>-0.0092466079883066</v>
      </c>
    </row>
    <row r="28" customFormat="false" ht="17.15" hidden="false" customHeight="false" outlineLevel="0" collapsed="false">
      <c r="A28" s="4" t="n">
        <v>10</v>
      </c>
      <c r="B28" s="4" t="s">
        <v>30</v>
      </c>
      <c r="C28" s="8" t="s">
        <v>72</v>
      </c>
      <c r="D28" s="21" t="n">
        <v>44281</v>
      </c>
      <c r="E28" s="22" t="n">
        <v>412.89</v>
      </c>
      <c r="F28" s="21" t="n">
        <v>44284</v>
      </c>
      <c r="G28" s="22" t="n">
        <v>413.9</v>
      </c>
      <c r="H28" s="22" t="n">
        <v>374.97</v>
      </c>
      <c r="I28" s="21" t="n">
        <v>44284</v>
      </c>
      <c r="J28" s="22" t="n">
        <v>412.05</v>
      </c>
      <c r="K28" s="21" t="n">
        <v>44285</v>
      </c>
      <c r="L28" s="22" t="n">
        <v>412.32</v>
      </c>
      <c r="M28" s="8" t="s">
        <v>73</v>
      </c>
      <c r="N28" s="4" t="n">
        <v>1</v>
      </c>
      <c r="O28" s="6" t="n">
        <f aca="false">IF(C28="롱",(J28-E28)/E28,(E28-J28)/E28)</f>
        <v>-0.0020344401656615</v>
      </c>
    </row>
    <row r="29" customFormat="false" ht="17.15" hidden="false" customHeight="false" outlineLevel="0" collapsed="false">
      <c r="A29" s="4" t="n">
        <v>10</v>
      </c>
      <c r="B29" s="4" t="s">
        <v>30</v>
      </c>
      <c r="C29" s="8" t="s">
        <v>72</v>
      </c>
      <c r="D29" s="21" t="n">
        <v>44453</v>
      </c>
      <c r="E29" s="22" t="n">
        <v>412.36</v>
      </c>
      <c r="F29" s="21" t="n">
        <v>44454</v>
      </c>
      <c r="G29" s="22" t="n">
        <v>412.05</v>
      </c>
      <c r="H29" s="22" t="n">
        <v>383.05</v>
      </c>
      <c r="I29" s="21" t="n">
        <v>44455</v>
      </c>
      <c r="J29" s="22" t="n">
        <v>409.22</v>
      </c>
      <c r="K29" s="21" t="n">
        <v>44456</v>
      </c>
      <c r="L29" s="22" t="n">
        <v>408.9</v>
      </c>
      <c r="M29" s="8" t="s">
        <v>73</v>
      </c>
      <c r="N29" s="4" t="n">
        <v>2</v>
      </c>
      <c r="O29" s="6" t="n">
        <f aca="false">IF(C29="롱",(J29-E29)/E29,(E29-J29)/E29)</f>
        <v>-0.00761470559705109</v>
      </c>
    </row>
    <row r="30" customFormat="false" ht="17.15" hidden="false" customHeight="false" outlineLevel="0" collapsed="false">
      <c r="A30" s="4" t="n">
        <v>10</v>
      </c>
      <c r="B30" s="4" t="s">
        <v>30</v>
      </c>
      <c r="C30" s="8" t="s">
        <v>72</v>
      </c>
      <c r="D30" s="21" t="n">
        <v>44502</v>
      </c>
      <c r="E30" s="22" t="n">
        <v>394.82</v>
      </c>
      <c r="F30" s="21" t="n">
        <v>44503</v>
      </c>
      <c r="G30" s="22" t="n">
        <v>395.73</v>
      </c>
      <c r="H30" s="22" t="n">
        <v>365.9</v>
      </c>
      <c r="I30" s="21" t="n">
        <v>44503</v>
      </c>
      <c r="J30" s="22" t="n">
        <v>389.48</v>
      </c>
      <c r="K30" s="21" t="n">
        <v>44504</v>
      </c>
      <c r="L30" s="22" t="n">
        <v>393.16</v>
      </c>
      <c r="M30" s="8" t="s">
        <v>73</v>
      </c>
      <c r="N30" s="4" t="n">
        <v>1</v>
      </c>
      <c r="O30" s="6" t="n">
        <f aca="false">IF(C30="롱",(J30-E30)/E30,(E30-J30)/E30)</f>
        <v>-0.0135251507015855</v>
      </c>
    </row>
    <row r="31" customFormat="false" ht="17.15" hidden="false" customHeight="false" outlineLevel="0" collapsed="false">
      <c r="A31" s="4" t="n">
        <v>10</v>
      </c>
      <c r="B31" s="4" t="s">
        <v>30</v>
      </c>
      <c r="C31" s="8" t="s">
        <v>72</v>
      </c>
      <c r="D31" s="21" t="n">
        <v>44504</v>
      </c>
      <c r="E31" s="22" t="n">
        <v>391.54</v>
      </c>
      <c r="F31" s="21" t="n">
        <v>44505</v>
      </c>
      <c r="G31" s="22" t="n">
        <v>394.65</v>
      </c>
      <c r="H31" s="22" t="n">
        <v>364.45</v>
      </c>
      <c r="I31" s="21" t="n">
        <v>44505</v>
      </c>
      <c r="J31" s="22" t="n">
        <v>389.86</v>
      </c>
      <c r="K31" s="21" t="n">
        <v>44508</v>
      </c>
      <c r="L31" s="22" t="n">
        <v>390.1</v>
      </c>
      <c r="M31" s="8" t="s">
        <v>73</v>
      </c>
      <c r="N31" s="4" t="n">
        <v>1</v>
      </c>
      <c r="O31" s="6" t="n">
        <f aca="false">IF(C31="롱",(J31-E31)/E31,(E31-J31)/E31)</f>
        <v>-0.00429074934872556</v>
      </c>
    </row>
    <row r="32" customFormat="false" ht="17.15" hidden="false" customHeight="false" outlineLevel="0" collapsed="false">
      <c r="A32" s="4" t="n">
        <v>10</v>
      </c>
      <c r="B32" s="4" t="s">
        <v>30</v>
      </c>
      <c r="C32" s="8" t="s">
        <v>72</v>
      </c>
      <c r="D32" s="21" t="n">
        <v>44973</v>
      </c>
      <c r="E32" s="22" t="n">
        <v>324.1</v>
      </c>
      <c r="F32" s="21" t="n">
        <v>44974</v>
      </c>
      <c r="G32" s="22" t="n">
        <v>320.15</v>
      </c>
      <c r="H32" s="22" t="n">
        <v>299.76</v>
      </c>
      <c r="I32" s="21" t="n">
        <v>44974</v>
      </c>
      <c r="J32" s="22" t="n">
        <v>320.78</v>
      </c>
      <c r="K32" s="21" t="n">
        <v>44977</v>
      </c>
      <c r="L32" s="22" t="n">
        <v>321.07</v>
      </c>
      <c r="M32" s="8" t="s">
        <v>73</v>
      </c>
      <c r="N32" s="4" t="n">
        <v>1</v>
      </c>
      <c r="O32" s="6" t="n">
        <f aca="false">IF(C32="롱",(J32-E32)/E32,(E32-J32)/E32)</f>
        <v>-0.0102437519284173</v>
      </c>
    </row>
    <row r="33" customFormat="false" ht="17.15" hidden="false" customHeight="false" outlineLevel="0" collapsed="false">
      <c r="A33" s="4" t="n">
        <v>10</v>
      </c>
      <c r="B33" s="4" t="s">
        <v>30</v>
      </c>
      <c r="C33" s="8" t="s">
        <v>72</v>
      </c>
      <c r="D33" s="21" t="n">
        <v>45439</v>
      </c>
      <c r="E33" s="22" t="n">
        <v>371.16</v>
      </c>
      <c r="F33" s="21" t="n">
        <v>45440</v>
      </c>
      <c r="G33" s="22" t="n">
        <v>369.71</v>
      </c>
      <c r="H33" s="22" t="n">
        <v>348.07</v>
      </c>
      <c r="I33" s="21" t="n">
        <v>45441</v>
      </c>
      <c r="J33" s="22" t="n">
        <v>364.96</v>
      </c>
      <c r="K33" s="21" t="n">
        <v>45442</v>
      </c>
      <c r="L33" s="22" t="n">
        <v>363.33</v>
      </c>
      <c r="M33" s="8" t="s">
        <v>73</v>
      </c>
      <c r="N33" s="4" t="n">
        <v>2</v>
      </c>
      <c r="O33" s="6" t="n">
        <f aca="false">IF(C33="롱",(J33-E33)/E33,(E33-J33)/E33)</f>
        <v>-0.0167043862485183</v>
      </c>
    </row>
    <row r="34" customFormat="false" ht="17.15" hidden="false" customHeight="false" outlineLevel="0" collapsed="false">
      <c r="A34" s="4" t="n">
        <v>10</v>
      </c>
      <c r="B34" s="4" t="s">
        <v>30</v>
      </c>
      <c r="C34" s="8" t="s">
        <v>72</v>
      </c>
      <c r="D34" s="21" t="n">
        <v>45874</v>
      </c>
      <c r="E34" s="22" t="n">
        <v>431.25</v>
      </c>
      <c r="F34" s="21" t="n">
        <v>45875</v>
      </c>
      <c r="G34" s="22" t="n">
        <v>428.9</v>
      </c>
      <c r="H34" s="22" t="n">
        <v>395.64</v>
      </c>
      <c r="I34" s="21" t="n">
        <v>45875</v>
      </c>
      <c r="J34" s="22" t="n">
        <v>430.68</v>
      </c>
      <c r="K34" s="21" t="n">
        <v>45876</v>
      </c>
      <c r="L34" s="22" t="n">
        <v>433.4</v>
      </c>
      <c r="M34" s="8" t="s">
        <v>73</v>
      </c>
      <c r="N34" s="4" t="n">
        <v>1</v>
      </c>
      <c r="O34" s="6" t="n">
        <f aca="false">IF(C34="롱",(J34-E34)/E34,(E34-J34)/E34)</f>
        <v>-0.00132173913043477</v>
      </c>
    </row>
    <row r="35" customFormat="false" ht="17.15" hidden="false" customHeight="false" outlineLevel="0" collapsed="false">
      <c r="A35" s="4" t="n">
        <v>10</v>
      </c>
      <c r="B35" s="4" t="s">
        <v>30</v>
      </c>
      <c r="C35" s="8" t="s">
        <v>72</v>
      </c>
      <c r="D35" s="21" t="n">
        <v>45876</v>
      </c>
      <c r="E35" s="22" t="n">
        <v>435.35</v>
      </c>
      <c r="F35" s="21" t="n">
        <v>45877</v>
      </c>
      <c r="G35" s="22" t="n">
        <v>434.44</v>
      </c>
      <c r="H35" s="22" t="n">
        <v>400.28</v>
      </c>
      <c r="I35" s="21" t="n">
        <v>45881</v>
      </c>
      <c r="J35" s="22" t="n">
        <v>431.63</v>
      </c>
      <c r="K35" s="21" t="n">
        <v>45882</v>
      </c>
      <c r="L35" s="22" t="n">
        <v>436.93</v>
      </c>
      <c r="M35" s="8" t="s">
        <v>73</v>
      </c>
      <c r="N35" s="4" t="n">
        <v>3</v>
      </c>
      <c r="O35" s="6" t="n">
        <f aca="false">IF(C35="롱",(J35-E35)/E35,(E35-J35)/E35)</f>
        <v>-0.00854484897209148</v>
      </c>
    </row>
    <row r="36" customFormat="false" ht="17.15" hidden="false" customHeight="false" outlineLevel="0" collapsed="false">
      <c r="A36" s="4" t="n">
        <v>10</v>
      </c>
      <c r="B36" s="4" t="s">
        <v>30</v>
      </c>
      <c r="C36" s="8" t="s">
        <v>72</v>
      </c>
      <c r="D36" s="21" t="n">
        <v>46269</v>
      </c>
      <c r="E36" s="22" t="n">
        <v>1051.52</v>
      </c>
      <c r="F36" s="21" t="n">
        <v>46272</v>
      </c>
      <c r="G36" s="22" t="n">
        <v>1090.72</v>
      </c>
      <c r="H36" s="22" t="n">
        <v>946.37</v>
      </c>
      <c r="I36" s="21" t="n">
        <v>46279</v>
      </c>
      <c r="J36" s="22" t="n">
        <v>1050.83</v>
      </c>
      <c r="K36" s="21" t="n">
        <v>46280</v>
      </c>
      <c r="L36" s="22" t="n">
        <v>1047.75</v>
      </c>
      <c r="M36" s="8" t="s">
        <v>73</v>
      </c>
      <c r="N36" s="4" t="n">
        <v>6</v>
      </c>
      <c r="O36" s="6" t="n">
        <f aca="false">IF(C36="롱",(J36-E36)/E36,(E36-J36)/E36)</f>
        <v>-0.000656192939744422</v>
      </c>
    </row>
  </sheetData>
  <autoFilter ref="A4:O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10" min="9" style="0" width="14"/>
    <col collapsed="false" customWidth="true" hidden="false" outlineLevel="0" max="11" min="11" style="0" width="16"/>
    <col collapsed="false" customWidth="true" hidden="false" outlineLevel="0" max="12" min="12" style="0" width="12"/>
    <col collapsed="false" customWidth="true" hidden="false" outlineLevel="0" max="13" min="13" style="0" width="16"/>
    <col collapsed="false" customWidth="true" hidden="false" outlineLevel="0" max="14" min="14" style="0" width="7"/>
    <col collapsed="false" customWidth="true" hidden="false" outlineLevel="0" max="15" min="15" style="0" width="16"/>
  </cols>
  <sheetData>
    <row r="1" customFormat="false" ht="19.4" hidden="false" customHeight="false" outlineLevel="0" collapsed="false">
      <c r="A1" s="1" t="s">
        <v>88</v>
      </c>
    </row>
    <row r="2" customFormat="false" ht="15" hidden="false" customHeight="false" outlineLevel="0" collapsed="false">
      <c r="A2" s="2" t="s">
        <v>58</v>
      </c>
    </row>
    <row r="4" customFormat="false" ht="31.5" hidden="false" customHeight="true" outlineLevel="0" collapsed="false">
      <c r="A4" s="19" t="s">
        <v>2</v>
      </c>
      <c r="B4" s="19" t="s">
        <v>3</v>
      </c>
      <c r="C4" s="19" t="s">
        <v>59</v>
      </c>
      <c r="D4" s="19" t="s">
        <v>60</v>
      </c>
      <c r="E4" s="19" t="s">
        <v>61</v>
      </c>
      <c r="F4" s="20" t="s">
        <v>62</v>
      </c>
      <c r="G4" s="19" t="s">
        <v>63</v>
      </c>
      <c r="H4" s="19" t="s">
        <v>64</v>
      </c>
      <c r="I4" s="19" t="s">
        <v>65</v>
      </c>
      <c r="J4" s="19" t="s">
        <v>66</v>
      </c>
      <c r="K4" s="20" t="s">
        <v>67</v>
      </c>
      <c r="L4" s="19" t="s">
        <v>68</v>
      </c>
      <c r="M4" s="19" t="s">
        <v>69</v>
      </c>
      <c r="N4" s="19" t="s">
        <v>70</v>
      </c>
      <c r="O4" s="19" t="s">
        <v>71</v>
      </c>
    </row>
    <row r="5" customFormat="false" ht="17.15" hidden="false" customHeight="false" outlineLevel="0" collapsed="false">
      <c r="A5" s="4" t="n">
        <v>11</v>
      </c>
      <c r="B5" s="4" t="s">
        <v>32</v>
      </c>
      <c r="C5" s="8" t="s">
        <v>74</v>
      </c>
      <c r="D5" s="21" t="n">
        <v>37512</v>
      </c>
      <c r="E5" s="22" t="n">
        <v>90.3</v>
      </c>
      <c r="F5" s="21" t="n">
        <v>37515</v>
      </c>
      <c r="G5" s="22" t="n">
        <v>90.72</v>
      </c>
      <c r="H5" s="22" t="n">
        <v>99.33</v>
      </c>
      <c r="I5" s="21" t="n">
        <v>37547</v>
      </c>
      <c r="J5" s="22" t="n">
        <v>84.5</v>
      </c>
      <c r="K5" s="21" t="n">
        <v>37550</v>
      </c>
      <c r="L5" s="22" t="n">
        <v>83.9</v>
      </c>
      <c r="M5" s="8" t="s">
        <v>73</v>
      </c>
      <c r="N5" s="4" t="n">
        <v>23</v>
      </c>
      <c r="O5" s="6" t="n">
        <f aca="false">IF(C5="롱",(J5-E5)/E5,(E5-J5)/E5)</f>
        <v>0.0642303433001107</v>
      </c>
    </row>
    <row r="6" customFormat="false" ht="17.15" hidden="false" customHeight="false" outlineLevel="0" collapsed="false">
      <c r="A6" s="4" t="n">
        <v>11</v>
      </c>
      <c r="B6" s="4" t="s">
        <v>32</v>
      </c>
      <c r="C6" s="8" t="s">
        <v>74</v>
      </c>
      <c r="D6" s="21" t="n">
        <v>38770</v>
      </c>
      <c r="E6" s="22" t="n">
        <v>173.26</v>
      </c>
      <c r="F6" s="21" t="n">
        <v>38771</v>
      </c>
      <c r="G6" s="22" t="n">
        <v>174.29</v>
      </c>
      <c r="H6" s="22" t="n">
        <v>190.59</v>
      </c>
      <c r="I6" s="21" t="n">
        <v>38771</v>
      </c>
      <c r="J6" s="22" t="n">
        <v>176.18</v>
      </c>
      <c r="K6" s="21" t="n">
        <v>38772</v>
      </c>
      <c r="L6" s="22" t="n">
        <v>176.61</v>
      </c>
      <c r="M6" s="8" t="s">
        <v>73</v>
      </c>
      <c r="N6" s="4" t="n">
        <v>1</v>
      </c>
      <c r="O6" s="6" t="n">
        <f aca="false">IF(C6="롱",(J6-E6)/E6,(E6-J6)/E6)</f>
        <v>-0.016853284081727</v>
      </c>
    </row>
    <row r="7" customFormat="false" ht="17.15" hidden="false" customHeight="false" outlineLevel="0" collapsed="false">
      <c r="A7" s="4" t="n">
        <v>11</v>
      </c>
      <c r="B7" s="4" t="s">
        <v>32</v>
      </c>
      <c r="C7" s="8" t="s">
        <v>74</v>
      </c>
      <c r="D7" s="21" t="n">
        <v>38922</v>
      </c>
      <c r="E7" s="22" t="n">
        <v>163.93</v>
      </c>
      <c r="F7" s="21" t="n">
        <v>38923</v>
      </c>
      <c r="G7" s="22" t="n">
        <v>165.8</v>
      </c>
      <c r="H7" s="22" t="n">
        <v>179.78</v>
      </c>
      <c r="I7" s="21" t="n">
        <v>38923</v>
      </c>
      <c r="J7" s="22" t="n">
        <v>166.25</v>
      </c>
      <c r="K7" s="21" t="n">
        <v>38924</v>
      </c>
      <c r="L7" s="22" t="n">
        <v>166.88</v>
      </c>
      <c r="M7" s="8" t="s">
        <v>73</v>
      </c>
      <c r="N7" s="4" t="n">
        <v>1</v>
      </c>
      <c r="O7" s="6" t="n">
        <f aca="false">IF(C7="롱",(J7-E7)/E7,(E7-J7)/E7)</f>
        <v>-0.014152382114317</v>
      </c>
    </row>
    <row r="8" customFormat="false" ht="17.15" hidden="false" customHeight="false" outlineLevel="0" collapsed="false">
      <c r="A8" s="4" t="n">
        <v>11</v>
      </c>
      <c r="B8" s="4" t="s">
        <v>32</v>
      </c>
      <c r="C8" s="8" t="s">
        <v>74</v>
      </c>
      <c r="D8" s="21" t="n">
        <v>39444</v>
      </c>
      <c r="E8" s="22" t="n">
        <v>241.27</v>
      </c>
      <c r="F8" s="21" t="n">
        <v>39449</v>
      </c>
      <c r="G8" s="22" t="n">
        <v>240.47</v>
      </c>
      <c r="H8" s="22" t="n">
        <v>265.4</v>
      </c>
      <c r="I8" s="21" t="n">
        <v>39483</v>
      </c>
      <c r="J8" s="22" t="n">
        <v>216.91</v>
      </c>
      <c r="K8" s="21" t="n">
        <v>39489</v>
      </c>
      <c r="L8" s="22" t="n">
        <v>210.41</v>
      </c>
      <c r="M8" s="8" t="s">
        <v>73</v>
      </c>
      <c r="N8" s="4" t="n">
        <v>25</v>
      </c>
      <c r="O8" s="6" t="n">
        <f aca="false">IF(C8="롱",(J8-E8)/E8,(E8-J8)/E8)</f>
        <v>0.100965723048866</v>
      </c>
    </row>
    <row r="9" customFormat="false" ht="17.15" hidden="false" customHeight="false" outlineLevel="0" collapsed="false">
      <c r="A9" s="4" t="n">
        <v>11</v>
      </c>
      <c r="B9" s="4" t="s">
        <v>32</v>
      </c>
      <c r="C9" s="8" t="s">
        <v>74</v>
      </c>
      <c r="D9" s="21" t="n">
        <v>39601</v>
      </c>
      <c r="E9" s="22" t="n">
        <v>236.78</v>
      </c>
      <c r="F9" s="21" t="n">
        <v>39602</v>
      </c>
      <c r="G9" s="22" t="n">
        <v>234.83</v>
      </c>
      <c r="H9" s="22" t="n">
        <v>256.47</v>
      </c>
      <c r="I9" s="21" t="n">
        <v>39652</v>
      </c>
      <c r="J9" s="22" t="n">
        <v>203.64</v>
      </c>
      <c r="K9" s="21" t="n">
        <v>39653</v>
      </c>
      <c r="L9" s="22" t="n">
        <v>205.12</v>
      </c>
      <c r="M9" s="8" t="s">
        <v>73</v>
      </c>
      <c r="N9" s="4" t="n">
        <v>36</v>
      </c>
      <c r="O9" s="6" t="n">
        <f aca="false">IF(C9="롱",(J9-E9)/E9,(E9-J9)/E9)</f>
        <v>0.139961145367007</v>
      </c>
    </row>
    <row r="10" customFormat="false" ht="17.15" hidden="false" customHeight="false" outlineLevel="0" collapsed="false">
      <c r="A10" s="4" t="n">
        <v>11</v>
      </c>
      <c r="B10" s="4" t="s">
        <v>32</v>
      </c>
      <c r="C10" s="8" t="s">
        <v>74</v>
      </c>
      <c r="D10" s="21" t="n">
        <v>39678</v>
      </c>
      <c r="E10" s="22" t="n">
        <v>200.97</v>
      </c>
      <c r="F10" s="21" t="n">
        <v>39679</v>
      </c>
      <c r="G10" s="22" t="n">
        <v>199.24</v>
      </c>
      <c r="H10" s="22" t="n">
        <v>221.07</v>
      </c>
      <c r="I10" s="21" t="n">
        <v>39710</v>
      </c>
      <c r="J10" s="22" t="n">
        <v>188.31</v>
      </c>
      <c r="K10" s="21" t="n">
        <v>39713</v>
      </c>
      <c r="L10" s="22" t="n">
        <v>190.4</v>
      </c>
      <c r="M10" s="8" t="s">
        <v>73</v>
      </c>
      <c r="N10" s="4" t="n">
        <v>23</v>
      </c>
      <c r="O10" s="6" t="n">
        <f aca="false">IF(C10="롱",(J10-E10)/E10,(E10-J10)/E10)</f>
        <v>0.0629944767875802</v>
      </c>
    </row>
    <row r="11" customFormat="false" ht="17.15" hidden="false" customHeight="false" outlineLevel="0" collapsed="false">
      <c r="A11" s="4" t="n">
        <v>11</v>
      </c>
      <c r="B11" s="4" t="s">
        <v>32</v>
      </c>
      <c r="C11" s="8" t="s">
        <v>74</v>
      </c>
      <c r="D11" s="21" t="n">
        <v>39846</v>
      </c>
      <c r="E11" s="22" t="n">
        <v>149</v>
      </c>
      <c r="F11" s="21" t="n">
        <v>39847</v>
      </c>
      <c r="G11" s="22" t="n">
        <v>149.71</v>
      </c>
      <c r="H11" s="22" t="n">
        <v>163.9</v>
      </c>
      <c r="I11" s="21" t="n">
        <v>39847</v>
      </c>
      <c r="J11" s="22" t="n">
        <v>151.42</v>
      </c>
      <c r="K11" s="21" t="n">
        <v>39848</v>
      </c>
      <c r="L11" s="22" t="n">
        <v>154.2</v>
      </c>
      <c r="M11" s="8" t="s">
        <v>73</v>
      </c>
      <c r="N11" s="4" t="n">
        <v>1</v>
      </c>
      <c r="O11" s="6" t="n">
        <f aca="false">IF(C11="롱",(J11-E11)/E11,(E11-J11)/E11)</f>
        <v>-0.016241610738255</v>
      </c>
    </row>
    <row r="12" customFormat="false" ht="17.15" hidden="false" customHeight="false" outlineLevel="0" collapsed="false">
      <c r="A12" s="4" t="n">
        <v>11</v>
      </c>
      <c r="B12" s="4" t="s">
        <v>32</v>
      </c>
      <c r="C12" s="8" t="s">
        <v>74</v>
      </c>
      <c r="D12" s="21" t="n">
        <v>40752</v>
      </c>
      <c r="E12" s="22" t="n">
        <v>280.04</v>
      </c>
      <c r="F12" s="21" t="n">
        <v>40753</v>
      </c>
      <c r="G12" s="22" t="n">
        <v>280.52</v>
      </c>
      <c r="H12" s="22" t="n">
        <v>297.82</v>
      </c>
      <c r="I12" s="21" t="n">
        <v>40756</v>
      </c>
      <c r="J12" s="22" t="n">
        <v>282.36</v>
      </c>
      <c r="K12" s="21" t="n">
        <v>40757</v>
      </c>
      <c r="L12" s="22" t="n">
        <v>279.54</v>
      </c>
      <c r="M12" s="8" t="s">
        <v>73</v>
      </c>
      <c r="N12" s="4" t="n">
        <v>2</v>
      </c>
      <c r="O12" s="6" t="n">
        <f aca="false">IF(C12="롱",(J12-E12)/E12,(E12-J12)/E12)</f>
        <v>-0.00828453078131693</v>
      </c>
    </row>
    <row r="13" customFormat="false" ht="17.15" hidden="false" customHeight="false" outlineLevel="0" collapsed="false">
      <c r="A13" s="4" t="n">
        <v>11</v>
      </c>
      <c r="B13" s="4" t="s">
        <v>32</v>
      </c>
      <c r="C13" s="8" t="s">
        <v>74</v>
      </c>
      <c r="D13" s="21" t="n">
        <v>40808</v>
      </c>
      <c r="E13" s="22" t="n">
        <v>232.05</v>
      </c>
      <c r="F13" s="21" t="n">
        <v>40809</v>
      </c>
      <c r="G13" s="22" t="n">
        <v>223.64</v>
      </c>
      <c r="H13" s="22" t="n">
        <v>255.26</v>
      </c>
      <c r="I13" s="21" t="n">
        <v>40823</v>
      </c>
      <c r="J13" s="22" t="n">
        <v>230.27</v>
      </c>
      <c r="K13" s="21" t="n">
        <v>40826</v>
      </c>
      <c r="L13" s="22" t="n">
        <v>230.64</v>
      </c>
      <c r="M13" s="8" t="s">
        <v>73</v>
      </c>
      <c r="N13" s="4" t="n">
        <v>10</v>
      </c>
      <c r="O13" s="6" t="n">
        <f aca="false">IF(C13="롱",(J13-E13)/E13,(E13-J13)/E13)</f>
        <v>0.00767076061193709</v>
      </c>
    </row>
    <row r="14" customFormat="false" ht="17.15" hidden="false" customHeight="false" outlineLevel="0" collapsed="false">
      <c r="A14" s="4" t="n">
        <v>11</v>
      </c>
      <c r="B14" s="4" t="s">
        <v>32</v>
      </c>
      <c r="C14" s="8" t="s">
        <v>74</v>
      </c>
      <c r="D14" s="21" t="n">
        <v>40903</v>
      </c>
      <c r="E14" s="22" t="n">
        <v>242.64</v>
      </c>
      <c r="F14" s="21" t="n">
        <v>40904</v>
      </c>
      <c r="G14" s="22" t="n">
        <v>242.69</v>
      </c>
      <c r="H14" s="22" t="n">
        <v>265.92</v>
      </c>
      <c r="I14" s="21" t="n">
        <v>40911</v>
      </c>
      <c r="J14" s="22" t="n">
        <v>245.82</v>
      </c>
      <c r="K14" s="21" t="n">
        <v>40912</v>
      </c>
      <c r="L14" s="22" t="n">
        <v>246.89</v>
      </c>
      <c r="M14" s="8" t="s">
        <v>73</v>
      </c>
      <c r="N14" s="4" t="n">
        <v>5</v>
      </c>
      <c r="O14" s="6" t="n">
        <f aca="false">IF(C14="롱",(J14-E14)/E14,(E14-J14)/E14)</f>
        <v>-0.0131058358061326</v>
      </c>
    </row>
    <row r="15" customFormat="false" ht="17.15" hidden="false" customHeight="false" outlineLevel="0" collapsed="false">
      <c r="A15" s="4" t="n">
        <v>11</v>
      </c>
      <c r="B15" s="4" t="s">
        <v>32</v>
      </c>
      <c r="C15" s="8" t="s">
        <v>74</v>
      </c>
      <c r="D15" s="21" t="n">
        <v>40974</v>
      </c>
      <c r="E15" s="22" t="n">
        <v>262.85</v>
      </c>
      <c r="F15" s="21" t="n">
        <v>40975</v>
      </c>
      <c r="G15" s="22" t="n">
        <v>258.65</v>
      </c>
      <c r="H15" s="22" t="n">
        <v>280.26</v>
      </c>
      <c r="I15" s="21" t="n">
        <v>40977</v>
      </c>
      <c r="J15" s="22" t="n">
        <v>265.62</v>
      </c>
      <c r="K15" s="21" t="n">
        <v>40980</v>
      </c>
      <c r="L15" s="22" t="n">
        <v>265.67</v>
      </c>
      <c r="M15" s="8" t="s">
        <v>73</v>
      </c>
      <c r="N15" s="4" t="n">
        <v>3</v>
      </c>
      <c r="O15" s="6" t="n">
        <f aca="false">IF(C15="롱",(J15-E15)/E15,(E15-J15)/E15)</f>
        <v>-0.0105383298459197</v>
      </c>
    </row>
    <row r="16" customFormat="false" ht="17.15" hidden="false" customHeight="false" outlineLevel="0" collapsed="false">
      <c r="A16" s="4" t="n">
        <v>11</v>
      </c>
      <c r="B16" s="4" t="s">
        <v>32</v>
      </c>
      <c r="C16" s="8" t="s">
        <v>74</v>
      </c>
      <c r="D16" s="21" t="n">
        <v>41096</v>
      </c>
      <c r="E16" s="22" t="n">
        <v>245.07</v>
      </c>
      <c r="F16" s="21" t="n">
        <v>41099</v>
      </c>
      <c r="G16" s="22" t="n">
        <v>242.36</v>
      </c>
      <c r="H16" s="22" t="n">
        <v>262.96</v>
      </c>
      <c r="I16" s="21" t="n">
        <v>41117</v>
      </c>
      <c r="J16" s="22" t="n">
        <v>242.23</v>
      </c>
      <c r="K16" s="21" t="n">
        <v>41120</v>
      </c>
      <c r="L16" s="22" t="n">
        <v>244.8</v>
      </c>
      <c r="M16" s="8" t="s">
        <v>73</v>
      </c>
      <c r="N16" s="4" t="n">
        <v>15</v>
      </c>
      <c r="O16" s="6" t="n">
        <f aca="false">IF(C16="롱",(J16-E16)/E16,(E16-J16)/E16)</f>
        <v>0.0115885257273432</v>
      </c>
    </row>
    <row r="17" customFormat="false" ht="17.15" hidden="false" customHeight="false" outlineLevel="0" collapsed="false">
      <c r="A17" s="4" t="n">
        <v>11</v>
      </c>
      <c r="B17" s="4" t="s">
        <v>32</v>
      </c>
      <c r="C17" s="8" t="s">
        <v>74</v>
      </c>
      <c r="D17" s="21" t="n">
        <v>41506</v>
      </c>
      <c r="E17" s="22" t="n">
        <v>245.13</v>
      </c>
      <c r="F17" s="21" t="n">
        <v>41507</v>
      </c>
      <c r="G17" s="22" t="n">
        <v>245.48</v>
      </c>
      <c r="H17" s="22" t="n">
        <v>258.21</v>
      </c>
      <c r="I17" s="21" t="n">
        <v>41515</v>
      </c>
      <c r="J17" s="22" t="n">
        <v>248.86</v>
      </c>
      <c r="K17" s="21" t="n">
        <v>41516</v>
      </c>
      <c r="L17" s="22" t="n">
        <v>250.52</v>
      </c>
      <c r="M17" s="8" t="s">
        <v>73</v>
      </c>
      <c r="N17" s="4" t="n">
        <v>7</v>
      </c>
      <c r="O17" s="6" t="n">
        <f aca="false">IF(C17="롱",(J17-E17)/E17,(E17-J17)/E17)</f>
        <v>-0.0152164157793824</v>
      </c>
    </row>
    <row r="18" customFormat="false" ht="17.15" hidden="false" customHeight="false" outlineLevel="0" collapsed="false">
      <c r="A18" s="4" t="n">
        <v>11</v>
      </c>
      <c r="B18" s="4" t="s">
        <v>32</v>
      </c>
      <c r="C18" s="8" t="s">
        <v>74</v>
      </c>
      <c r="D18" s="21" t="n">
        <v>41869</v>
      </c>
      <c r="E18" s="22" t="n">
        <v>264.24</v>
      </c>
      <c r="F18" s="21" t="n">
        <v>41870</v>
      </c>
      <c r="G18" s="22" t="n">
        <v>266.07</v>
      </c>
      <c r="H18" s="22" t="n">
        <v>276.94</v>
      </c>
      <c r="I18" s="21" t="n">
        <v>41870</v>
      </c>
      <c r="J18" s="22" t="n">
        <v>266.62</v>
      </c>
      <c r="K18" s="21" t="n">
        <v>41871</v>
      </c>
      <c r="L18" s="22" t="n">
        <v>268.03</v>
      </c>
      <c r="M18" s="8" t="s">
        <v>73</v>
      </c>
      <c r="N18" s="4" t="n">
        <v>1</v>
      </c>
      <c r="O18" s="6" t="n">
        <f aca="false">IF(C18="롱",(J18-E18)/E18,(E18-J18)/E18)</f>
        <v>-0.00900696336663637</v>
      </c>
    </row>
    <row r="19" customFormat="false" ht="17.15" hidden="false" customHeight="false" outlineLevel="0" collapsed="false">
      <c r="A19" s="4" t="n">
        <v>11</v>
      </c>
      <c r="B19" s="4" t="s">
        <v>32</v>
      </c>
      <c r="C19" s="8" t="s">
        <v>74</v>
      </c>
      <c r="D19" s="21" t="n">
        <v>42202</v>
      </c>
      <c r="E19" s="22" t="n">
        <v>250.23</v>
      </c>
      <c r="F19" s="21" t="n">
        <v>42205</v>
      </c>
      <c r="G19" s="22" t="n">
        <v>250.02</v>
      </c>
      <c r="H19" s="22" t="n">
        <v>265.79</v>
      </c>
      <c r="I19" s="21" t="n">
        <v>42256</v>
      </c>
      <c r="J19" s="22" t="n">
        <v>234.4</v>
      </c>
      <c r="K19" s="21" t="n">
        <v>42257</v>
      </c>
      <c r="L19" s="22" t="n">
        <v>232.34</v>
      </c>
      <c r="M19" s="8" t="s">
        <v>73</v>
      </c>
      <c r="N19" s="4" t="n">
        <v>37</v>
      </c>
      <c r="O19" s="6" t="n">
        <f aca="false">IF(C19="롱",(J19-E19)/E19,(E19-J19)/E19)</f>
        <v>0.0632617991447867</v>
      </c>
    </row>
    <row r="20" customFormat="false" ht="17.15" hidden="false" customHeight="false" outlineLevel="0" collapsed="false">
      <c r="A20" s="4" t="n">
        <v>11</v>
      </c>
      <c r="B20" s="4" t="s">
        <v>32</v>
      </c>
      <c r="C20" s="8" t="s">
        <v>74</v>
      </c>
      <c r="D20" s="21" t="n">
        <v>42622</v>
      </c>
      <c r="E20" s="22" t="n">
        <v>257.31</v>
      </c>
      <c r="F20" s="21" t="n">
        <v>42625</v>
      </c>
      <c r="G20" s="22" t="n">
        <v>252.37</v>
      </c>
      <c r="H20" s="22" t="n">
        <v>268.09</v>
      </c>
      <c r="I20" s="21" t="n">
        <v>42635</v>
      </c>
      <c r="J20" s="22" t="n">
        <v>258.34</v>
      </c>
      <c r="K20" s="21" t="n">
        <v>42636</v>
      </c>
      <c r="L20" s="22" t="n">
        <v>258.44</v>
      </c>
      <c r="M20" s="8" t="s">
        <v>73</v>
      </c>
      <c r="N20" s="4" t="n">
        <v>6</v>
      </c>
      <c r="O20" s="6" t="n">
        <f aca="false">IF(C20="롱",(J20-E20)/E20,(E20-J20)/E20)</f>
        <v>-0.00400295363569225</v>
      </c>
    </row>
    <row r="21" customFormat="false" ht="17.15" hidden="false" customHeight="false" outlineLevel="0" collapsed="false">
      <c r="A21" s="4" t="n">
        <v>11</v>
      </c>
      <c r="B21" s="4" t="s">
        <v>32</v>
      </c>
      <c r="C21" s="8" t="s">
        <v>74</v>
      </c>
      <c r="D21" s="21" t="n">
        <v>43062</v>
      </c>
      <c r="E21" s="22" t="n">
        <v>334.51</v>
      </c>
      <c r="F21" s="21" t="n">
        <v>43063</v>
      </c>
      <c r="G21" s="22" t="n">
        <v>334.77</v>
      </c>
      <c r="H21" s="22" t="n">
        <v>350.28</v>
      </c>
      <c r="I21" s="21" t="n">
        <v>43063</v>
      </c>
      <c r="J21" s="22" t="n">
        <v>335.44</v>
      </c>
      <c r="K21" s="21" t="n">
        <v>43066</v>
      </c>
      <c r="L21" s="22" t="n">
        <v>335.24</v>
      </c>
      <c r="M21" s="8" t="s">
        <v>73</v>
      </c>
      <c r="N21" s="4" t="n">
        <v>1</v>
      </c>
      <c r="O21" s="6" t="n">
        <f aca="false">IF(C21="롱",(J21-E21)/E21,(E21-J21)/E21)</f>
        <v>-0.00278018594361905</v>
      </c>
    </row>
    <row r="22" customFormat="false" ht="17.15" hidden="false" customHeight="false" outlineLevel="0" collapsed="false">
      <c r="A22" s="4" t="n">
        <v>11</v>
      </c>
      <c r="B22" s="4" t="s">
        <v>32</v>
      </c>
      <c r="C22" s="8" t="s">
        <v>74</v>
      </c>
      <c r="D22" s="21" t="n">
        <v>43259</v>
      </c>
      <c r="E22" s="22" t="n">
        <v>314.97</v>
      </c>
      <c r="F22" s="21" t="n">
        <v>43262</v>
      </c>
      <c r="G22" s="22" t="n">
        <v>315.24</v>
      </c>
      <c r="H22" s="22" t="n">
        <v>331.24</v>
      </c>
      <c r="I22" s="21" t="n">
        <v>43262</v>
      </c>
      <c r="J22" s="22" t="n">
        <v>317.22</v>
      </c>
      <c r="K22" s="21" t="n">
        <v>43263</v>
      </c>
      <c r="L22" s="22" t="n">
        <v>317.81</v>
      </c>
      <c r="M22" s="8" t="s">
        <v>73</v>
      </c>
      <c r="N22" s="4" t="n">
        <v>1</v>
      </c>
      <c r="O22" s="6" t="n">
        <f aca="false">IF(C22="롱",(J22-E22)/E22,(E22-J22)/E22)</f>
        <v>-0.00714353747975998</v>
      </c>
    </row>
    <row r="23" customFormat="false" ht="17.15" hidden="false" customHeight="false" outlineLevel="0" collapsed="false">
      <c r="A23" s="4" t="n">
        <v>11</v>
      </c>
      <c r="B23" s="4" t="s">
        <v>32</v>
      </c>
      <c r="C23" s="8" t="s">
        <v>74</v>
      </c>
      <c r="D23" s="21" t="n">
        <v>43797</v>
      </c>
      <c r="E23" s="22" t="n">
        <v>281.23</v>
      </c>
      <c r="F23" s="21" t="n">
        <v>43798</v>
      </c>
      <c r="G23" s="22" t="n">
        <v>282.08</v>
      </c>
      <c r="H23" s="22" t="n">
        <v>296.72</v>
      </c>
      <c r="I23" s="21" t="n">
        <v>43811</v>
      </c>
      <c r="J23" s="22" t="n">
        <v>285.11</v>
      </c>
      <c r="K23" s="21" t="n">
        <v>43812</v>
      </c>
      <c r="L23" s="22" t="n">
        <v>289.34</v>
      </c>
      <c r="M23" s="8" t="s">
        <v>73</v>
      </c>
      <c r="N23" s="4" t="n">
        <v>10</v>
      </c>
      <c r="O23" s="6" t="n">
        <f aca="false">IF(C23="롱",(J23-E23)/E23,(E23-J23)/E23)</f>
        <v>-0.0137965366426057</v>
      </c>
    </row>
    <row r="24" customFormat="false" ht="17.15" hidden="false" customHeight="false" outlineLevel="0" collapsed="false">
      <c r="A24" s="4" t="n">
        <v>11</v>
      </c>
      <c r="B24" s="4" t="s">
        <v>32</v>
      </c>
      <c r="C24" s="8" t="s">
        <v>74</v>
      </c>
      <c r="D24" s="21" t="n">
        <v>43871</v>
      </c>
      <c r="E24" s="22" t="n">
        <v>296.24</v>
      </c>
      <c r="F24" s="21" t="n">
        <v>43872</v>
      </c>
      <c r="G24" s="22" t="n">
        <v>297.91</v>
      </c>
      <c r="H24" s="22" t="n">
        <v>321.77</v>
      </c>
      <c r="I24" s="21" t="n">
        <v>43872</v>
      </c>
      <c r="J24" s="22" t="n">
        <v>299.28</v>
      </c>
      <c r="K24" s="21" t="n">
        <v>43873</v>
      </c>
      <c r="L24" s="22" t="n">
        <v>299.83</v>
      </c>
      <c r="M24" s="8" t="s">
        <v>73</v>
      </c>
      <c r="N24" s="4" t="n">
        <v>1</v>
      </c>
      <c r="O24" s="6" t="n">
        <f aca="false">IF(C24="롱",(J24-E24)/E24,(E24-J24)/E24)</f>
        <v>-0.0102619497704563</v>
      </c>
    </row>
    <row r="25" customFormat="false" ht="17.15" hidden="false" customHeight="false" outlineLevel="0" collapsed="false">
      <c r="A25" s="4" t="n">
        <v>11</v>
      </c>
      <c r="B25" s="4" t="s">
        <v>32</v>
      </c>
      <c r="C25" s="8" t="s">
        <v>74</v>
      </c>
      <c r="D25" s="21" t="n">
        <v>44231</v>
      </c>
      <c r="E25" s="22" t="n">
        <v>418.31</v>
      </c>
      <c r="F25" s="21" t="n">
        <v>44232</v>
      </c>
      <c r="G25" s="22" t="n">
        <v>419.84</v>
      </c>
      <c r="H25" s="22" t="n">
        <v>460.14</v>
      </c>
      <c r="I25" s="21" t="n">
        <v>44242</v>
      </c>
      <c r="J25" s="22" t="n">
        <v>427.01</v>
      </c>
      <c r="K25" s="21" t="n">
        <v>44243</v>
      </c>
      <c r="L25" s="22" t="n">
        <v>427.8</v>
      </c>
      <c r="M25" s="8" t="s">
        <v>73</v>
      </c>
      <c r="N25" s="4" t="n">
        <v>5</v>
      </c>
      <c r="O25" s="6" t="n">
        <f aca="false">IF(C25="롱",(J25-E25)/E25,(E25-J25)/E25)</f>
        <v>-0.0207979727952953</v>
      </c>
    </row>
    <row r="26" customFormat="false" ht="17.15" hidden="false" customHeight="false" outlineLevel="0" collapsed="false">
      <c r="A26" s="4" t="n">
        <v>11</v>
      </c>
      <c r="B26" s="4" t="s">
        <v>32</v>
      </c>
      <c r="C26" s="8" t="s">
        <v>74</v>
      </c>
      <c r="D26" s="21" t="n">
        <v>44455</v>
      </c>
      <c r="E26" s="22" t="n">
        <v>409.22</v>
      </c>
      <c r="F26" s="21" t="n">
        <v>44456</v>
      </c>
      <c r="G26" s="22" t="n">
        <v>408.9</v>
      </c>
      <c r="H26" s="22" t="n">
        <v>437.12</v>
      </c>
      <c r="I26" s="21" t="n">
        <v>44494</v>
      </c>
      <c r="J26" s="22" t="n">
        <v>395.01</v>
      </c>
      <c r="K26" s="21" t="n">
        <v>44495</v>
      </c>
      <c r="L26" s="22" t="n">
        <v>397.75</v>
      </c>
      <c r="M26" s="8" t="s">
        <v>73</v>
      </c>
      <c r="N26" s="4" t="n">
        <v>22</v>
      </c>
      <c r="O26" s="6" t="n">
        <f aca="false">IF(C26="롱",(J26-E26)/E26,(E26-J26)/E26)</f>
        <v>0.0347245980157373</v>
      </c>
    </row>
    <row r="27" customFormat="false" ht="17.15" hidden="false" customHeight="false" outlineLevel="0" collapsed="false">
      <c r="A27" s="4" t="n">
        <v>11</v>
      </c>
      <c r="B27" s="4" t="s">
        <v>32</v>
      </c>
      <c r="C27" s="8" t="s">
        <v>74</v>
      </c>
      <c r="D27" s="21" t="n">
        <v>44505</v>
      </c>
      <c r="E27" s="22" t="n">
        <v>389.86</v>
      </c>
      <c r="F27" s="21" t="n">
        <v>44508</v>
      </c>
      <c r="G27" s="22" t="n">
        <v>390.1</v>
      </c>
      <c r="H27" s="22" t="n">
        <v>417.02</v>
      </c>
      <c r="I27" s="21" t="n">
        <v>44515</v>
      </c>
      <c r="J27" s="22" t="n">
        <v>394.36</v>
      </c>
      <c r="K27" s="21" t="n">
        <v>44516</v>
      </c>
      <c r="L27" s="22" t="n">
        <v>393.94</v>
      </c>
      <c r="M27" s="8" t="s">
        <v>73</v>
      </c>
      <c r="N27" s="4" t="n">
        <v>6</v>
      </c>
      <c r="O27" s="6" t="n">
        <f aca="false">IF(C27="롱",(J27-E27)/E27,(E27-J27)/E27)</f>
        <v>-0.0115426050377058</v>
      </c>
    </row>
    <row r="28" customFormat="false" ht="17.15" hidden="false" customHeight="false" outlineLevel="0" collapsed="false">
      <c r="A28" s="4" t="n">
        <v>11</v>
      </c>
      <c r="B28" s="4" t="s">
        <v>32</v>
      </c>
      <c r="C28" s="8" t="s">
        <v>74</v>
      </c>
      <c r="D28" s="21" t="n">
        <v>44624</v>
      </c>
      <c r="E28" s="22" t="n">
        <v>361.69</v>
      </c>
      <c r="F28" s="21" t="n">
        <v>44627</v>
      </c>
      <c r="G28" s="22" t="n">
        <v>356.59</v>
      </c>
      <c r="H28" s="22" t="n">
        <v>392.77</v>
      </c>
      <c r="I28" s="21" t="n">
        <v>44637</v>
      </c>
      <c r="J28" s="22" t="n">
        <v>361.46</v>
      </c>
      <c r="K28" s="21" t="n">
        <v>44638</v>
      </c>
      <c r="L28" s="22" t="n">
        <v>361.16</v>
      </c>
      <c r="M28" s="8" t="s">
        <v>73</v>
      </c>
      <c r="N28" s="4" t="n">
        <v>8</v>
      </c>
      <c r="O28" s="6" t="n">
        <f aca="false">IF(C28="롱",(J28-E28)/E28,(E28-J28)/E28)</f>
        <v>0.000635903674417369</v>
      </c>
    </row>
    <row r="29" customFormat="false" ht="17.15" hidden="false" customHeight="false" outlineLevel="0" collapsed="false">
      <c r="A29" s="4" t="n">
        <v>11</v>
      </c>
      <c r="B29" s="4" t="s">
        <v>32</v>
      </c>
      <c r="C29" s="8" t="s">
        <v>74</v>
      </c>
      <c r="D29" s="21" t="n">
        <v>44992</v>
      </c>
      <c r="E29" s="22" t="n">
        <v>319.8</v>
      </c>
      <c r="F29" s="21" t="n">
        <v>44993</v>
      </c>
      <c r="G29" s="22" t="n">
        <v>316.14</v>
      </c>
      <c r="H29" s="22" t="n">
        <v>341.74</v>
      </c>
      <c r="I29" s="21" t="n">
        <v>45008</v>
      </c>
      <c r="J29" s="22" t="n">
        <v>315.75</v>
      </c>
      <c r="K29" s="21" t="n">
        <v>45009</v>
      </c>
      <c r="L29" s="22" t="n">
        <v>315.17</v>
      </c>
      <c r="M29" s="8" t="s">
        <v>73</v>
      </c>
      <c r="N29" s="4" t="n">
        <v>12</v>
      </c>
      <c r="O29" s="6" t="n">
        <f aca="false">IF(C29="롱",(J29-E29)/E29,(E29-J29)/E29)</f>
        <v>0.0126641651031895</v>
      </c>
    </row>
    <row r="30" customFormat="false" ht="17.15" hidden="false" customHeight="false" outlineLevel="0" collapsed="false">
      <c r="A30" s="4" t="n">
        <v>11</v>
      </c>
      <c r="B30" s="4" t="s">
        <v>32</v>
      </c>
      <c r="C30" s="8" t="s">
        <v>74</v>
      </c>
      <c r="D30" s="21" t="n">
        <v>45049</v>
      </c>
      <c r="E30" s="22" t="n">
        <v>326.52</v>
      </c>
      <c r="F30" s="21" t="n">
        <v>45050</v>
      </c>
      <c r="G30" s="22" t="n">
        <v>325.75</v>
      </c>
      <c r="H30" s="22" t="n">
        <v>345.25</v>
      </c>
      <c r="I30" s="21" t="n">
        <v>45054</v>
      </c>
      <c r="J30" s="22" t="n">
        <v>328.9</v>
      </c>
      <c r="K30" s="21" t="n">
        <v>45055</v>
      </c>
      <c r="L30" s="22" t="n">
        <v>328.68</v>
      </c>
      <c r="M30" s="8" t="s">
        <v>73</v>
      </c>
      <c r="N30" s="4" t="n">
        <v>2</v>
      </c>
      <c r="O30" s="6" t="n">
        <f aca="false">IF(C30="롱",(J30-E30)/E30,(E30-J30)/E30)</f>
        <v>-0.00728898689207398</v>
      </c>
    </row>
    <row r="31" customFormat="false" ht="17.15" hidden="false" customHeight="false" outlineLevel="0" collapsed="false">
      <c r="A31" s="4" t="n">
        <v>11</v>
      </c>
      <c r="B31" s="4" t="s">
        <v>32</v>
      </c>
      <c r="C31" s="8" t="s">
        <v>74</v>
      </c>
      <c r="D31" s="21" t="n">
        <v>45055</v>
      </c>
      <c r="E31" s="22" t="n">
        <v>328.22</v>
      </c>
      <c r="F31" s="21" t="n">
        <v>45056</v>
      </c>
      <c r="G31" s="22" t="n">
        <v>327.73</v>
      </c>
      <c r="H31" s="22" t="n">
        <v>345.4</v>
      </c>
      <c r="I31" s="21" t="n">
        <v>45064</v>
      </c>
      <c r="J31" s="22" t="n">
        <v>329.84</v>
      </c>
      <c r="K31" s="21" t="n">
        <v>45065</v>
      </c>
      <c r="L31" s="22" t="n">
        <v>332.67</v>
      </c>
      <c r="M31" s="8" t="s">
        <v>73</v>
      </c>
      <c r="N31" s="4" t="n">
        <v>7</v>
      </c>
      <c r="O31" s="6" t="n">
        <f aca="false">IF(C31="롱",(J31-E31)/E31,(E31-J31)/E31)</f>
        <v>-0.00493571385046599</v>
      </c>
    </row>
    <row r="32" customFormat="false" ht="17.15" hidden="false" customHeight="false" outlineLevel="0" collapsed="false">
      <c r="A32" s="4" t="n">
        <v>11</v>
      </c>
      <c r="B32" s="4" t="s">
        <v>32</v>
      </c>
      <c r="C32" s="8" t="s">
        <v>74</v>
      </c>
      <c r="D32" s="21" t="n">
        <v>45975</v>
      </c>
      <c r="E32" s="22" t="n">
        <v>563.43</v>
      </c>
      <c r="F32" s="21" t="n">
        <v>45978</v>
      </c>
      <c r="G32" s="22" t="n">
        <v>574.43</v>
      </c>
      <c r="H32" s="22" t="n">
        <v>619.77</v>
      </c>
      <c r="I32" s="21" t="n">
        <v>45978</v>
      </c>
      <c r="J32" s="22" t="n">
        <v>576.65</v>
      </c>
      <c r="K32" s="21" t="n">
        <v>45979</v>
      </c>
      <c r="L32" s="22" t="n">
        <v>569.37</v>
      </c>
      <c r="M32" s="8" t="s">
        <v>73</v>
      </c>
      <c r="N32" s="4" t="n">
        <v>1</v>
      </c>
      <c r="O32" s="6" t="n">
        <f aca="false">IF(C32="롱",(J32-E32)/E32,(E32-J32)/E32)</f>
        <v>-0.0234634293523597</v>
      </c>
    </row>
  </sheetData>
  <autoFilter ref="A4:O3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2026-09-26T15:46:50Z</dcterms:created>
  <dc:creator>openpyxl</dc:creator>
  <dc:description/>
  <dc:language>en-US</dc:language>
  <cp:lastModifiedBy/>
  <dcterms:modified xsi:type="dcterms:W3CDTF">2026-09-26T15:46:51Z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