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거래" sheetId="2" state="visible" r:id="rId4"/>
    <sheet name="오늘후보" sheetId="3" state="visible" r:id="rId5"/>
    <sheet name="변형_월말모멘텀" sheetId="4" state="visible" r:id="rId6"/>
    <sheet name="패턴검증" sheetId="5" state="visible" r:id="rId7"/>
  </sheets>
  <definedNames>
    <definedName function="false" hidden="true" localSheetId="1" name="_xlnm._FilterDatabase" vbProcedure="false">거래!$A$4:$M$593</definedName>
    <definedName function="false" hidden="true" localSheetId="4" name="_xlnm._FilterDatabase" vbProcedure="false">패턴검증!$A$3:$L$91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<sst xmlns="http://schemas.openxmlformats.org/spreadsheetml/2006/main" count="4227" uniqueCount="736">
  <si>
    <r>
      <rPr>
        <b val="true"/>
        <sz val="12"/>
        <rFont val="Noto Sans CJK SC"/>
        <family val="2"/>
      </rPr>
      <t xml:space="preserve">개별주식 일일 매매규칙 </t>
    </r>
    <r>
      <rPr>
        <b val="true"/>
        <sz val="12"/>
        <rFont val="Arial"/>
        <family val="0"/>
        <charset val="1"/>
      </rPr>
      <t xml:space="preserve">v1 - </t>
    </r>
    <r>
      <rPr>
        <b val="true"/>
        <sz val="12"/>
        <rFont val="Noto Sans CJK SC"/>
        <family val="2"/>
      </rPr>
      <t xml:space="preserve">요약</t>
    </r>
  </si>
  <si>
    <r>
      <rPr>
        <sz val="9"/>
        <color rgb="FF555555"/>
        <rFont val="Noto Sans CJK SC"/>
        <family val="2"/>
      </rPr>
      <t xml:space="preserve">대상</t>
    </r>
    <r>
      <rPr>
        <sz val="9"/>
        <color rgb="FF555555"/>
        <rFont val="Arial"/>
        <family val="0"/>
        <charset val="1"/>
      </rPr>
      <t xml:space="preserve">: </t>
    </r>
    <r>
      <rPr>
        <sz val="9"/>
        <color rgb="FF555555"/>
        <rFont val="Noto Sans CJK SC"/>
        <family val="2"/>
      </rPr>
      <t xml:space="preserve">코스피</t>
    </r>
    <r>
      <rPr>
        <sz val="9"/>
        <color rgb="FF555555"/>
        <rFont val="Arial"/>
        <family val="0"/>
        <charset val="1"/>
      </rPr>
      <t xml:space="preserve">200+</t>
    </r>
    <r>
      <rPr>
        <sz val="9"/>
        <color rgb="FF555555"/>
        <rFont val="Noto Sans CJK SC"/>
        <family val="2"/>
      </rPr>
      <t xml:space="preserve">코스닥</t>
    </r>
    <r>
      <rPr>
        <sz val="9"/>
        <color rgb="FF555555"/>
        <rFont val="Arial"/>
        <family val="0"/>
        <charset val="1"/>
      </rPr>
      <t xml:space="preserve">150 </t>
    </r>
    <r>
      <rPr>
        <sz val="9"/>
        <color rgb="FF555555"/>
        <rFont val="Noto Sans CJK SC"/>
        <family val="2"/>
      </rPr>
      <t xml:space="preserve">현 구성종목 </t>
    </r>
    <r>
      <rPr>
        <sz val="9"/>
        <color rgb="FF555555"/>
        <rFont val="Arial"/>
        <family val="0"/>
        <charset val="1"/>
      </rPr>
      <t xml:space="preserve">344</t>
    </r>
    <r>
      <rPr>
        <sz val="9"/>
        <color rgb="FF555555"/>
        <rFont val="Noto Sans CJK SC"/>
        <family val="2"/>
      </rPr>
      <t xml:space="preserve">개</t>
    </r>
    <r>
      <rPr>
        <sz val="9"/>
        <color rgb="FF555555"/>
        <rFont val="Arial"/>
        <family val="0"/>
        <charset val="1"/>
      </rPr>
      <t xml:space="preserve">, 2016-10-11 ~ 2026-10-08 </t>
    </r>
    <r>
      <rPr>
        <sz val="9"/>
        <color rgb="FF555555"/>
        <rFont val="Noto Sans CJK SC"/>
        <family val="2"/>
      </rPr>
      <t xml:space="preserve">일봉 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수정주가</t>
    </r>
    <r>
      <rPr>
        <sz val="9"/>
        <color rgb="FF555555"/>
        <rFont val="Arial"/>
        <family val="0"/>
        <charset val="1"/>
      </rPr>
      <t xml:space="preserve">). </t>
    </r>
    <r>
      <rPr>
        <sz val="9"/>
        <color rgb="FF555555"/>
        <rFont val="Noto Sans CJK SC"/>
        <family val="2"/>
      </rPr>
      <t xml:space="preserve">판정 시작 </t>
    </r>
    <r>
      <rPr>
        <sz val="9"/>
        <color rgb="FF555555"/>
        <rFont val="Arial"/>
        <family val="0"/>
        <charset val="1"/>
      </rPr>
      <t xml:space="preserve">2017-10. </t>
    </r>
    <r>
      <rPr>
        <sz val="9"/>
        <color rgb="FF555555"/>
        <rFont val="Noto Sans CJK SC"/>
        <family val="2"/>
      </rPr>
      <t xml:space="preserve">현 구성종목이라 생존편향이 들어 있음 </t>
    </r>
    <r>
      <rPr>
        <sz val="9"/>
        <color rgb="FF555555"/>
        <rFont val="Arial"/>
        <family val="0"/>
        <charset val="1"/>
      </rPr>
      <t xml:space="preserve">- </t>
    </r>
    <r>
      <rPr>
        <sz val="9"/>
        <color rgb="FF555555"/>
        <rFont val="Noto Sans CJK SC"/>
        <family val="2"/>
      </rPr>
      <t xml:space="preserve">수치는 상한</t>
    </r>
    <r>
      <rPr>
        <sz val="9"/>
        <color rgb="FF555555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</si>
  <si>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</si>
  <si>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</si>
  <si>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설명</t>
  </si>
  <si>
    <t xml:space="preserve">거래 건수</t>
  </si>
  <si>
    <t xml:space="preserve">승률</t>
  </si>
  <si>
    <t xml:space="preserve">건당 평균 수익률</t>
  </si>
  <si>
    <t xml:space="preserve">비용 포함</t>
  </si>
  <si>
    <t xml:space="preserve">건당 중앙값</t>
  </si>
  <si>
    <r>
      <rPr>
        <sz val="11"/>
        <rFont val="Noto Sans CJK SC"/>
        <family val="2"/>
      </rPr>
      <t xml:space="preserve">최고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건</t>
    </r>
  </si>
  <si>
    <r>
      <rPr>
        <sz val="11"/>
        <rFont val="Noto Sans CJK SC"/>
        <family val="2"/>
      </rPr>
      <t xml:space="preserve">최악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건</t>
    </r>
  </si>
  <si>
    <t xml:space="preserve">평균 보유일</t>
  </si>
  <si>
    <t xml:space="preserve">손절 건수</t>
  </si>
  <si>
    <r>
      <rPr>
        <sz val="11"/>
        <rFont val="Arial"/>
        <family val="0"/>
        <charset val="1"/>
      </rPr>
      <t xml:space="preserve">CAGR (</t>
    </r>
    <r>
      <rPr>
        <sz val="11"/>
        <rFont val="Noto Sans CJK SC"/>
        <family val="2"/>
      </rPr>
      <t xml:space="preserve">복리</t>
    </r>
    <r>
      <rPr>
        <sz val="11"/>
        <rFont val="Arial"/>
        <family val="0"/>
        <charset val="1"/>
      </rPr>
      <t xml:space="preserve">)</t>
    </r>
  </si>
  <si>
    <r>
      <rPr>
        <sz val="9"/>
        <color rgb="FF555555"/>
        <rFont val="Noto Sans CJK SC"/>
        <family val="2"/>
      </rPr>
      <t xml:space="preserve">일간 평가</t>
    </r>
    <r>
      <rPr>
        <sz val="9"/>
        <color rgb="FF555555"/>
        <rFont val="Arial"/>
        <family val="0"/>
        <charset val="1"/>
      </rPr>
      <t xml:space="preserve">, 2017-10-02 ~ 2026-10-08</t>
    </r>
  </si>
  <si>
    <t xml:space="preserve">최대 낙폭</t>
  </si>
  <si>
    <t xml:space="preserve">2026-05-29 ~ 2026-08-03</t>
  </si>
  <si>
    <t xml:space="preserve">Sharpe</t>
  </si>
  <si>
    <t xml:space="preserve">최종 배수</t>
  </si>
  <si>
    <t xml:space="preserve">IS 2017-10~2021 / OOS 2022~2026-10</t>
  </si>
  <si>
    <t xml:space="preserve">22.9% / 30.8%</t>
  </si>
  <si>
    <t xml:space="preserve">CAGR (MDD -35.4% / -44.0%)</t>
  </si>
  <si>
    <r>
      <rPr>
        <sz val="11"/>
        <rFont val="Arial"/>
        <family val="0"/>
        <charset val="1"/>
      </rPr>
      <t xml:space="preserve">2025~26 </t>
    </r>
    <r>
      <rPr>
        <sz val="11"/>
        <rFont val="Noto Sans CJK SC"/>
        <family val="2"/>
      </rPr>
      <t xml:space="preserve">제외</t>
    </r>
  </si>
  <si>
    <t xml:space="preserve">27.2% / -35.4% / 0.97</t>
  </si>
  <si>
    <t xml:space="preserve">CAGR / MDD / Sharpe</t>
  </si>
  <si>
    <r>
      <rPr>
        <sz val="11"/>
        <rFont val="Noto Sans CJK SC"/>
        <family val="2"/>
      </rPr>
      <t xml:space="preserve">비교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같은 진입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패턴별 청산</t>
    </r>
  </si>
  <si>
    <t xml:space="preserve">17.8% / -40.7% / 0.73</t>
  </si>
  <si>
    <r>
      <rPr>
        <sz val="9"/>
        <color rgb="FF555555"/>
        <rFont val="Arial"/>
        <family val="0"/>
        <charset val="1"/>
      </rPr>
      <t xml:space="preserve">62</t>
    </r>
    <r>
      <rPr>
        <sz val="9"/>
        <color rgb="FF555555"/>
        <rFont val="Noto Sans CJK SC"/>
        <family val="2"/>
      </rPr>
      <t xml:space="preserve">일선 청산 대신 패턴 고유 청산</t>
    </r>
  </si>
  <si>
    <r>
      <rPr>
        <sz val="11"/>
        <rFont val="Noto Sans CJK SC"/>
        <family val="2"/>
      </rPr>
      <t xml:space="preserve">비교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후보 순위를 무작위로</t>
    </r>
  </si>
  <si>
    <t xml:space="preserve">12.6% / -36.8% / 0.61</t>
  </si>
  <si>
    <r>
      <rPr>
        <sz val="9"/>
        <color rgb="FF555555"/>
        <rFont val="Arial"/>
        <family val="0"/>
        <charset val="1"/>
      </rPr>
      <t xml:space="preserve">6</t>
    </r>
    <r>
      <rPr>
        <sz val="9"/>
        <color rgb="FF555555"/>
        <rFont val="Noto Sans CJK SC"/>
        <family val="2"/>
      </rPr>
      <t xml:space="preserve">개월 수익률 순위의 값</t>
    </r>
  </si>
  <si>
    <r>
      <rPr>
        <sz val="11"/>
        <rFont val="Noto Sans CJK SC"/>
        <family val="2"/>
      </rPr>
      <t xml:space="preserve">비교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변형 </t>
    </r>
    <r>
      <rPr>
        <sz val="11"/>
        <rFont val="Arial"/>
        <family val="0"/>
        <charset val="1"/>
      </rPr>
      <t xml:space="preserve">B (</t>
    </r>
    <r>
      <rPr>
        <sz val="11"/>
        <rFont val="Noto Sans CJK SC"/>
        <family val="2"/>
      </rPr>
      <t xml:space="preserve">월말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개월 모멘텀 상위</t>
    </r>
    <r>
      <rPr>
        <sz val="11"/>
        <rFont val="Arial"/>
        <family val="0"/>
        <charset val="1"/>
      </rPr>
      <t xml:space="preserve">10, </t>
    </r>
    <r>
      <rPr>
        <sz val="11"/>
        <rFont val="Noto Sans CJK SC"/>
        <family val="2"/>
      </rPr>
      <t xml:space="preserve">패턴 없음</t>
    </r>
    <r>
      <rPr>
        <sz val="11"/>
        <rFont val="Arial"/>
        <family val="0"/>
        <charset val="1"/>
      </rPr>
      <t xml:space="preserve">)</t>
    </r>
  </si>
  <si>
    <t xml:space="preserve">31.9% / -31.2% / 1.09</t>
  </si>
  <si>
    <r>
      <rPr>
        <sz val="9"/>
        <color rgb="FF555555"/>
        <rFont val="Noto Sans CJK SC"/>
        <family val="2"/>
      </rPr>
      <t xml:space="preserve">변형</t>
    </r>
    <r>
      <rPr>
        <sz val="9"/>
        <color rgb="FF555555"/>
        <rFont val="Arial"/>
        <family val="0"/>
        <charset val="1"/>
      </rPr>
      <t xml:space="preserve">_</t>
    </r>
    <r>
      <rPr>
        <sz val="9"/>
        <color rgb="FF555555"/>
        <rFont val="Noto Sans CJK SC"/>
        <family val="2"/>
      </rPr>
      <t xml:space="preserve">월말모멘텀 시트</t>
    </r>
  </si>
  <si>
    <r>
      <rPr>
        <sz val="11"/>
        <rFont val="Noto Sans CJK SC"/>
        <family val="2"/>
      </rPr>
      <t xml:space="preserve">비교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코스피</t>
    </r>
    <r>
      <rPr>
        <sz val="11"/>
        <rFont val="Arial"/>
        <family val="0"/>
        <charset val="1"/>
      </rPr>
      <t xml:space="preserve">200 ETF 11</t>
    </r>
    <r>
      <rPr>
        <sz val="11"/>
        <rFont val="Noto Sans CJK SC"/>
        <family val="2"/>
      </rPr>
      <t xml:space="preserve">패턴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같은 창</t>
    </r>
    <r>
      <rPr>
        <sz val="11"/>
        <rFont val="Arial"/>
        <family val="0"/>
        <charset val="1"/>
      </rPr>
      <t xml:space="preserve">)</t>
    </r>
  </si>
  <si>
    <t xml:space="preserve">21.2% / -31.8% / 0.96</t>
  </si>
  <si>
    <r>
      <rPr>
        <sz val="11"/>
        <rFont val="Noto Sans CJK SC"/>
        <family val="2"/>
      </rPr>
      <t xml:space="preserve">비교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유니버스 동일가중 보유</t>
    </r>
  </si>
  <si>
    <t xml:space="preserve">17.6% / -45.3% / 0.81</t>
  </si>
  <si>
    <t xml:space="preserve">같은 생존편향</t>
  </si>
  <si>
    <r>
      <rPr>
        <sz val="11"/>
        <rFont val="Noto Sans CJK SC"/>
        <family val="2"/>
      </rPr>
      <t xml:space="preserve">비교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코스피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지수</t>
    </r>
  </si>
  <si>
    <t xml:space="preserve">14.0% / -41.2% / 0.63</t>
  </si>
  <si>
    <r>
      <rPr>
        <b val="true"/>
        <sz val="11"/>
        <rFont val="Noto Sans CJK SC"/>
        <family val="2"/>
      </rPr>
      <t xml:space="preserve">연도별 수익률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복리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</si>
  <si>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패턴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카드</t>
    </r>
    <r>
      <rPr>
        <b val="true"/>
        <sz val="11"/>
        <rFont val="Arial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별 기여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거래 시트에서 집계</t>
    </r>
    <r>
      <rPr>
        <b val="true"/>
        <sz val="11"/>
        <rFont val="Arial"/>
        <family val="0"/>
        <charset val="1"/>
      </rPr>
      <t xml:space="preserve">)</t>
    </r>
  </si>
  <si>
    <t xml:space="preserve">카드</t>
  </si>
  <si>
    <t xml:space="preserve">건수</t>
  </si>
  <si>
    <t xml:space="preserve">건당 평균</t>
  </si>
  <si>
    <t xml:space="preserve">합산</t>
  </si>
  <si>
    <t xml:space="preserve">A1</t>
  </si>
  <si>
    <t xml:space="preserve">A2</t>
  </si>
  <si>
    <t xml:space="preserve">A3</t>
  </si>
  <si>
    <t xml:space="preserve">A4</t>
  </si>
  <si>
    <t xml:space="preserve">B1</t>
  </si>
  <si>
    <t xml:space="preserve">B2</t>
  </si>
  <si>
    <t xml:space="preserve">B3</t>
  </si>
  <si>
    <t xml:space="preserve">B4</t>
  </si>
  <si>
    <t xml:space="preserve">C</t>
  </si>
  <si>
    <t xml:space="preserve">D</t>
  </si>
  <si>
    <t xml:space="preserve">E</t>
  </si>
  <si>
    <r>
      <rPr>
        <b val="true"/>
        <sz val="12"/>
        <rFont val="Noto Sans CJK SC"/>
        <family val="2"/>
      </rPr>
      <t xml:space="preserve">개별주식 일일 규칙 </t>
    </r>
    <r>
      <rPr>
        <b val="true"/>
        <sz val="12"/>
        <rFont val="Arial"/>
        <family val="0"/>
        <charset val="1"/>
      </rPr>
      <t xml:space="preserve">v1 </t>
    </r>
    <r>
      <rPr>
        <b val="true"/>
        <sz val="12"/>
        <rFont val="Noto Sans CJK SC"/>
        <family val="2"/>
      </rPr>
      <t xml:space="preserve">거래 목록 </t>
    </r>
    <r>
      <rPr>
        <b val="true"/>
        <sz val="12"/>
        <rFont val="Arial"/>
        <family val="0"/>
        <charset val="1"/>
      </rPr>
      <t xml:space="preserve">(2017-10 ~ 2026-10, </t>
    </r>
    <r>
      <rPr>
        <b val="true"/>
        <sz val="12"/>
        <rFont val="Noto Sans CJK SC"/>
        <family val="2"/>
      </rPr>
      <t xml:space="preserve">백테스트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비용 반영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매수 </t>
    </r>
    <r>
      <rPr>
        <b val="true"/>
        <sz val="12"/>
        <rFont val="Arial"/>
        <family val="0"/>
        <charset val="1"/>
      </rPr>
      <t xml:space="preserve">0.10%, </t>
    </r>
    <r>
      <rPr>
        <b val="true"/>
        <sz val="12"/>
        <rFont val="Noto Sans CJK SC"/>
        <family val="2"/>
      </rPr>
      <t xml:space="preserve">매도 </t>
    </r>
    <r>
      <rPr>
        <b val="true"/>
        <sz val="12"/>
        <rFont val="Arial"/>
        <family val="0"/>
        <charset val="1"/>
      </rPr>
      <t xml:space="preserve">0.25%)</t>
    </r>
  </si>
  <si>
    <r>
      <rPr>
        <sz val="9"/>
        <color rgb="FF555555"/>
        <rFont val="Noto Sans CJK SC"/>
        <family val="2"/>
      </rPr>
      <t xml:space="preserve">진입</t>
    </r>
    <r>
      <rPr>
        <sz val="9"/>
        <color rgb="FF555555"/>
        <rFont val="Arial"/>
        <family val="0"/>
        <charset val="1"/>
      </rPr>
      <t xml:space="preserve">: 15</t>
    </r>
    <r>
      <rPr>
        <sz val="9"/>
        <color rgb="FF555555"/>
        <rFont val="Noto Sans CJK SC"/>
        <family val="2"/>
      </rPr>
      <t xml:space="preserve">개 패턴 중 하나 통과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종가</t>
    </r>
    <r>
      <rPr>
        <sz val="9"/>
        <color rgb="FF555555"/>
        <rFont val="Arial"/>
        <family val="0"/>
        <charset val="1"/>
      </rPr>
      <t xml:space="preserve">&gt;248</t>
    </r>
    <r>
      <rPr>
        <sz val="9"/>
        <color rgb="FF555555"/>
        <rFont val="Noto Sans CJK SC"/>
        <family val="2"/>
      </rPr>
      <t xml:space="preserve">일선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거래대금 </t>
    </r>
    <r>
      <rPr>
        <sz val="9"/>
        <color rgb="FF555555"/>
        <rFont val="Arial"/>
        <family val="0"/>
        <charset val="1"/>
      </rPr>
      <t xml:space="preserve">30</t>
    </r>
    <r>
      <rPr>
        <sz val="9"/>
        <color rgb="FF555555"/>
        <rFont val="Noto Sans CJK SC"/>
        <family val="2"/>
      </rPr>
      <t xml:space="preserve">억 </t>
    </r>
    <r>
      <rPr>
        <sz val="9"/>
        <color rgb="FF555555"/>
        <rFont val="Arial"/>
        <family val="0"/>
        <charset val="1"/>
      </rPr>
      <t xml:space="preserve">+ </t>
    </r>
    <r>
      <rPr>
        <sz val="9"/>
        <color rgb="FF555555"/>
        <rFont val="Noto Sans CJK SC"/>
        <family val="2"/>
      </rPr>
      <t xml:space="preserve">코스피</t>
    </r>
    <r>
      <rPr>
        <sz val="9"/>
        <color rgb="FF555555"/>
        <rFont val="Arial"/>
        <family val="0"/>
        <charset val="1"/>
      </rPr>
      <t xml:space="preserve">200 62</t>
    </r>
    <r>
      <rPr>
        <sz val="9"/>
        <color rgb="FF555555"/>
        <rFont val="Noto Sans CJK SC"/>
        <family val="2"/>
      </rPr>
      <t xml:space="preserve">일선 상승 → 신호 다음날 종가 매수 </t>
    </r>
    <r>
      <rPr>
        <sz val="9"/>
        <color rgb="FF555555"/>
        <rFont val="Arial"/>
        <family val="0"/>
        <charset val="1"/>
      </rPr>
      <t xml:space="preserve">(10% x 10). </t>
    </r>
    <r>
      <rPr>
        <sz val="9"/>
        <color rgb="FF555555"/>
        <rFont val="Noto Sans CJK SC"/>
        <family val="2"/>
      </rPr>
      <t xml:space="preserve">청산</t>
    </r>
    <r>
      <rPr>
        <sz val="9"/>
        <color rgb="FF555555"/>
        <rFont val="Arial"/>
        <family val="0"/>
        <charset val="1"/>
      </rPr>
      <t xml:space="preserve">: </t>
    </r>
    <r>
      <rPr>
        <sz val="9"/>
        <color rgb="FF555555"/>
        <rFont val="Noto Sans CJK SC"/>
        <family val="2"/>
      </rPr>
      <t xml:space="preserve">종가 </t>
    </r>
    <r>
      <rPr>
        <sz val="9"/>
        <color rgb="FF555555"/>
        <rFont val="Arial"/>
        <family val="0"/>
        <charset val="1"/>
      </rPr>
      <t xml:space="preserve">&lt; 62</t>
    </r>
    <r>
      <rPr>
        <sz val="9"/>
        <color rgb="FF555555"/>
        <rFont val="Noto Sans CJK SC"/>
        <family val="2"/>
      </rPr>
      <t xml:space="preserve">일선 → 다음날 시가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손절</t>
    </r>
    <r>
      <rPr>
        <sz val="9"/>
        <color rgb="FF555555"/>
        <rFont val="Arial"/>
        <family val="0"/>
        <charset val="1"/>
      </rPr>
      <t xml:space="preserve">: </t>
    </r>
    <r>
      <rPr>
        <sz val="9"/>
        <color rgb="FF555555"/>
        <rFont val="Noto Sans CJK SC"/>
        <family val="2"/>
      </rPr>
      <t xml:space="preserve">신호일 종가 </t>
    </r>
    <r>
      <rPr>
        <sz val="9"/>
        <color rgb="FF555555"/>
        <rFont val="Arial"/>
        <family val="0"/>
        <charset val="1"/>
      </rPr>
      <t xml:space="preserve">- 2 ATR (</t>
    </r>
    <r>
      <rPr>
        <sz val="9"/>
        <color rgb="FF555555"/>
        <rFont val="Noto Sans CJK SC"/>
        <family val="2"/>
      </rPr>
      <t xml:space="preserve">장중</t>
    </r>
    <r>
      <rPr>
        <sz val="9"/>
        <color rgb="FF555555"/>
        <rFont val="Arial"/>
        <family val="0"/>
        <charset val="1"/>
      </rPr>
      <t xml:space="preserve">). </t>
    </r>
    <r>
      <rPr>
        <sz val="9"/>
        <color rgb="FF555555"/>
        <rFont val="Noto Sans CJK SC"/>
        <family val="2"/>
      </rPr>
      <t xml:space="preserve">후보 순위</t>
    </r>
    <r>
      <rPr>
        <sz val="9"/>
        <color rgb="FF555555"/>
        <rFont val="Arial"/>
        <family val="0"/>
        <charset val="1"/>
      </rPr>
      <t xml:space="preserve">: 6</t>
    </r>
    <r>
      <rPr>
        <sz val="9"/>
        <color rgb="FF555555"/>
        <rFont val="Noto Sans CJK SC"/>
        <family val="2"/>
      </rPr>
      <t xml:space="preserve">개월 수익률</t>
    </r>
    <r>
      <rPr>
        <sz val="9"/>
        <color rgb="FF555555"/>
        <rFont val="Arial"/>
        <family val="0"/>
        <charset val="1"/>
      </rPr>
      <t xml:space="preserve">.</t>
    </r>
  </si>
  <si>
    <t xml:space="preserve">종목코드</t>
  </si>
  <si>
    <t xml:space="preserve">종목명</t>
  </si>
  <si>
    <t xml:space="preserve">진입 패턴</t>
  </si>
  <si>
    <t xml:space="preserve">신호일</t>
  </si>
  <si>
    <r>
      <rPr>
        <b val="true"/>
        <sz val="11"/>
        <rFont val="Noto Sans CJK SC"/>
        <family val="2"/>
      </rPr>
      <t xml:space="preserve">매수일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종가</t>
    </r>
    <r>
      <rPr>
        <b val="true"/>
        <sz val="11"/>
        <rFont val="Arial"/>
        <family val="0"/>
        <charset val="1"/>
      </rPr>
      <t xml:space="preserve">)</t>
    </r>
  </si>
  <si>
    <t xml:space="preserve">매수가</t>
  </si>
  <si>
    <t xml:space="preserve">매도일</t>
  </si>
  <si>
    <t xml:space="preserve">매도가</t>
  </si>
  <si>
    <t xml:space="preserve">손절가</t>
  </si>
  <si>
    <r>
      <rPr>
        <b val="true"/>
        <sz val="11"/>
        <rFont val="Noto Sans CJK SC"/>
        <family val="2"/>
      </rPr>
      <t xml:space="preserve">수익률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비용 포함</t>
    </r>
    <r>
      <rPr>
        <b val="true"/>
        <sz val="11"/>
        <rFont val="Arial"/>
        <family val="0"/>
        <charset val="1"/>
      </rPr>
      <t xml:space="preserve">)</t>
    </r>
  </si>
  <si>
    <t xml:space="preserve">보유일</t>
  </si>
  <si>
    <t xml:space="preserve">사유</t>
  </si>
  <si>
    <t xml:space="preserve">005290</t>
  </si>
  <si>
    <t xml:space="preserve">동진쎄미켐</t>
  </si>
  <si>
    <r>
      <rPr>
        <sz val="11"/>
        <rFont val="Arial"/>
        <family val="0"/>
        <charset val="1"/>
      </rPr>
      <t xml:space="preserve">MACD </t>
    </r>
    <r>
      <rPr>
        <sz val="11"/>
        <rFont val="Noto Sans CJK SC"/>
        <family val="2"/>
      </rPr>
      <t xml:space="preserve">골든크로스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</t>
    </r>
  </si>
  <si>
    <t xml:space="preserve">추세이탈</t>
  </si>
  <si>
    <t xml:space="preserve">064760</t>
  </si>
  <si>
    <t xml:space="preserve">티씨케이</t>
  </si>
  <si>
    <r>
      <rPr>
        <sz val="11"/>
        <rFont val="Arial"/>
        <family val="0"/>
        <charset val="1"/>
      </rPr>
      <t xml:space="preserve">52</t>
    </r>
    <r>
      <rPr>
        <sz val="11"/>
        <rFont val="Noto Sans CJK SC"/>
        <family val="2"/>
      </rPr>
      <t xml:space="preserve">주 신고가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정배열</t>
    </r>
  </si>
  <si>
    <t xml:space="preserve">손절</t>
  </si>
  <si>
    <t xml:space="preserve">066970</t>
  </si>
  <si>
    <t xml:space="preserve">엘앤에프</t>
  </si>
  <si>
    <t xml:space="preserve">036620</t>
  </si>
  <si>
    <t xml:space="preserve">감성코퍼레이션</t>
  </si>
  <si>
    <r>
      <rPr>
        <sz val="11"/>
        <rFont val="Arial"/>
        <family val="0"/>
        <charset val="1"/>
      </rPr>
      <t xml:space="preserve">55</t>
    </r>
    <r>
      <rPr>
        <sz val="11"/>
        <rFont val="Noto Sans CJK SC"/>
        <family val="2"/>
      </rPr>
      <t xml:space="preserve">일 고가 돌파</t>
    </r>
  </si>
  <si>
    <t xml:space="preserve">128940</t>
  </si>
  <si>
    <t xml:space="preserve">한미약품</t>
  </si>
  <si>
    <t xml:space="preserve">196170</t>
  </si>
  <si>
    <t xml:space="preserve">알테오젠</t>
  </si>
  <si>
    <r>
      <rPr>
        <sz val="11"/>
        <rFont val="Noto Sans CJK SC"/>
        <family val="2"/>
      </rPr>
      <t xml:space="preserve">감천 격자 </t>
    </r>
    <r>
      <rPr>
        <sz val="11"/>
        <rFont val="Arial"/>
        <family val="0"/>
        <charset val="1"/>
      </rPr>
      <t xml:space="preserve">F0.309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</t>
    </r>
  </si>
  <si>
    <t xml:space="preserve">041140</t>
  </si>
  <si>
    <t xml:space="preserve">넥슨게임즈</t>
  </si>
  <si>
    <r>
      <rPr>
        <sz val="11"/>
        <rFont val="Noto Sans CJK SC"/>
        <family val="2"/>
      </rPr>
      <t xml:space="preserve">감천 격자 </t>
    </r>
    <r>
      <rPr>
        <sz val="11"/>
        <rFont val="Arial"/>
        <family val="0"/>
        <charset val="1"/>
      </rPr>
      <t xml:space="preserve">F0.5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</t>
    </r>
  </si>
  <si>
    <t xml:space="preserve">008770</t>
  </si>
  <si>
    <t xml:space="preserve">호텔신라</t>
  </si>
  <si>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일 박스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폭 </t>
    </r>
    <r>
      <rPr>
        <sz val="11"/>
        <rFont val="Arial"/>
        <family val="0"/>
        <charset val="1"/>
      </rPr>
      <t xml:space="preserve">20% </t>
    </r>
    <r>
      <rPr>
        <sz val="11"/>
        <rFont val="Noto Sans CJK SC"/>
        <family val="2"/>
      </rPr>
      <t xml:space="preserve">이내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상단 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거래량 </t>
    </r>
    <r>
      <rPr>
        <sz val="11"/>
        <rFont val="Arial"/>
        <family val="0"/>
        <charset val="1"/>
      </rPr>
      <t xml:space="preserve">1.5</t>
    </r>
    <r>
      <rPr>
        <sz val="11"/>
        <rFont val="Noto Sans CJK SC"/>
        <family val="2"/>
      </rPr>
      <t xml:space="preserve">배</t>
    </r>
  </si>
  <si>
    <t xml:space="preserve">041190</t>
  </si>
  <si>
    <t xml:space="preserve">우리기술투자</t>
  </si>
  <si>
    <t xml:space="preserve">007390</t>
  </si>
  <si>
    <t xml:space="preserve">네이처셀</t>
  </si>
  <si>
    <t xml:space="preserve">085660</t>
  </si>
  <si>
    <t xml:space="preserve">차바이오텍</t>
  </si>
  <si>
    <t xml:space="preserve">068760</t>
  </si>
  <si>
    <t xml:space="preserve">셀트리온제약</t>
  </si>
  <si>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일선</t>
    </r>
    <r>
      <rPr>
        <sz val="11"/>
        <rFont val="Arial"/>
        <family val="0"/>
        <charset val="1"/>
      </rPr>
      <t xml:space="preserve">/21</t>
    </r>
    <r>
      <rPr>
        <sz val="11"/>
        <rFont val="Noto Sans CJK SC"/>
        <family val="2"/>
      </rPr>
      <t xml:space="preserve">일선 골든크로스 </t>
    </r>
    <r>
      <rPr>
        <sz val="11"/>
        <rFont val="Arial"/>
        <family val="0"/>
        <charset val="1"/>
      </rPr>
      <t xml:space="preserve">+ 5</t>
    </r>
    <r>
      <rPr>
        <sz val="11"/>
        <rFont val="Noto Sans CJK SC"/>
        <family val="2"/>
      </rPr>
      <t xml:space="preserve">일 수익 양수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</t>
    </r>
  </si>
  <si>
    <t xml:space="preserve">009420</t>
  </si>
  <si>
    <t xml:space="preserve">한올바이오파마</t>
  </si>
  <si>
    <t xml:space="preserve">068270</t>
  </si>
  <si>
    <t xml:space="preserve">셀트리온</t>
  </si>
  <si>
    <t xml:space="preserve">003670</t>
  </si>
  <si>
    <t xml:space="preserve">포스코퓨처엠</t>
  </si>
  <si>
    <t xml:space="preserve">222080</t>
  </si>
  <si>
    <t xml:space="preserve">씨아이에스</t>
  </si>
  <si>
    <r>
      <rPr>
        <sz val="11"/>
        <rFont val="Noto Sans CJK SC"/>
        <family val="2"/>
      </rPr>
      <t xml:space="preserve">감천 격자 </t>
    </r>
    <r>
      <rPr>
        <sz val="11"/>
        <rFont val="Arial"/>
        <family val="0"/>
        <charset val="1"/>
      </rPr>
      <t xml:space="preserve">F0.382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</t>
    </r>
  </si>
  <si>
    <t xml:space="preserve">086520</t>
  </si>
  <si>
    <t xml:space="preserve">에코프로</t>
  </si>
  <si>
    <r>
      <rPr>
        <sz val="11"/>
        <rFont val="Arial"/>
        <family val="0"/>
        <charset val="1"/>
      </rPr>
      <t xml:space="preserve">62</t>
    </r>
    <r>
      <rPr>
        <sz val="11"/>
        <rFont val="Noto Sans CJK SC"/>
        <family val="2"/>
      </rPr>
      <t xml:space="preserve">일선 상향돌파 </t>
    </r>
    <r>
      <rPr>
        <sz val="11"/>
        <rFont val="Arial"/>
        <family val="0"/>
        <charset val="1"/>
      </rPr>
      <t xml:space="preserve">+ RSI 40~60 + 62</t>
    </r>
    <r>
      <rPr>
        <sz val="11"/>
        <rFont val="Noto Sans CJK SC"/>
        <family val="2"/>
      </rPr>
      <t xml:space="preserve">일선 상승</t>
    </r>
  </si>
  <si>
    <t xml:space="preserve">180640</t>
  </si>
  <si>
    <t xml:space="preserve">한진칼</t>
  </si>
  <si>
    <t xml:space="preserve">000250</t>
  </si>
  <si>
    <t xml:space="preserve">삼천당제약</t>
  </si>
  <si>
    <t xml:space="preserve">047050</t>
  </si>
  <si>
    <t xml:space="preserve">포스코인터내셔널</t>
  </si>
  <si>
    <r>
      <rPr>
        <sz val="11"/>
        <rFont val="Arial"/>
        <family val="0"/>
        <charset val="1"/>
      </rPr>
      <t xml:space="preserve">RSI 50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히스토 음수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</t>
    </r>
  </si>
  <si>
    <t xml:space="preserve">036830</t>
  </si>
  <si>
    <t xml:space="preserve">솔브레인홀딩스</t>
  </si>
  <si>
    <t xml:space="preserve">018290</t>
  </si>
  <si>
    <t xml:space="preserve">브이티</t>
  </si>
  <si>
    <t xml:space="preserve">005420</t>
  </si>
  <si>
    <t xml:space="preserve">코스모화학</t>
  </si>
  <si>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일 고가 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거래량 </t>
    </r>
    <r>
      <rPr>
        <sz val="11"/>
        <rFont val="Arial"/>
        <family val="0"/>
        <charset val="1"/>
      </rPr>
      <t xml:space="preserve">1.5</t>
    </r>
    <r>
      <rPr>
        <sz val="11"/>
        <rFont val="Noto Sans CJK SC"/>
        <family val="2"/>
      </rPr>
      <t xml:space="preserve">배</t>
    </r>
  </si>
  <si>
    <t xml:space="preserve">005940</t>
  </si>
  <si>
    <r>
      <rPr>
        <sz val="11"/>
        <rFont val="Arial"/>
        <family val="0"/>
        <charset val="1"/>
      </rPr>
      <t xml:space="preserve">NH</t>
    </r>
    <r>
      <rPr>
        <sz val="11"/>
        <rFont val="Noto Sans CJK SC"/>
        <family val="2"/>
      </rPr>
      <t xml:space="preserve">투자증권</t>
    </r>
  </si>
  <si>
    <t xml:space="preserve">096770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</si>
  <si>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이노베이션</t>
    </r>
  </si>
  <si>
    <t xml:space="preserve">032820</t>
  </si>
  <si>
    <t xml:space="preserve">우리기술</t>
  </si>
  <si>
    <t xml:space="preserve">073240</t>
  </si>
  <si>
    <t xml:space="preserve">금호타이어</t>
  </si>
  <si>
    <r>
      <rPr>
        <sz val="11"/>
        <rFont val="Noto Sans CJK SC"/>
        <family val="2"/>
      </rPr>
      <t xml:space="preserve">쿨라매기</t>
    </r>
    <r>
      <rPr>
        <sz val="11"/>
        <rFont val="Arial"/>
        <family val="0"/>
        <charset val="1"/>
      </rPr>
      <t xml:space="preserve">: 60</t>
    </r>
    <r>
      <rPr>
        <sz val="11"/>
        <rFont val="Noto Sans CJK SC"/>
        <family val="2"/>
      </rPr>
      <t xml:space="preserve">일 </t>
    </r>
    <r>
      <rPr>
        <sz val="11"/>
        <rFont val="Arial"/>
        <family val="0"/>
        <charset val="1"/>
      </rPr>
      <t xml:space="preserve">+20% </t>
    </r>
    <r>
      <rPr>
        <sz val="11"/>
        <rFont val="Noto Sans CJK SC"/>
        <family val="2"/>
      </rPr>
      <t xml:space="preserve">선행 </t>
    </r>
    <r>
      <rPr>
        <sz val="11"/>
        <rFont val="Arial"/>
        <family val="0"/>
        <charset val="1"/>
      </rPr>
      <t xml:space="preserve">+ 15</t>
    </r>
    <r>
      <rPr>
        <sz val="11"/>
        <rFont val="Noto Sans CJK SC"/>
        <family val="2"/>
      </rPr>
      <t xml:space="preserve">일 박스 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거래량 </t>
    </r>
    <r>
      <rPr>
        <sz val="11"/>
        <rFont val="Arial"/>
        <family val="0"/>
        <charset val="1"/>
      </rPr>
      <t xml:space="preserve">1.3</t>
    </r>
    <r>
      <rPr>
        <sz val="11"/>
        <rFont val="Noto Sans CJK SC"/>
        <family val="2"/>
      </rPr>
      <t xml:space="preserve">배</t>
    </r>
  </si>
  <si>
    <t xml:space="preserve">006400</t>
  </si>
  <si>
    <r>
      <rPr>
        <sz val="11"/>
        <rFont val="Noto Sans CJK SC"/>
        <family val="2"/>
      </rPr>
      <t xml:space="preserve">삼성</t>
    </r>
    <r>
      <rPr>
        <sz val="11"/>
        <rFont val="Arial"/>
        <family val="0"/>
        <charset val="1"/>
      </rPr>
      <t xml:space="preserve">SDI</t>
    </r>
  </si>
  <si>
    <t xml:space="preserve">042660</t>
  </si>
  <si>
    <t xml:space="preserve">한화오션</t>
  </si>
  <si>
    <t xml:space="preserve">010130</t>
  </si>
  <si>
    <t xml:space="preserve">고려아연</t>
  </si>
  <si>
    <t xml:space="preserve">007660</t>
  </si>
  <si>
    <t xml:space="preserve">이수페타시스</t>
  </si>
  <si>
    <t xml:space="preserve">082740</t>
  </si>
  <si>
    <t xml:space="preserve">한화엔진</t>
  </si>
  <si>
    <t xml:space="preserve">081660</t>
  </si>
  <si>
    <t xml:space="preserve">미스토홀딩스</t>
  </si>
  <si>
    <t xml:space="preserve">122870</t>
  </si>
  <si>
    <t xml:space="preserve">와이지엔터테인먼트</t>
  </si>
  <si>
    <t xml:space="preserve">009540</t>
  </si>
  <si>
    <r>
      <rPr>
        <sz val="11"/>
        <rFont val="Arial"/>
        <family val="0"/>
        <charset val="1"/>
      </rPr>
      <t xml:space="preserve">HD</t>
    </r>
    <r>
      <rPr>
        <sz val="11"/>
        <rFont val="Noto Sans CJK SC"/>
        <family val="2"/>
      </rPr>
      <t xml:space="preserve">한국조선해양</t>
    </r>
  </si>
  <si>
    <t xml:space="preserve">017800</t>
  </si>
  <si>
    <t xml:space="preserve">현대엘리베이터</t>
  </si>
  <si>
    <t xml:space="preserve">059090</t>
  </si>
  <si>
    <t xml:space="preserve">미코</t>
  </si>
  <si>
    <t xml:space="preserve">025980</t>
  </si>
  <si>
    <t xml:space="preserve">아난티</t>
  </si>
  <si>
    <t xml:space="preserve">069620</t>
  </si>
  <si>
    <t xml:space="preserve">대웅제약</t>
  </si>
  <si>
    <t xml:space="preserve">010140</t>
  </si>
  <si>
    <t xml:space="preserve">삼성중공업</t>
  </si>
  <si>
    <t xml:space="preserve">000100</t>
  </si>
  <si>
    <t xml:space="preserve">유한양행</t>
  </si>
  <si>
    <t xml:space="preserve">052690</t>
  </si>
  <si>
    <t xml:space="preserve">한전기술</t>
  </si>
  <si>
    <t xml:space="preserve">039030</t>
  </si>
  <si>
    <t xml:space="preserve">이오테크닉스</t>
  </si>
  <si>
    <t xml:space="preserve">039200</t>
  </si>
  <si>
    <t xml:space="preserve">오스코텍</t>
  </si>
  <si>
    <r>
      <rPr>
        <sz val="11"/>
        <rFont val="Arial"/>
        <family val="0"/>
        <charset val="1"/>
      </rPr>
      <t xml:space="preserve">RSI 30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</t>
    </r>
  </si>
  <si>
    <t xml:space="preserve">056190</t>
  </si>
  <si>
    <t xml:space="preserve">에스에프에이</t>
  </si>
  <si>
    <t xml:space="preserve">121600</t>
  </si>
  <si>
    <t xml:space="preserve">나노신소재</t>
  </si>
  <si>
    <t xml:space="preserve">014820</t>
  </si>
  <si>
    <t xml:space="preserve">동원시스템즈</t>
  </si>
  <si>
    <r>
      <rPr>
        <sz val="11"/>
        <rFont val="Noto Sans CJK SC"/>
        <family val="2"/>
      </rPr>
      <t xml:space="preserve">쿨라매기</t>
    </r>
    <r>
      <rPr>
        <sz val="11"/>
        <rFont val="Arial"/>
        <family val="0"/>
        <charset val="1"/>
      </rPr>
      <t xml:space="preserve">: 60</t>
    </r>
    <r>
      <rPr>
        <sz val="11"/>
        <rFont val="Noto Sans CJK SC"/>
        <family val="2"/>
      </rPr>
      <t xml:space="preserve">일 </t>
    </r>
    <r>
      <rPr>
        <sz val="11"/>
        <rFont val="Arial"/>
        <family val="0"/>
        <charset val="1"/>
      </rPr>
      <t xml:space="preserve">+30% </t>
    </r>
    <r>
      <rPr>
        <sz val="11"/>
        <rFont val="Noto Sans CJK SC"/>
        <family val="2"/>
      </rPr>
      <t xml:space="preserve">선행 </t>
    </r>
    <r>
      <rPr>
        <sz val="11"/>
        <rFont val="Arial"/>
        <family val="0"/>
        <charset val="1"/>
      </rPr>
      <t xml:space="preserve">+ 15</t>
    </r>
    <r>
      <rPr>
        <sz val="11"/>
        <rFont val="Noto Sans CJK SC"/>
        <family val="2"/>
      </rPr>
      <t xml:space="preserve">일 박스 </t>
    </r>
    <r>
      <rPr>
        <sz val="11"/>
        <rFont val="Arial"/>
        <family val="0"/>
        <charset val="1"/>
      </rPr>
      <t xml:space="preserve">15% </t>
    </r>
    <r>
      <rPr>
        <sz val="11"/>
        <rFont val="Noto Sans CJK SC"/>
        <family val="2"/>
      </rPr>
      <t xml:space="preserve">이내 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거래량 </t>
    </r>
    <r>
      <rPr>
        <sz val="11"/>
        <rFont val="Arial"/>
        <family val="0"/>
        <charset val="1"/>
      </rPr>
      <t xml:space="preserve">1.5</t>
    </r>
    <r>
      <rPr>
        <sz val="11"/>
        <rFont val="Noto Sans CJK SC"/>
        <family val="2"/>
      </rPr>
      <t xml:space="preserve">배</t>
    </r>
  </si>
  <si>
    <t xml:space="preserve">112040</t>
  </si>
  <si>
    <t xml:space="preserve">위메이드</t>
  </si>
  <si>
    <t xml:space="preserve">140410</t>
  </si>
  <si>
    <t xml:space="preserve">메지온</t>
  </si>
  <si>
    <t xml:space="preserve">009240</t>
  </si>
  <si>
    <t xml:space="preserve">한샘</t>
  </si>
  <si>
    <t xml:space="preserve">051600</t>
  </si>
  <si>
    <r>
      <rPr>
        <sz val="11"/>
        <rFont val="Noto Sans CJK SC"/>
        <family val="2"/>
      </rPr>
      <t xml:space="preserve">한전</t>
    </r>
    <r>
      <rPr>
        <sz val="11"/>
        <rFont val="Arial"/>
        <family val="0"/>
        <charset val="1"/>
      </rPr>
      <t xml:space="preserve">KPS</t>
    </r>
  </si>
  <si>
    <t xml:space="preserve">036570</t>
  </si>
  <si>
    <t xml:space="preserve">NC</t>
  </si>
  <si>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일 고가 돌파</t>
    </r>
  </si>
  <si>
    <t xml:space="preserve">048410</t>
  </si>
  <si>
    <t xml:space="preserve">현대바이오</t>
  </si>
  <si>
    <t xml:space="preserve">215200</t>
  </si>
  <si>
    <t xml:space="preserve">메가스터디교육</t>
  </si>
  <si>
    <t xml:space="preserve">179900</t>
  </si>
  <si>
    <t xml:space="preserve">유티아이</t>
  </si>
  <si>
    <t xml:space="preserve">131970</t>
  </si>
  <si>
    <t xml:space="preserve">두산테스나</t>
  </si>
  <si>
    <t xml:space="preserve">214150</t>
  </si>
  <si>
    <t xml:space="preserve">클래시스</t>
  </si>
  <si>
    <t xml:space="preserve">032500</t>
  </si>
  <si>
    <t xml:space="preserve">케이엠더블유</t>
  </si>
  <si>
    <t xml:space="preserve">101490</t>
  </si>
  <si>
    <t xml:space="preserve">에스앤에스텍</t>
  </si>
  <si>
    <t xml:space="preserve">009150</t>
  </si>
  <si>
    <t xml:space="preserve">삼성전기</t>
  </si>
  <si>
    <t xml:space="preserve">060250</t>
  </si>
  <si>
    <t xml:space="preserve">NHN KCP</t>
  </si>
  <si>
    <t xml:space="preserve">000080</t>
  </si>
  <si>
    <t xml:space="preserve">하이트진로</t>
  </si>
  <si>
    <t xml:space="preserve">253450</t>
  </si>
  <si>
    <t xml:space="preserve">스튜디오드래곤</t>
  </si>
  <si>
    <t xml:space="preserve">137400</t>
  </si>
  <si>
    <t xml:space="preserve">피엔티</t>
  </si>
  <si>
    <t xml:space="preserve">053800</t>
  </si>
  <si>
    <t xml:space="preserve">안랩</t>
  </si>
  <si>
    <t xml:space="preserve">213420</t>
  </si>
  <si>
    <t xml:space="preserve">덕산네오룩스</t>
  </si>
  <si>
    <t xml:space="preserve">067160</t>
  </si>
  <si>
    <t xml:space="preserve">SOOP</t>
  </si>
  <si>
    <t xml:space="preserve">000660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</si>
  <si>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하이닉스</t>
    </r>
  </si>
  <si>
    <t xml:space="preserve">034230</t>
  </si>
  <si>
    <t xml:space="preserve">파라다이스</t>
  </si>
  <si>
    <t xml:space="preserve">014680</t>
  </si>
  <si>
    <t xml:space="preserve">한솔케미칼</t>
  </si>
  <si>
    <t xml:space="preserve">095660</t>
  </si>
  <si>
    <t xml:space="preserve">네오위즈</t>
  </si>
  <si>
    <t xml:space="preserve">082270</t>
  </si>
  <si>
    <t xml:space="preserve">젬백스</t>
  </si>
  <si>
    <t xml:space="preserve">028300</t>
  </si>
  <si>
    <t xml:space="preserve">HLB</t>
  </si>
  <si>
    <t xml:space="preserve">161580</t>
  </si>
  <si>
    <t xml:space="preserve">필옵틱스</t>
  </si>
  <si>
    <t xml:space="preserve">237690</t>
  </si>
  <si>
    <t xml:space="preserve">에스티팜</t>
  </si>
  <si>
    <t xml:space="preserve">095610</t>
  </si>
  <si>
    <t xml:space="preserve">테스</t>
  </si>
  <si>
    <t xml:space="preserve">240810</t>
  </si>
  <si>
    <r>
      <rPr>
        <sz val="11"/>
        <rFont val="Noto Sans CJK SC"/>
        <family val="2"/>
      </rPr>
      <t xml:space="preserve">원익</t>
    </r>
    <r>
      <rPr>
        <sz val="11"/>
        <rFont val="Arial"/>
        <family val="0"/>
        <charset val="1"/>
      </rPr>
      <t xml:space="preserve">IPS</t>
    </r>
  </si>
  <si>
    <t xml:space="preserve">189300</t>
  </si>
  <si>
    <t xml:space="preserve">인텔리안테크</t>
  </si>
  <si>
    <t xml:space="preserve">035420</t>
  </si>
  <si>
    <t xml:space="preserve">NAVER</t>
  </si>
  <si>
    <t xml:space="preserve">011790</t>
  </si>
  <si>
    <t xml:space="preserve">SKC</t>
  </si>
  <si>
    <t xml:space="preserve">011070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</si>
  <si>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이노텍</t>
    </r>
  </si>
  <si>
    <t xml:space="preserve">089030</t>
  </si>
  <si>
    <t xml:space="preserve">테크윙</t>
  </si>
  <si>
    <t xml:space="preserve">084370</t>
  </si>
  <si>
    <t xml:space="preserve">유진테크</t>
  </si>
  <si>
    <t xml:space="preserve">285130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</si>
  <si>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케미칼</t>
    </r>
  </si>
  <si>
    <t xml:space="preserve">067310</t>
  </si>
  <si>
    <t xml:space="preserve">하나마이크론</t>
  </si>
  <si>
    <t xml:space="preserve">036540</t>
  </si>
  <si>
    <r>
      <rPr>
        <sz val="11"/>
        <rFont val="Arial"/>
        <family val="0"/>
        <charset val="1"/>
      </rPr>
      <t xml:space="preserve">SFA</t>
    </r>
    <r>
      <rPr>
        <sz val="11"/>
        <rFont val="Noto Sans CJK SC"/>
        <family val="2"/>
      </rPr>
      <t xml:space="preserve">반도체</t>
    </r>
  </si>
  <si>
    <t xml:space="preserve">141080</t>
  </si>
  <si>
    <t xml:space="preserve">리가켐바이오</t>
  </si>
  <si>
    <t xml:space="preserve">003090</t>
  </si>
  <si>
    <t xml:space="preserve">대웅</t>
  </si>
  <si>
    <t xml:space="preserve">036810</t>
  </si>
  <si>
    <t xml:space="preserve">에프에스티</t>
  </si>
  <si>
    <t xml:space="preserve">025900</t>
  </si>
  <si>
    <t xml:space="preserve">동화기업</t>
  </si>
  <si>
    <t xml:space="preserve">101360</t>
  </si>
  <si>
    <t xml:space="preserve">에코앤드림</t>
  </si>
  <si>
    <t xml:space="preserve">112610</t>
  </si>
  <si>
    <t xml:space="preserve">씨에스윈드</t>
  </si>
  <si>
    <t xml:space="preserve">078600</t>
  </si>
  <si>
    <t xml:space="preserve">대주전자재료</t>
  </si>
  <si>
    <t xml:space="preserve">000240</t>
  </si>
  <si>
    <t xml:space="preserve">한국앤컴퍼니</t>
  </si>
  <si>
    <t xml:space="preserve">069080</t>
  </si>
  <si>
    <t xml:space="preserve">웹젠</t>
  </si>
  <si>
    <t xml:space="preserve">065350</t>
  </si>
  <si>
    <t xml:space="preserve">신성델타테크</t>
  </si>
  <si>
    <t xml:space="preserve">290650</t>
  </si>
  <si>
    <t xml:space="preserve">엘앤씨바이오</t>
  </si>
  <si>
    <t xml:space="preserve">096530</t>
  </si>
  <si>
    <t xml:space="preserve">씨젠</t>
  </si>
  <si>
    <t xml:space="preserve">298040</t>
  </si>
  <si>
    <t xml:space="preserve">효성중공업</t>
  </si>
  <si>
    <t xml:space="preserve">051910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</si>
  <si>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화학</t>
    </r>
  </si>
  <si>
    <t xml:space="preserve">009830</t>
  </si>
  <si>
    <t xml:space="preserve">한화솔루션</t>
  </si>
  <si>
    <t xml:space="preserve">034020</t>
  </si>
  <si>
    <t xml:space="preserve">두산에너빌리티</t>
  </si>
  <si>
    <t xml:space="preserve">015750</t>
  </si>
  <si>
    <t xml:space="preserve">성우하이텍</t>
  </si>
  <si>
    <t xml:space="preserve">026960</t>
  </si>
  <si>
    <t xml:space="preserve">동서</t>
  </si>
  <si>
    <t xml:space="preserve">001440</t>
  </si>
  <si>
    <t xml:space="preserve">대한전선</t>
  </si>
  <si>
    <t xml:space="preserve">011200</t>
  </si>
  <si>
    <t xml:space="preserve">HMM</t>
  </si>
  <si>
    <t xml:space="preserve">204320</t>
  </si>
  <si>
    <r>
      <rPr>
        <sz val="11"/>
        <rFont val="Arial"/>
        <family val="0"/>
        <charset val="1"/>
      </rPr>
      <t xml:space="preserve">HL</t>
    </r>
    <r>
      <rPr>
        <sz val="11"/>
        <rFont val="Noto Sans CJK SC"/>
        <family val="2"/>
      </rPr>
      <t xml:space="preserve">만도</t>
    </r>
  </si>
  <si>
    <t xml:space="preserve">004490</t>
  </si>
  <si>
    <t xml:space="preserve">세방전지</t>
  </si>
  <si>
    <t xml:space="preserve">307950</t>
  </si>
  <si>
    <t xml:space="preserve">현대오토에버</t>
  </si>
  <si>
    <t xml:space="preserve">022100</t>
  </si>
  <si>
    <r>
      <rPr>
        <sz val="11"/>
        <rFont val="Noto Sans CJK SC"/>
        <family val="2"/>
      </rPr>
      <t xml:space="preserve">포스코</t>
    </r>
    <r>
      <rPr>
        <sz val="11"/>
        <rFont val="Arial"/>
        <family val="0"/>
        <charset val="1"/>
      </rPr>
      <t xml:space="preserve">DX</t>
    </r>
  </si>
  <si>
    <t xml:space="preserve">010060</t>
  </si>
  <si>
    <r>
      <rPr>
        <sz val="11"/>
        <rFont val="Arial"/>
        <family val="0"/>
        <charset val="1"/>
      </rPr>
      <t xml:space="preserve">OCI</t>
    </r>
    <r>
      <rPr>
        <sz val="11"/>
        <rFont val="Noto Sans CJK SC"/>
        <family val="2"/>
      </rPr>
      <t xml:space="preserve">홀딩스</t>
    </r>
  </si>
  <si>
    <t xml:space="preserve">028670</t>
  </si>
  <si>
    <t xml:space="preserve">팬오션</t>
  </si>
  <si>
    <t xml:space="preserve">088350</t>
  </si>
  <si>
    <t xml:space="preserve">한화생명</t>
  </si>
  <si>
    <t xml:space="preserve">000270</t>
  </si>
  <si>
    <t xml:space="preserve">기아</t>
  </si>
  <si>
    <t xml:space="preserve">047040</t>
  </si>
  <si>
    <t xml:space="preserve">대우건설</t>
  </si>
  <si>
    <t xml:space="preserve">011780</t>
  </si>
  <si>
    <t xml:space="preserve">금호석유화학</t>
  </si>
  <si>
    <t xml:space="preserve">298050</t>
  </si>
  <si>
    <r>
      <rPr>
        <sz val="11"/>
        <rFont val="Arial"/>
        <family val="0"/>
        <charset val="1"/>
      </rPr>
      <t xml:space="preserve">HS</t>
    </r>
    <r>
      <rPr>
        <sz val="11"/>
        <rFont val="Noto Sans CJK SC"/>
        <family val="2"/>
      </rPr>
      <t xml:space="preserve">효성첨단소재</t>
    </r>
  </si>
  <si>
    <t xml:space="preserve">194480</t>
  </si>
  <si>
    <t xml:space="preserve">데브시스터즈</t>
  </si>
  <si>
    <t xml:space="preserve">086790</t>
  </si>
  <si>
    <t xml:space="preserve">하나금융지주</t>
  </si>
  <si>
    <t xml:space="preserve">009520</t>
  </si>
  <si>
    <t xml:space="preserve">포스코엠텍</t>
  </si>
  <si>
    <t xml:space="preserve">036930</t>
  </si>
  <si>
    <t xml:space="preserve">주성엔지니어링</t>
  </si>
  <si>
    <t xml:space="preserve">071970</t>
  </si>
  <si>
    <r>
      <rPr>
        <sz val="11"/>
        <rFont val="Arial"/>
        <family val="0"/>
        <charset val="1"/>
      </rPr>
      <t xml:space="preserve">HD</t>
    </r>
    <r>
      <rPr>
        <sz val="11"/>
        <rFont val="Noto Sans CJK SC"/>
        <family val="2"/>
      </rPr>
      <t xml:space="preserve">현대마린엔진</t>
    </r>
  </si>
  <si>
    <t xml:space="preserve">120110</t>
  </si>
  <si>
    <t xml:space="preserve">코오롱인더</t>
  </si>
  <si>
    <t xml:space="preserve">052400</t>
  </si>
  <si>
    <t xml:space="preserve">코나아이</t>
  </si>
  <si>
    <t xml:space="preserve">083650</t>
  </si>
  <si>
    <t xml:space="preserve">비에이치아이</t>
  </si>
  <si>
    <t xml:space="preserve">041510</t>
  </si>
  <si>
    <t xml:space="preserve">에스엠</t>
  </si>
  <si>
    <t xml:space="preserve">001430</t>
  </si>
  <si>
    <t xml:space="preserve">세아베스틸지주</t>
  </si>
  <si>
    <t xml:space="preserve">002380</t>
  </si>
  <si>
    <t xml:space="preserve">KCC</t>
  </si>
  <si>
    <t xml:space="preserve">298020</t>
  </si>
  <si>
    <t xml:space="preserve">효성티앤씨</t>
  </si>
  <si>
    <t xml:space="preserve">042700</t>
  </si>
  <si>
    <t xml:space="preserve">한미반도체</t>
  </si>
  <si>
    <t xml:space="preserve">166090</t>
  </si>
  <si>
    <t xml:space="preserve">하나머티리얼즈</t>
  </si>
  <si>
    <t xml:space="preserve">028050</t>
  </si>
  <si>
    <r>
      <rPr>
        <sz val="11"/>
        <rFont val="Noto Sans CJK SC"/>
        <family val="2"/>
      </rPr>
      <t xml:space="preserve">삼성</t>
    </r>
    <r>
      <rPr>
        <sz val="11"/>
        <rFont val="Arial"/>
        <family val="0"/>
        <charset val="1"/>
      </rPr>
      <t xml:space="preserve">E&amp;amp;A</t>
    </r>
  </si>
  <si>
    <t xml:space="preserve">215000</t>
  </si>
  <si>
    <t xml:space="preserve">골프존</t>
  </si>
  <si>
    <t xml:space="preserve">171090</t>
  </si>
  <si>
    <t xml:space="preserve">선익시스템</t>
  </si>
  <si>
    <t xml:space="preserve">035720</t>
  </si>
  <si>
    <t xml:space="preserve">카카오</t>
  </si>
  <si>
    <t xml:space="preserve">300720</t>
  </si>
  <si>
    <t xml:space="preserve">한일시멘트</t>
  </si>
  <si>
    <t xml:space="preserve">036460</t>
  </si>
  <si>
    <t xml:space="preserve">한국가스공사</t>
  </si>
  <si>
    <t xml:space="preserve">028260</t>
  </si>
  <si>
    <t xml:space="preserve">삼성물산</t>
  </si>
  <si>
    <t xml:space="preserve">058470</t>
  </si>
  <si>
    <t xml:space="preserve">리노공업</t>
  </si>
  <si>
    <t xml:space="preserve">111770</t>
  </si>
  <si>
    <t xml:space="preserve">영원무역</t>
  </si>
  <si>
    <t xml:space="preserve">006650</t>
  </si>
  <si>
    <t xml:space="preserve">대한유화</t>
  </si>
  <si>
    <t xml:space="preserve">033100</t>
  </si>
  <si>
    <t xml:space="preserve">제룡전기</t>
  </si>
  <si>
    <t xml:space="preserve">012450</t>
  </si>
  <si>
    <t xml:space="preserve">한화에어로스페이스</t>
  </si>
  <si>
    <t xml:space="preserve">103140</t>
  </si>
  <si>
    <t xml:space="preserve">풍산</t>
  </si>
  <si>
    <t xml:space="preserve">064350</t>
  </si>
  <si>
    <t xml:space="preserve">현대로템</t>
  </si>
  <si>
    <t xml:space="preserve">138040</t>
  </si>
  <si>
    <t xml:space="preserve">메리츠금융지주</t>
  </si>
  <si>
    <r>
      <rPr>
        <sz val="11"/>
        <rFont val="Arial"/>
        <family val="0"/>
        <charset val="1"/>
      </rPr>
      <t xml:space="preserve">52</t>
    </r>
    <r>
      <rPr>
        <sz val="11"/>
        <rFont val="Noto Sans CJK SC"/>
        <family val="2"/>
      </rPr>
      <t xml:space="preserve">주 신고가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거래량 </t>
    </r>
    <r>
      <rPr>
        <sz val="11"/>
        <rFont val="Arial"/>
        <family val="0"/>
        <charset val="1"/>
      </rPr>
      <t xml:space="preserve">1.5</t>
    </r>
    <r>
      <rPr>
        <sz val="11"/>
        <rFont val="Noto Sans CJK SC"/>
        <family val="2"/>
      </rPr>
      <t xml:space="preserve">배</t>
    </r>
  </si>
  <si>
    <t xml:space="preserve">086900</t>
  </si>
  <si>
    <t xml:space="preserve">메디톡스</t>
  </si>
  <si>
    <t xml:space="preserve">114090</t>
  </si>
  <si>
    <t xml:space="preserve">GKL</t>
  </si>
  <si>
    <t xml:space="preserve">108490</t>
  </si>
  <si>
    <t xml:space="preserve">로보티즈</t>
  </si>
  <si>
    <t xml:space="preserve">336570</t>
  </si>
  <si>
    <t xml:space="preserve">원텍</t>
  </si>
  <si>
    <t xml:space="preserve">175330</t>
  </si>
  <si>
    <r>
      <rPr>
        <sz val="11"/>
        <rFont val="Arial"/>
        <family val="0"/>
        <charset val="1"/>
      </rPr>
      <t xml:space="preserve">JB</t>
    </r>
    <r>
      <rPr>
        <sz val="11"/>
        <rFont val="Noto Sans CJK SC"/>
        <family val="2"/>
      </rPr>
      <t xml:space="preserve">금융지주</t>
    </r>
  </si>
  <si>
    <t xml:space="preserve">008730</t>
  </si>
  <si>
    <t xml:space="preserve">율촌화학</t>
  </si>
  <si>
    <t xml:space="preserve">304100</t>
  </si>
  <si>
    <t xml:space="preserve">솔트룩스</t>
  </si>
  <si>
    <t xml:space="preserve">032190</t>
  </si>
  <si>
    <t xml:space="preserve">다우데이타</t>
  </si>
  <si>
    <t xml:space="preserve">277810</t>
  </si>
  <si>
    <t xml:space="preserve">레인보우로보틱스</t>
  </si>
  <si>
    <t xml:space="preserve">060280</t>
  </si>
  <si>
    <t xml:space="preserve">큐렉소</t>
  </si>
  <si>
    <t xml:space="preserve">005490</t>
  </si>
  <si>
    <r>
      <rPr>
        <sz val="11"/>
        <rFont val="Arial"/>
        <family val="0"/>
        <charset val="1"/>
      </rPr>
      <t xml:space="preserve">POSCO</t>
    </r>
    <r>
      <rPr>
        <sz val="11"/>
        <rFont val="Noto Sans CJK SC"/>
        <family val="2"/>
      </rPr>
      <t xml:space="preserve">홀딩스</t>
    </r>
  </si>
  <si>
    <t xml:space="preserve">058970</t>
  </si>
  <si>
    <t xml:space="preserve">엠로</t>
  </si>
  <si>
    <t xml:space="preserve">035900</t>
  </si>
  <si>
    <t xml:space="preserve">JYP Ent.</t>
  </si>
  <si>
    <t xml:space="preserve">281740</t>
  </si>
  <si>
    <t xml:space="preserve">레이크머티리얼즈</t>
  </si>
  <si>
    <t xml:space="preserve">241710</t>
  </si>
  <si>
    <t xml:space="preserve">코스메카코리아</t>
  </si>
  <si>
    <t xml:space="preserve">031980</t>
  </si>
  <si>
    <t xml:space="preserve">피에스케이홀딩스</t>
  </si>
  <si>
    <t xml:space="preserve">328130</t>
  </si>
  <si>
    <t xml:space="preserve">루닛</t>
  </si>
  <si>
    <t xml:space="preserve">056080</t>
  </si>
  <si>
    <t xml:space="preserve">유진로봇</t>
  </si>
  <si>
    <t xml:space="preserve">080220</t>
  </si>
  <si>
    <t xml:space="preserve">제주반도체</t>
  </si>
  <si>
    <t xml:space="preserve">204270</t>
  </si>
  <si>
    <t xml:space="preserve">제이앤티씨</t>
  </si>
  <si>
    <t xml:space="preserve">018260</t>
  </si>
  <si>
    <t xml:space="preserve">삼성에스디에스</t>
  </si>
  <si>
    <t xml:space="preserve">087010</t>
  </si>
  <si>
    <t xml:space="preserve">펩트론</t>
  </si>
  <si>
    <t xml:space="preserve">079550</t>
  </si>
  <si>
    <r>
      <rPr>
        <sz val="11"/>
        <rFont val="Arial"/>
        <family val="0"/>
        <charset val="1"/>
      </rPr>
      <t xml:space="preserve">LIG</t>
    </r>
    <r>
      <rPr>
        <sz val="11"/>
        <rFont val="Noto Sans CJK SC"/>
        <family val="2"/>
      </rPr>
      <t xml:space="preserve">디펜스앤에어로스페이스</t>
    </r>
  </si>
  <si>
    <t xml:space="preserve">090430</t>
  </si>
  <si>
    <t xml:space="preserve">아모레퍼시픽</t>
  </si>
  <si>
    <t xml:space="preserve">003230</t>
  </si>
  <si>
    <t xml:space="preserve">삼양식품</t>
  </si>
  <si>
    <t xml:space="preserve">232140</t>
  </si>
  <si>
    <t xml:space="preserve">와이씨</t>
  </si>
  <si>
    <t xml:space="preserve">042000</t>
  </si>
  <si>
    <r>
      <rPr>
        <sz val="11"/>
        <rFont val="Noto Sans CJK SC"/>
        <family val="2"/>
      </rPr>
      <t xml:space="preserve">카페</t>
    </r>
    <r>
      <rPr>
        <sz val="11"/>
        <rFont val="Arial"/>
        <family val="0"/>
        <charset val="1"/>
      </rPr>
      <t xml:space="preserve">24</t>
    </r>
  </si>
  <si>
    <t xml:space="preserve">352480</t>
  </si>
  <si>
    <t xml:space="preserve">씨앤씨인터내셔널</t>
  </si>
  <si>
    <t xml:space="preserve">021240</t>
  </si>
  <si>
    <t xml:space="preserve">코웨이</t>
  </si>
  <si>
    <t xml:space="preserve">000120</t>
  </si>
  <si>
    <r>
      <rPr>
        <sz val="11"/>
        <rFont val="Arial"/>
        <family val="0"/>
        <charset val="1"/>
      </rPr>
      <t xml:space="preserve">CJ</t>
    </r>
    <r>
      <rPr>
        <sz val="11"/>
        <rFont val="Noto Sans CJK SC"/>
        <family val="2"/>
      </rPr>
      <t xml:space="preserve">대한통운</t>
    </r>
  </si>
  <si>
    <t xml:space="preserve">030520</t>
  </si>
  <si>
    <t xml:space="preserve">한글과컴퓨터</t>
  </si>
  <si>
    <t xml:space="preserve">403870</t>
  </si>
  <si>
    <t xml:space="preserve">HPSP</t>
  </si>
  <si>
    <t xml:space="preserve">253590</t>
  </si>
  <si>
    <t xml:space="preserve">네오셈</t>
  </si>
  <si>
    <t xml:space="preserve">399720</t>
  </si>
  <si>
    <t xml:space="preserve">가온칩스</t>
  </si>
  <si>
    <t xml:space="preserve">348370</t>
  </si>
  <si>
    <t xml:space="preserve">엔켐</t>
  </si>
  <si>
    <t xml:space="preserve">251970</t>
  </si>
  <si>
    <t xml:space="preserve">펌텍코리아</t>
  </si>
  <si>
    <t xml:space="preserve">267260</t>
  </si>
  <si>
    <r>
      <rPr>
        <sz val="11"/>
        <rFont val="Arial"/>
        <family val="0"/>
        <charset val="1"/>
      </rPr>
      <t xml:space="preserve">HD</t>
    </r>
    <r>
      <rPr>
        <sz val="11"/>
        <rFont val="Noto Sans CJK SC"/>
        <family val="2"/>
      </rPr>
      <t xml:space="preserve">현대일렉트릭</t>
    </r>
  </si>
  <si>
    <t xml:space="preserve">257720</t>
  </si>
  <si>
    <t xml:space="preserve">실리콘투</t>
  </si>
  <si>
    <t xml:space="preserve">145020</t>
  </si>
  <si>
    <t xml:space="preserve">휴젤</t>
  </si>
  <si>
    <t xml:space="preserve">007070</t>
  </si>
  <si>
    <r>
      <rPr>
        <sz val="11"/>
        <rFont val="Arial"/>
        <family val="0"/>
        <charset val="1"/>
      </rPr>
      <t xml:space="preserve">GS</t>
    </r>
    <r>
      <rPr>
        <sz val="11"/>
        <rFont val="Noto Sans CJK SC"/>
        <family val="2"/>
      </rPr>
      <t xml:space="preserve">리테일</t>
    </r>
  </si>
  <si>
    <t xml:space="preserve">259960</t>
  </si>
  <si>
    <t xml:space="preserve">크래프톤</t>
  </si>
  <si>
    <t xml:space="preserve">310210</t>
  </si>
  <si>
    <t xml:space="preserve">보로노이</t>
  </si>
  <si>
    <t xml:space="preserve">000150</t>
  </si>
  <si>
    <t xml:space="preserve">두산</t>
  </si>
  <si>
    <t xml:space="preserve">138930</t>
  </si>
  <si>
    <r>
      <rPr>
        <sz val="11"/>
        <rFont val="Arial"/>
        <family val="0"/>
        <charset val="1"/>
      </rPr>
      <t xml:space="preserve">BNK</t>
    </r>
    <r>
      <rPr>
        <sz val="11"/>
        <rFont val="Noto Sans CJK SC"/>
        <family val="2"/>
      </rPr>
      <t xml:space="preserve">금융지주</t>
    </r>
  </si>
  <si>
    <t xml:space="preserve">457190</t>
  </si>
  <si>
    <t xml:space="preserve">이수스페셜티케미컬</t>
  </si>
  <si>
    <t xml:space="preserve">226950</t>
  </si>
  <si>
    <t xml:space="preserve">올릭스</t>
  </si>
  <si>
    <t xml:space="preserve">086280</t>
  </si>
  <si>
    <t xml:space="preserve">현대글로비스</t>
  </si>
  <si>
    <t xml:space="preserve">014620</t>
  </si>
  <si>
    <t xml:space="preserve">성광벤드</t>
  </si>
  <si>
    <t xml:space="preserve">050890</t>
  </si>
  <si>
    <t xml:space="preserve">쏠리드</t>
  </si>
  <si>
    <t xml:space="preserve">192820</t>
  </si>
  <si>
    <t xml:space="preserve">코스맥스</t>
  </si>
  <si>
    <t xml:space="preserve">352820</t>
  </si>
  <si>
    <t xml:space="preserve">하이브</t>
  </si>
  <si>
    <t xml:space="preserve">375500</t>
  </si>
  <si>
    <r>
      <rPr>
        <sz val="11"/>
        <rFont val="Arial"/>
        <family val="0"/>
        <charset val="1"/>
      </rPr>
      <t xml:space="preserve">DL</t>
    </r>
    <r>
      <rPr>
        <sz val="11"/>
        <rFont val="Noto Sans CJK SC"/>
        <family val="2"/>
      </rPr>
      <t xml:space="preserve">이앤씨</t>
    </r>
  </si>
  <si>
    <t xml:space="preserve">376300</t>
  </si>
  <si>
    <t xml:space="preserve">디어유</t>
  </si>
  <si>
    <t xml:space="preserve">003030</t>
  </si>
  <si>
    <t xml:space="preserve">세아제강지주</t>
  </si>
  <si>
    <t xml:space="preserve">139480</t>
  </si>
  <si>
    <t xml:space="preserve">이마트</t>
  </si>
  <si>
    <t xml:space="preserve">298380</t>
  </si>
  <si>
    <t xml:space="preserve">에이비엘바이오</t>
  </si>
  <si>
    <t xml:space="preserve">358570</t>
  </si>
  <si>
    <t xml:space="preserve">지아이이노베이션</t>
  </si>
  <si>
    <t xml:space="preserve">000880</t>
  </si>
  <si>
    <t xml:space="preserve">한화</t>
  </si>
  <si>
    <t xml:space="preserve">272210</t>
  </si>
  <si>
    <t xml:space="preserve">한화시스템</t>
  </si>
  <si>
    <t xml:space="preserve">278470</t>
  </si>
  <si>
    <t xml:space="preserve">에이피알</t>
  </si>
  <si>
    <t xml:space="preserve">377300</t>
  </si>
  <si>
    <t xml:space="preserve">카카오페이</t>
  </si>
  <si>
    <t xml:space="preserve">214450</t>
  </si>
  <si>
    <t xml:space="preserve">파마리서치</t>
  </si>
  <si>
    <t xml:space="preserve">039490</t>
  </si>
  <si>
    <t xml:space="preserve">키움증권</t>
  </si>
  <si>
    <t xml:space="preserve">017960</t>
  </si>
  <si>
    <t xml:space="preserve">한국카본</t>
  </si>
  <si>
    <t xml:space="preserve">036710</t>
  </si>
  <si>
    <t xml:space="preserve">심텍</t>
  </si>
  <si>
    <t xml:space="preserve">214370</t>
  </si>
  <si>
    <t xml:space="preserve">케어젠</t>
  </si>
  <si>
    <t xml:space="preserve">071320</t>
  </si>
  <si>
    <t xml:space="preserve">지역난방공사</t>
  </si>
  <si>
    <t xml:space="preserve">347850</t>
  </si>
  <si>
    <t xml:space="preserve">디앤디파마텍</t>
  </si>
  <si>
    <t xml:space="preserve">005380</t>
  </si>
  <si>
    <t xml:space="preserve">현대차</t>
  </si>
  <si>
    <t xml:space="preserve">263750</t>
  </si>
  <si>
    <t xml:space="preserve">펄어비스</t>
  </si>
  <si>
    <t xml:space="preserve">058610</t>
  </si>
  <si>
    <t xml:space="preserve">에스피지</t>
  </si>
  <si>
    <t xml:space="preserve">319400</t>
  </si>
  <si>
    <t xml:space="preserve">피에스케이</t>
  </si>
  <si>
    <t xml:space="preserve">402340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</si>
  <si>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스퀘어</t>
    </r>
  </si>
  <si>
    <t xml:space="preserve">003380</t>
  </si>
  <si>
    <t xml:space="preserve">하림지주</t>
  </si>
  <si>
    <t xml:space="preserve">005930</t>
  </si>
  <si>
    <t xml:space="preserve">삼성전자</t>
  </si>
  <si>
    <t xml:space="preserve">046890</t>
  </si>
  <si>
    <t xml:space="preserve">서울반도체</t>
  </si>
  <si>
    <t xml:space="preserve">095340</t>
  </si>
  <si>
    <t xml:space="preserve">ISC</t>
  </si>
  <si>
    <t xml:space="preserve">005850</t>
  </si>
  <si>
    <t xml:space="preserve">에스엘</t>
  </si>
  <si>
    <t xml:space="preserve">131290</t>
  </si>
  <si>
    <t xml:space="preserve">티에스이</t>
  </si>
  <si>
    <t xml:space="preserve">218410</t>
  </si>
  <si>
    <t xml:space="preserve">RFHIC</t>
  </si>
  <si>
    <t xml:space="preserve">454910</t>
  </si>
  <si>
    <t xml:space="preserve">두산로보틱스</t>
  </si>
  <si>
    <t xml:space="preserve">178320</t>
  </si>
  <si>
    <t xml:space="preserve">서진시스템</t>
  </si>
  <si>
    <t xml:space="preserve">388790</t>
  </si>
  <si>
    <t xml:space="preserve">유일로보틱스</t>
  </si>
  <si>
    <t xml:space="preserve">034730</t>
  </si>
  <si>
    <t xml:space="preserve">SK</t>
  </si>
  <si>
    <t xml:space="preserve">023530</t>
  </si>
  <si>
    <t xml:space="preserve">롯데쇼핑</t>
  </si>
  <si>
    <t xml:space="preserve">032830</t>
  </si>
  <si>
    <t xml:space="preserve">삼성생명</t>
  </si>
  <si>
    <t xml:space="preserve">066570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</si>
  <si>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전자</t>
    </r>
  </si>
  <si>
    <t xml:space="preserve">033780</t>
  </si>
  <si>
    <t xml:space="preserve">KT&amp;amp;G</t>
  </si>
  <si>
    <t xml:space="preserve">003550</t>
  </si>
  <si>
    <t xml:space="preserve">LG</t>
  </si>
  <si>
    <t xml:space="preserve">007340</t>
  </si>
  <si>
    <r>
      <rPr>
        <sz val="11"/>
        <rFont val="Arial"/>
        <family val="0"/>
        <charset val="1"/>
      </rPr>
      <t xml:space="preserve">DN</t>
    </r>
    <r>
      <rPr>
        <sz val="11"/>
        <rFont val="Noto Sans CJK SC"/>
        <family val="2"/>
      </rPr>
      <t xml:space="preserve">오토모티브</t>
    </r>
  </si>
  <si>
    <t xml:space="preserve">000810</t>
  </si>
  <si>
    <t xml:space="preserve">삼성화재</t>
  </si>
  <si>
    <t xml:space="preserve">093370</t>
  </si>
  <si>
    <t xml:space="preserve">후성</t>
  </si>
  <si>
    <t xml:space="preserve">017670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</si>
  <si>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텔레콤</t>
    </r>
  </si>
  <si>
    <t xml:space="preserve">139130</t>
  </si>
  <si>
    <r>
      <rPr>
        <sz val="11"/>
        <rFont val="Arial"/>
        <family val="0"/>
        <charset val="1"/>
      </rPr>
      <t xml:space="preserve">iM</t>
    </r>
    <r>
      <rPr>
        <sz val="11"/>
        <rFont val="Noto Sans CJK SC"/>
        <family val="2"/>
      </rPr>
      <t xml:space="preserve">금융지주</t>
    </r>
  </si>
  <si>
    <t xml:space="preserve">069960</t>
  </si>
  <si>
    <t xml:space="preserve">현대백화점</t>
  </si>
  <si>
    <t xml:space="preserve">010950</t>
  </si>
  <si>
    <t xml:space="preserve">S-Oil</t>
  </si>
  <si>
    <t xml:space="preserve">161890</t>
  </si>
  <si>
    <t xml:space="preserve">한국콜마</t>
  </si>
  <si>
    <t xml:space="preserve">383220</t>
  </si>
  <si>
    <t xml:space="preserve">F&amp;amp;F</t>
  </si>
  <si>
    <t xml:space="preserve">192080</t>
  </si>
  <si>
    <t xml:space="preserve">더블유게임즈</t>
  </si>
  <si>
    <t xml:space="preserve">105560</t>
  </si>
  <si>
    <r>
      <rPr>
        <sz val="11"/>
        <rFont val="Arial"/>
        <family val="0"/>
        <charset val="1"/>
      </rPr>
      <t xml:space="preserve">KB</t>
    </r>
    <r>
      <rPr>
        <sz val="11"/>
        <rFont val="Noto Sans CJK SC"/>
        <family val="2"/>
      </rPr>
      <t xml:space="preserve">금융</t>
    </r>
  </si>
  <si>
    <t xml:space="preserve">055550</t>
  </si>
  <si>
    <t xml:space="preserve">신한지주</t>
  </si>
  <si>
    <t xml:space="preserve">051900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</si>
  <si>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생활건강</t>
    </r>
  </si>
  <si>
    <r>
      <rPr>
        <b val="true"/>
        <sz val="12"/>
        <rFont val="Arial"/>
        <family val="0"/>
        <charset val="1"/>
      </rPr>
      <t xml:space="preserve">2026-10-08 </t>
    </r>
    <r>
      <rPr>
        <b val="true"/>
        <sz val="12"/>
        <rFont val="Noto Sans CJK SC"/>
        <family val="2"/>
      </rPr>
      <t xml:space="preserve">종가 기준 진입 패턴 통과 종목   코스피</t>
    </r>
    <r>
      <rPr>
        <b val="true"/>
        <sz val="12"/>
        <rFont val="Arial"/>
        <family val="0"/>
        <charset val="1"/>
      </rPr>
      <t xml:space="preserve">200 </t>
    </r>
    <r>
      <rPr>
        <b val="true"/>
        <sz val="12"/>
        <rFont val="Noto Sans CJK SC"/>
        <family val="2"/>
      </rPr>
      <t xml:space="preserve">국면</t>
    </r>
    <r>
      <rPr>
        <b val="true"/>
        <sz val="12"/>
        <rFont val="Arial"/>
        <family val="0"/>
        <charset val="1"/>
      </rPr>
      <t xml:space="preserve">: </t>
    </r>
    <r>
      <rPr>
        <b val="true"/>
        <sz val="12"/>
        <rFont val="Noto Sans CJK SC"/>
        <family val="2"/>
      </rPr>
      <t xml:space="preserve">하락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신규 매수 없음</t>
    </r>
    <r>
      <rPr>
        <b val="true"/>
        <sz val="12"/>
        <rFont val="Arial"/>
        <family val="0"/>
        <charset val="1"/>
      </rPr>
      <t xml:space="preserve">)</t>
    </r>
  </si>
  <si>
    <t xml:space="preserve">순위</t>
  </si>
  <si>
    <t xml:space="preserve">패턴</t>
  </si>
  <si>
    <t xml:space="preserve">종가</t>
  </si>
  <si>
    <r>
      <rPr>
        <b val="true"/>
        <sz val="11"/>
        <rFont val="Noto Sans CJK SC"/>
        <family val="2"/>
      </rPr>
      <t xml:space="preserve">손절가 </t>
    </r>
    <r>
      <rPr>
        <b val="true"/>
        <sz val="11"/>
        <rFont val="Arial"/>
        <family val="0"/>
        <charset val="1"/>
      </rPr>
      <t xml:space="preserve">(2ATR)</t>
    </r>
  </si>
  <si>
    <t xml:space="preserve">손절폭</t>
  </si>
  <si>
    <r>
      <rPr>
        <b val="true"/>
        <sz val="11"/>
        <rFont val="Arial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개월 수익률</t>
    </r>
  </si>
  <si>
    <r>
      <rPr>
        <b val="true"/>
        <sz val="11"/>
        <rFont val="Arial"/>
        <family val="0"/>
        <charset val="1"/>
      </rPr>
      <t xml:space="preserve">62</t>
    </r>
    <r>
      <rPr>
        <b val="true"/>
        <sz val="11"/>
        <rFont val="Noto Sans CJK SC"/>
        <family val="2"/>
      </rPr>
      <t xml:space="preserve">일선</t>
    </r>
  </si>
  <si>
    <r>
      <rPr>
        <b val="true"/>
        <sz val="11"/>
        <rFont val="Arial"/>
        <family val="0"/>
        <charset val="1"/>
      </rPr>
      <t xml:space="preserve">20</t>
    </r>
    <r>
      <rPr>
        <b val="true"/>
        <sz val="11"/>
        <rFont val="Noto Sans CJK SC"/>
        <family val="2"/>
      </rPr>
      <t xml:space="preserve">일 평균 거래대금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억</t>
    </r>
    <r>
      <rPr>
        <b val="true"/>
        <sz val="11"/>
        <rFont val="Arial"/>
        <family val="0"/>
        <charset val="1"/>
      </rPr>
      <t xml:space="preserve">)</t>
    </r>
  </si>
  <si>
    <t xml:space="preserve">B1,B2,B3</t>
  </si>
  <si>
    <r>
      <rPr>
        <sz val="11"/>
        <rFont val="Arial"/>
        <family val="0"/>
        <charset val="1"/>
      </rPr>
      <t xml:space="preserve">52</t>
    </r>
    <r>
      <rPr>
        <sz val="11"/>
        <rFont val="Noto Sans CJK SC"/>
        <family val="2"/>
      </rPr>
      <t xml:space="preserve">주 신고가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정배열</t>
    </r>
    <r>
      <rPr>
        <sz val="11"/>
        <rFont val="Arial"/>
        <family val="0"/>
        <charset val="1"/>
      </rPr>
      <t xml:space="preserve">; 20</t>
    </r>
    <r>
      <rPr>
        <sz val="11"/>
        <rFont val="Noto Sans CJK SC"/>
        <family val="2"/>
      </rPr>
      <t xml:space="preserve">일 고가 돌파</t>
    </r>
    <r>
      <rPr>
        <sz val="11"/>
        <rFont val="Arial"/>
        <family val="0"/>
        <charset val="1"/>
      </rPr>
      <t xml:space="preserve">; 55</t>
    </r>
    <r>
      <rPr>
        <sz val="11"/>
        <rFont val="Noto Sans CJK SC"/>
        <family val="2"/>
      </rPr>
      <t xml:space="preserve">일 고가 돌파</t>
    </r>
  </si>
  <si>
    <t xml:space="preserve">B2,B3</t>
  </si>
  <si>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일 고가 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거래량 </t>
    </r>
    <r>
      <rPr>
        <sz val="11"/>
        <rFont val="Arial"/>
        <family val="0"/>
        <charset val="1"/>
      </rPr>
      <t xml:space="preserve">1.5</t>
    </r>
    <r>
      <rPr>
        <sz val="11"/>
        <rFont val="Noto Sans CJK SC"/>
        <family val="2"/>
      </rPr>
      <t xml:space="preserve">배</t>
    </r>
    <r>
      <rPr>
        <sz val="11"/>
        <rFont val="Arial"/>
        <family val="0"/>
        <charset val="1"/>
      </rPr>
      <t xml:space="preserve">; 20</t>
    </r>
    <r>
      <rPr>
        <sz val="11"/>
        <rFont val="Noto Sans CJK SC"/>
        <family val="2"/>
      </rPr>
      <t xml:space="preserve">일 고가 돌파</t>
    </r>
    <r>
      <rPr>
        <sz val="11"/>
        <rFont val="Arial"/>
        <family val="0"/>
        <charset val="1"/>
      </rPr>
      <t xml:space="preserve">; 55</t>
    </r>
    <r>
      <rPr>
        <sz val="11"/>
        <rFont val="Noto Sans CJK SC"/>
        <family val="2"/>
      </rPr>
      <t xml:space="preserve">일 고가 돌파</t>
    </r>
  </si>
  <si>
    <t xml:space="preserve">098460</t>
  </si>
  <si>
    <t xml:space="preserve">고영</t>
  </si>
  <si>
    <t xml:space="preserve">A1,A3</t>
  </si>
  <si>
    <r>
      <rPr>
        <sz val="11"/>
        <rFont val="Arial"/>
        <family val="0"/>
        <charset val="1"/>
      </rPr>
      <t xml:space="preserve">MACD </t>
    </r>
    <r>
      <rPr>
        <sz val="11"/>
        <rFont val="Noto Sans CJK SC"/>
        <family val="2"/>
      </rPr>
      <t xml:space="preserve">골든크로스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</t>
    </r>
    <r>
      <rPr>
        <sz val="11"/>
        <rFont val="Arial"/>
        <family val="0"/>
        <charset val="1"/>
      </rPr>
      <t xml:space="preserve">; 5</t>
    </r>
    <r>
      <rPr>
        <sz val="11"/>
        <rFont val="Noto Sans CJK SC"/>
        <family val="2"/>
      </rPr>
      <t xml:space="preserve">일선</t>
    </r>
    <r>
      <rPr>
        <sz val="11"/>
        <rFont val="Arial"/>
        <family val="0"/>
        <charset val="1"/>
      </rPr>
      <t xml:space="preserve">/21</t>
    </r>
    <r>
      <rPr>
        <sz val="11"/>
        <rFont val="Noto Sans CJK SC"/>
        <family val="2"/>
      </rPr>
      <t xml:space="preserve">일선 골든크로스 </t>
    </r>
    <r>
      <rPr>
        <sz val="11"/>
        <rFont val="Arial"/>
        <family val="0"/>
        <charset val="1"/>
      </rPr>
      <t xml:space="preserve">+ 5</t>
    </r>
    <r>
      <rPr>
        <sz val="11"/>
        <rFont val="Noto Sans CJK SC"/>
        <family val="2"/>
      </rPr>
      <t xml:space="preserve">일 수익 양수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일선 상승</t>
    </r>
  </si>
  <si>
    <t xml:space="preserve">373220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</si>
  <si>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에너지솔루션</t>
    </r>
  </si>
  <si>
    <t xml:space="preserve">B2,B3,B4,D</t>
  </si>
  <si>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일 고가 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거래량 </t>
    </r>
    <r>
      <rPr>
        <sz val="11"/>
        <rFont val="Arial"/>
        <family val="0"/>
        <charset val="1"/>
      </rPr>
      <t xml:space="preserve">1.5</t>
    </r>
    <r>
      <rPr>
        <sz val="11"/>
        <rFont val="Noto Sans CJK SC"/>
        <family val="2"/>
      </rPr>
      <t xml:space="preserve">배</t>
    </r>
    <r>
      <rPr>
        <sz val="11"/>
        <rFont val="Arial"/>
        <family val="0"/>
        <charset val="1"/>
      </rPr>
      <t xml:space="preserve">; 20</t>
    </r>
    <r>
      <rPr>
        <sz val="11"/>
        <rFont val="Noto Sans CJK SC"/>
        <family val="2"/>
      </rPr>
      <t xml:space="preserve">일 고가 돌파</t>
    </r>
    <r>
      <rPr>
        <sz val="11"/>
        <rFont val="Arial"/>
        <family val="0"/>
        <charset val="1"/>
      </rPr>
      <t xml:space="preserve">; 55</t>
    </r>
    <r>
      <rPr>
        <sz val="11"/>
        <rFont val="Noto Sans CJK SC"/>
        <family val="2"/>
      </rPr>
      <t xml:space="preserve">일 고가 돌파</t>
    </r>
    <r>
      <rPr>
        <sz val="11"/>
        <rFont val="Arial"/>
        <family val="0"/>
        <charset val="1"/>
      </rPr>
      <t xml:space="preserve">; 20</t>
    </r>
    <r>
      <rPr>
        <sz val="11"/>
        <rFont val="Noto Sans CJK SC"/>
        <family val="2"/>
      </rPr>
      <t xml:space="preserve">일 박스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폭 </t>
    </r>
    <r>
      <rPr>
        <sz val="11"/>
        <rFont val="Arial"/>
        <family val="0"/>
        <charset val="1"/>
      </rPr>
      <t xml:space="preserve">20% </t>
    </r>
    <r>
      <rPr>
        <sz val="11"/>
        <rFont val="Noto Sans CJK SC"/>
        <family val="2"/>
      </rPr>
      <t xml:space="preserve">이내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상단 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거래량 </t>
    </r>
    <r>
      <rPr>
        <sz val="11"/>
        <rFont val="Arial"/>
        <family val="0"/>
        <charset val="1"/>
      </rPr>
      <t xml:space="preserve">1.5</t>
    </r>
    <r>
      <rPr>
        <sz val="11"/>
        <rFont val="Noto Sans CJK SC"/>
        <family val="2"/>
      </rPr>
      <t xml:space="preserve">배</t>
    </r>
    <r>
      <rPr>
        <sz val="11"/>
        <rFont val="Arial"/>
        <family val="0"/>
        <charset val="1"/>
      </rPr>
      <t xml:space="preserve">; </t>
    </r>
    <r>
      <rPr>
        <sz val="11"/>
        <rFont val="Noto Sans CJK SC"/>
        <family val="2"/>
      </rPr>
      <t xml:space="preserve">쿨라매기</t>
    </r>
    <r>
      <rPr>
        <sz val="11"/>
        <rFont val="Arial"/>
        <family val="0"/>
        <charset val="1"/>
      </rPr>
      <t xml:space="preserve">: 60</t>
    </r>
    <r>
      <rPr>
        <sz val="11"/>
        <rFont val="Noto Sans CJK SC"/>
        <family val="2"/>
      </rPr>
      <t xml:space="preserve">일 </t>
    </r>
    <r>
      <rPr>
        <sz val="11"/>
        <rFont val="Arial"/>
        <family val="0"/>
        <charset val="1"/>
      </rPr>
      <t xml:space="preserve">+20% </t>
    </r>
    <r>
      <rPr>
        <sz val="11"/>
        <rFont val="Noto Sans CJK SC"/>
        <family val="2"/>
      </rPr>
      <t xml:space="preserve">선행 </t>
    </r>
    <r>
      <rPr>
        <sz val="11"/>
        <rFont val="Arial"/>
        <family val="0"/>
        <charset val="1"/>
      </rPr>
      <t xml:space="preserve">+ 15</t>
    </r>
    <r>
      <rPr>
        <sz val="11"/>
        <rFont val="Noto Sans CJK SC"/>
        <family val="2"/>
      </rPr>
      <t xml:space="preserve">일 박스 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거래량 </t>
    </r>
    <r>
      <rPr>
        <sz val="11"/>
        <rFont val="Arial"/>
        <family val="0"/>
        <charset val="1"/>
      </rPr>
      <t xml:space="preserve">1.3</t>
    </r>
    <r>
      <rPr>
        <sz val="11"/>
        <rFont val="Noto Sans CJK SC"/>
        <family val="2"/>
      </rPr>
      <t xml:space="preserve">배</t>
    </r>
  </si>
  <si>
    <t xml:space="preserve">417200</t>
  </si>
  <si>
    <r>
      <rPr>
        <sz val="11"/>
        <rFont val="Arial"/>
        <family val="0"/>
        <charset val="1"/>
      </rPr>
      <t xml:space="preserve">LS</t>
    </r>
    <r>
      <rPr>
        <sz val="11"/>
        <rFont val="Noto Sans CJK SC"/>
        <family val="2"/>
      </rPr>
      <t xml:space="preserve">머트리얼즈</t>
    </r>
  </si>
  <si>
    <r>
      <rPr>
        <b val="true"/>
        <sz val="12"/>
        <rFont val="Noto Sans CJK SC"/>
        <family val="2"/>
      </rPr>
      <t xml:space="preserve">변형 </t>
    </r>
    <r>
      <rPr>
        <b val="true"/>
        <sz val="12"/>
        <rFont val="Arial"/>
        <family val="0"/>
        <charset val="1"/>
      </rPr>
      <t xml:space="preserve">B: </t>
    </r>
    <r>
      <rPr>
        <b val="true"/>
        <sz val="12"/>
        <rFont val="Noto Sans CJK SC"/>
        <family val="2"/>
      </rPr>
      <t xml:space="preserve">월말 </t>
    </r>
    <r>
      <rPr>
        <b val="true"/>
        <sz val="12"/>
        <rFont val="Arial"/>
        <family val="0"/>
        <charset val="1"/>
      </rPr>
      <t xml:space="preserve">6</t>
    </r>
    <r>
      <rPr>
        <b val="true"/>
        <sz val="12"/>
        <rFont val="Noto Sans CJK SC"/>
        <family val="2"/>
      </rPr>
      <t xml:space="preserve">개월 모멘텀 상위 </t>
    </r>
    <r>
      <rPr>
        <b val="true"/>
        <sz val="12"/>
        <rFont val="Arial"/>
        <family val="0"/>
        <charset val="1"/>
      </rPr>
      <t xml:space="preserve">10 </t>
    </r>
    <r>
      <rPr>
        <b val="true"/>
        <sz val="12"/>
        <rFont val="Noto Sans CJK SC"/>
        <family val="2"/>
      </rPr>
      <t xml:space="preserve">보유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패턴 없음</t>
    </r>
    <r>
      <rPr>
        <b val="true"/>
        <sz val="12"/>
        <rFont val="Arial"/>
        <family val="0"/>
        <charset val="1"/>
      </rPr>
      <t xml:space="preserve">), 62</t>
    </r>
    <r>
      <rPr>
        <b val="true"/>
        <sz val="12"/>
        <rFont val="Noto Sans CJK SC"/>
        <family val="2"/>
      </rPr>
      <t xml:space="preserve">일선 이탈 매도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Noto Sans CJK SC"/>
        <family val="2"/>
      </rPr>
      <t xml:space="preserve">코스피</t>
    </r>
    <r>
      <rPr>
        <b val="true"/>
        <sz val="12"/>
        <rFont val="Arial"/>
        <family val="0"/>
        <charset val="1"/>
      </rPr>
      <t xml:space="preserve">200 </t>
    </r>
    <r>
      <rPr>
        <b val="true"/>
        <sz val="12"/>
        <rFont val="Noto Sans CJK SC"/>
        <family val="2"/>
      </rPr>
      <t xml:space="preserve">국면 </t>
    </r>
    <r>
      <rPr>
        <b val="true"/>
        <sz val="12"/>
        <rFont val="Arial"/>
        <family val="0"/>
        <charset val="1"/>
      </rPr>
      <t xml:space="preserve">- </t>
    </r>
    <r>
      <rPr>
        <b val="true"/>
        <sz val="12"/>
        <rFont val="Noto Sans CJK SC"/>
        <family val="2"/>
      </rPr>
      <t xml:space="preserve">거래 </t>
    </r>
    <r>
      <rPr>
        <b val="true"/>
        <sz val="12"/>
        <rFont val="Arial"/>
        <family val="0"/>
        <charset val="1"/>
      </rPr>
      <t xml:space="preserve">352</t>
    </r>
    <r>
      <rPr>
        <b val="true"/>
        <sz val="12"/>
        <rFont val="Noto Sans CJK SC"/>
        <family val="2"/>
      </rPr>
      <t xml:space="preserve">건</t>
    </r>
  </si>
  <si>
    <t xml:space="preserve">매수일</t>
  </si>
  <si>
    <t xml:space="preserve">수익률</t>
  </si>
  <si>
    <r>
      <rPr>
        <sz val="11"/>
        <rFont val="Arial"/>
        <family val="0"/>
        <charset val="1"/>
      </rPr>
      <t xml:space="preserve">62</t>
    </r>
    <r>
      <rPr>
        <sz val="11"/>
        <rFont val="Noto Sans CJK SC"/>
        <family val="2"/>
      </rPr>
      <t xml:space="preserve">일선 이탈</t>
    </r>
  </si>
  <si>
    <t xml:space="preserve">월말 순위 밖</t>
  </si>
  <si>
    <t xml:space="preserve">207940</t>
  </si>
  <si>
    <t xml:space="preserve">삼성바이오로직스</t>
  </si>
  <si>
    <r>
      <rPr>
        <sz val="11"/>
        <rFont val="Noto Sans CJK SC"/>
        <family val="2"/>
      </rPr>
      <t xml:space="preserve">국면 종료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전량 현금</t>
    </r>
    <r>
      <rPr>
        <sz val="11"/>
        <rFont val="Arial"/>
        <family val="0"/>
        <charset val="1"/>
      </rPr>
      <t xml:space="preserve">)</t>
    </r>
  </si>
  <si>
    <t xml:space="preserve">247540</t>
  </si>
  <si>
    <t xml:space="preserve">에코프로비엠</t>
  </si>
  <si>
    <t xml:space="preserve">053030</t>
  </si>
  <si>
    <t xml:space="preserve">바이넥스</t>
  </si>
  <si>
    <t xml:space="preserve">278280</t>
  </si>
  <si>
    <t xml:space="preserve">천보</t>
  </si>
  <si>
    <t xml:space="preserve">006280</t>
  </si>
  <si>
    <t xml:space="preserve">녹십자</t>
  </si>
  <si>
    <t xml:space="preserve">079370</t>
  </si>
  <si>
    <t xml:space="preserve">제우스</t>
  </si>
  <si>
    <t xml:space="preserve">010120</t>
  </si>
  <si>
    <t xml:space="preserve">LS ELECTRIC</t>
  </si>
  <si>
    <t xml:space="preserve">000720</t>
  </si>
  <si>
    <t xml:space="preserve">현대건설</t>
  </si>
  <si>
    <t xml:space="preserve">214430</t>
  </si>
  <si>
    <t xml:space="preserve">아이쓰리시스템</t>
  </si>
  <si>
    <t xml:space="preserve">006800</t>
  </si>
  <si>
    <t xml:space="preserve">미래에셋증권</t>
  </si>
  <si>
    <r>
      <rPr>
        <b val="true"/>
        <sz val="11"/>
        <rFont val="Noto Sans CJK SC"/>
        <family val="2"/>
      </rPr>
      <t xml:space="preserve">패턴별 교차검증 </t>
    </r>
    <r>
      <rPr>
        <b val="true"/>
        <sz val="11"/>
        <rFont val="Arial"/>
        <family val="0"/>
        <charset val="1"/>
      </rPr>
      <t xml:space="preserve">(344</t>
    </r>
    <r>
      <rPr>
        <b val="true"/>
        <sz val="11"/>
        <rFont val="Noto Sans CJK SC"/>
        <family val="2"/>
      </rPr>
      <t xml:space="preserve">종목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건별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비용 </t>
    </r>
    <r>
      <rPr>
        <b val="true"/>
        <sz val="11"/>
        <rFont val="Arial"/>
        <family val="0"/>
        <charset val="1"/>
      </rPr>
      <t xml:space="preserve">0.35% </t>
    </r>
    <r>
      <rPr>
        <b val="true"/>
        <sz val="11"/>
        <rFont val="Noto Sans CJK SC"/>
        <family val="2"/>
      </rPr>
      <t xml:space="preserve">포함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각 패턴 고유 청산</t>
    </r>
    <r>
      <rPr>
        <b val="true"/>
        <sz val="11"/>
        <rFont val="Arial"/>
        <family val="0"/>
        <charset val="1"/>
      </rPr>
      <t xml:space="preserve">). IS = 2017-10~2021 / OOS = 2022~2026-10. </t>
    </r>
    <r>
      <rPr>
        <b val="true"/>
        <sz val="11"/>
        <rFont val="Noto Sans CJK SC"/>
        <family val="2"/>
      </rPr>
      <t xml:space="preserve">초과 </t>
    </r>
    <r>
      <rPr>
        <b val="true"/>
        <sz val="11"/>
        <rFont val="Arial"/>
        <family val="0"/>
        <charset val="1"/>
      </rPr>
      <t xml:space="preserve">= </t>
    </r>
    <r>
      <rPr>
        <b val="true"/>
        <sz val="11"/>
        <rFont val="Noto Sans CJK SC"/>
        <family val="2"/>
      </rPr>
      <t xml:space="preserve">같은 종목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같은 청산의 무작위 진입 대비</t>
    </r>
    <r>
      <rPr>
        <b val="true"/>
        <sz val="11"/>
        <rFont val="Arial"/>
        <family val="0"/>
        <charset val="1"/>
      </rPr>
      <t xml:space="preserve">. p = IS </t>
    </r>
    <r>
      <rPr>
        <b val="true"/>
        <sz val="11"/>
        <rFont val="Noto Sans CJK SC"/>
        <family val="2"/>
      </rPr>
      <t xml:space="preserve">순환이동 귀무검정</t>
    </r>
    <r>
      <rPr>
        <b val="true"/>
        <sz val="11"/>
        <rFont val="Arial"/>
        <family val="0"/>
        <charset val="1"/>
      </rPr>
      <t xml:space="preserve">. "+K62</t>
    </r>
    <r>
      <rPr>
        <b val="true"/>
        <sz val="11"/>
        <rFont val="Noto Sans CJK SC"/>
        <family val="2"/>
      </rPr>
      <t xml:space="preserve">상승</t>
    </r>
    <r>
      <rPr>
        <b val="true"/>
        <sz val="11"/>
        <rFont val="Arial"/>
        <family val="0"/>
        <charset val="1"/>
      </rPr>
      <t xml:space="preserve">" = </t>
    </r>
    <r>
      <rPr>
        <b val="true"/>
        <sz val="11"/>
        <rFont val="Noto Sans CJK SC"/>
        <family val="2"/>
      </rPr>
      <t xml:space="preserve">코스피</t>
    </r>
    <r>
      <rPr>
        <b val="true"/>
        <sz val="11"/>
        <rFont val="Arial"/>
        <family val="0"/>
        <charset val="1"/>
      </rPr>
      <t xml:space="preserve">200 62</t>
    </r>
    <r>
      <rPr>
        <b val="true"/>
        <sz val="11"/>
        <rFont val="Noto Sans CJK SC"/>
        <family val="2"/>
      </rPr>
      <t xml:space="preserve">일선 상승 때만</t>
    </r>
  </si>
  <si>
    <r>
      <rPr>
        <b val="true"/>
        <sz val="11"/>
        <rFont val="Arial"/>
        <family val="0"/>
        <charset val="1"/>
      </rPr>
      <t xml:space="preserve">IS </t>
    </r>
    <r>
      <rPr>
        <b val="true"/>
        <sz val="11"/>
        <rFont val="Noto Sans CJK SC"/>
        <family val="2"/>
      </rPr>
      <t xml:space="preserve">건수</t>
    </r>
  </si>
  <si>
    <r>
      <rPr>
        <b val="true"/>
        <sz val="11"/>
        <rFont val="Arial"/>
        <family val="0"/>
        <charset val="1"/>
      </rPr>
      <t xml:space="preserve">IS </t>
    </r>
    <r>
      <rPr>
        <b val="true"/>
        <sz val="11"/>
        <rFont val="Noto Sans CJK SC"/>
        <family val="2"/>
      </rPr>
      <t xml:space="preserve">승률</t>
    </r>
  </si>
  <si>
    <r>
      <rPr>
        <b val="true"/>
        <sz val="11"/>
        <rFont val="Arial"/>
        <family val="0"/>
        <charset val="1"/>
      </rPr>
      <t xml:space="preserve">IS </t>
    </r>
    <r>
      <rPr>
        <b val="true"/>
        <sz val="11"/>
        <rFont val="Noto Sans CJK SC"/>
        <family val="2"/>
      </rPr>
      <t xml:space="preserve">건당</t>
    </r>
  </si>
  <si>
    <t xml:space="preserve">귀무 평균</t>
  </si>
  <si>
    <t xml:space="preserve">초과</t>
  </si>
  <si>
    <t xml:space="preserve">p</t>
  </si>
  <si>
    <r>
      <rPr>
        <b val="true"/>
        <sz val="11"/>
        <rFont val="Arial"/>
        <family val="0"/>
        <charset val="1"/>
      </rPr>
      <t xml:space="preserve">OOS </t>
    </r>
    <r>
      <rPr>
        <b val="true"/>
        <sz val="11"/>
        <rFont val="Noto Sans CJK SC"/>
        <family val="2"/>
      </rPr>
      <t xml:space="preserve">건수</t>
    </r>
  </si>
  <si>
    <r>
      <rPr>
        <b val="true"/>
        <sz val="11"/>
        <rFont val="Arial"/>
        <family val="0"/>
        <charset val="1"/>
      </rPr>
      <t xml:space="preserve">OOS </t>
    </r>
    <r>
      <rPr>
        <b val="true"/>
        <sz val="11"/>
        <rFont val="Noto Sans CJK SC"/>
        <family val="2"/>
      </rPr>
      <t xml:space="preserve">승률</t>
    </r>
  </si>
  <si>
    <r>
      <rPr>
        <b val="true"/>
        <sz val="11"/>
        <rFont val="Arial"/>
        <family val="0"/>
        <charset val="1"/>
      </rPr>
      <t xml:space="preserve">OOS </t>
    </r>
    <r>
      <rPr>
        <b val="true"/>
        <sz val="11"/>
        <rFont val="Noto Sans CJK SC"/>
        <family val="2"/>
      </rPr>
      <t xml:space="preserve">건당</t>
    </r>
  </si>
  <si>
    <t xml:space="preserve">OOS t</t>
  </si>
  <si>
    <t xml:space="preserve">손절 비중</t>
  </si>
  <si>
    <r>
      <rPr>
        <sz val="11"/>
        <rFont val="Arial"/>
        <family val="0"/>
        <charset val="1"/>
      </rPr>
      <t xml:space="preserve">C1 CIS 52</t>
    </r>
    <r>
      <rPr>
        <sz val="11"/>
        <rFont val="Noto Sans CJK SC"/>
        <family val="2"/>
      </rPr>
      <t xml:space="preserve">주신고가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정배열</t>
    </r>
  </si>
  <si>
    <r>
      <rPr>
        <sz val="11"/>
        <rFont val="Arial"/>
        <family val="0"/>
        <charset val="1"/>
      </rPr>
      <t xml:space="preserve">C1 CIS 52</t>
    </r>
    <r>
      <rPr>
        <sz val="11"/>
        <rFont val="Noto Sans CJK SC"/>
        <family val="2"/>
      </rPr>
      <t xml:space="preserve">주신고가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정배열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</si>
  <si>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C2 CIS 52</t>
    </r>
    <r>
      <rPr>
        <sz val="11"/>
        <rFont val="Noto Sans CJK SC"/>
        <family val="2"/>
      </rPr>
      <t xml:space="preserve">주신고가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거래량</t>
    </r>
  </si>
  <si>
    <r>
      <rPr>
        <sz val="11"/>
        <rFont val="Arial"/>
        <family val="0"/>
        <charset val="1"/>
      </rPr>
      <t xml:space="preserve">C2 CIS 52</t>
    </r>
    <r>
      <rPr>
        <sz val="11"/>
        <rFont val="Noto Sans CJK SC"/>
        <family val="2"/>
      </rPr>
      <t xml:space="preserve">주신고가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거래량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</si>
  <si>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C3 CIS 55</t>
    </r>
    <r>
      <rPr>
        <sz val="11"/>
        <rFont val="Noto Sans CJK SC"/>
        <family val="2"/>
      </rPr>
      <t xml:space="preserve">일신고가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정배열</t>
    </r>
    <r>
      <rPr>
        <sz val="11"/>
        <rFont val="Arial"/>
        <family val="0"/>
        <charset val="1"/>
      </rPr>
      <t xml:space="preserve">, 10</t>
    </r>
    <r>
      <rPr>
        <sz val="11"/>
        <rFont val="Noto Sans CJK SC"/>
        <family val="2"/>
      </rPr>
      <t xml:space="preserve">일선청산</t>
    </r>
  </si>
  <si>
    <r>
      <rPr>
        <sz val="11"/>
        <rFont val="Arial"/>
        <family val="0"/>
        <charset val="1"/>
      </rPr>
      <t xml:space="preserve">C3 CIS 55</t>
    </r>
    <r>
      <rPr>
        <sz val="11"/>
        <rFont val="Noto Sans CJK SC"/>
        <family val="2"/>
      </rPr>
      <t xml:space="preserve">일신고가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정배열</t>
    </r>
    <r>
      <rPr>
        <sz val="11"/>
        <rFont val="Arial"/>
        <family val="0"/>
        <charset val="1"/>
      </rPr>
      <t xml:space="preserve">, 10</t>
    </r>
    <r>
      <rPr>
        <sz val="11"/>
        <rFont val="Noto Sans CJK SC"/>
        <family val="2"/>
      </rPr>
      <t xml:space="preserve">일선청산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</si>
  <si>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D1 </t>
    </r>
    <r>
      <rPr>
        <sz val="11"/>
        <rFont val="Noto Sans CJK SC"/>
        <family val="2"/>
      </rPr>
      <t xml:space="preserve">다바스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좁은박스</t>
    </r>
    <r>
      <rPr>
        <sz val="11"/>
        <rFont val="Arial"/>
        <family val="0"/>
        <charset val="1"/>
      </rPr>
      <t xml:space="preserve">20 </t>
    </r>
    <r>
      <rPr>
        <sz val="11"/>
        <rFont val="Noto Sans CJK SC"/>
        <family val="2"/>
      </rPr>
      <t xml:space="preserve">상단돌파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</si>
  <si>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D1 </t>
    </r>
    <r>
      <rPr>
        <sz val="11"/>
        <rFont val="Noto Sans CJK SC"/>
        <family val="2"/>
      </rPr>
      <t xml:space="preserve">다바스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좁은박스</t>
    </r>
    <r>
      <rPr>
        <sz val="11"/>
        <rFont val="Arial"/>
        <family val="0"/>
        <charset val="1"/>
      </rPr>
      <t xml:space="preserve">20 </t>
    </r>
    <r>
      <rPr>
        <sz val="11"/>
        <rFont val="Noto Sans CJK SC"/>
        <family val="2"/>
      </rPr>
      <t xml:space="preserve">상단돌파</t>
    </r>
    <r>
      <rPr>
        <sz val="11"/>
        <rFont val="Arial"/>
        <family val="0"/>
        <charset val="1"/>
      </rPr>
      <t xml:space="preserve">)+K62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</si>
  <si>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D2 </t>
    </r>
    <r>
      <rPr>
        <sz val="11"/>
        <rFont val="Noto Sans CJK SC"/>
        <family val="2"/>
      </rPr>
      <t xml:space="preserve">다바스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거래량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</si>
  <si>
    <r>
      <rPr>
        <sz val="11"/>
        <rFont val="Arial"/>
        <family val="0"/>
        <charset val="1"/>
      </rPr>
      <t xml:space="preserve">D2 </t>
    </r>
    <r>
      <rPr>
        <sz val="11"/>
        <rFont val="Noto Sans CJK SC"/>
        <family val="2"/>
      </rPr>
      <t xml:space="preserve">다바스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거래량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</si>
  <si>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D3 </t>
    </r>
    <r>
      <rPr>
        <sz val="11"/>
        <rFont val="Noto Sans CJK SC"/>
        <family val="2"/>
      </rPr>
      <t xml:space="preserve">다바스 넓은박스</t>
    </r>
    <r>
      <rPr>
        <sz val="11"/>
        <rFont val="Arial"/>
        <family val="0"/>
        <charset val="1"/>
      </rPr>
      <t xml:space="preserve">(&lt;20%)+</t>
    </r>
    <r>
      <rPr>
        <sz val="11"/>
        <rFont val="Noto Sans CJK SC"/>
        <family val="2"/>
      </rPr>
      <t xml:space="preserve">거래량</t>
    </r>
  </si>
  <si>
    <r>
      <rPr>
        <sz val="11"/>
        <rFont val="Arial"/>
        <family val="0"/>
        <charset val="1"/>
      </rPr>
      <t xml:space="preserve">D3 </t>
    </r>
    <r>
      <rPr>
        <sz val="11"/>
        <rFont val="Noto Sans CJK SC"/>
        <family val="2"/>
      </rPr>
      <t xml:space="preserve">다바스 넓은박스</t>
    </r>
    <r>
      <rPr>
        <sz val="11"/>
        <rFont val="Arial"/>
        <family val="0"/>
        <charset val="1"/>
      </rPr>
      <t xml:space="preserve">(&lt;20%)+</t>
    </r>
    <r>
      <rPr>
        <sz val="11"/>
        <rFont val="Noto Sans CJK SC"/>
        <family val="2"/>
      </rPr>
      <t xml:space="preserve">거래량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</si>
  <si>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G1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F0.309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하단</t>
    </r>
    <r>
      <rPr>
        <sz val="11"/>
        <rFont val="Arial"/>
        <family val="0"/>
        <charset val="1"/>
      </rPr>
      <t xml:space="preserve">(pos&lt;0.6), 20</t>
    </r>
    <r>
      <rPr>
        <sz val="11"/>
        <rFont val="Noto Sans CJK SC"/>
        <family val="2"/>
      </rPr>
      <t xml:space="preserve">일 보유</t>
    </r>
  </si>
  <si>
    <r>
      <rPr>
        <sz val="11"/>
        <rFont val="Arial"/>
        <family val="0"/>
        <charset val="1"/>
      </rPr>
      <t xml:space="preserve">G1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F0.309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하단</t>
    </r>
    <r>
      <rPr>
        <sz val="11"/>
        <rFont val="Arial"/>
        <family val="0"/>
        <charset val="1"/>
      </rPr>
      <t xml:space="preserve">(pos&lt;0.6), 20</t>
    </r>
    <r>
      <rPr>
        <sz val="11"/>
        <rFont val="Noto Sans CJK SC"/>
        <family val="2"/>
      </rPr>
      <t xml:space="preserve">일 보유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</si>
  <si>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G1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F0.382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하단</t>
    </r>
    <r>
      <rPr>
        <sz val="11"/>
        <rFont val="Arial"/>
        <family val="0"/>
        <charset val="1"/>
      </rPr>
      <t xml:space="preserve">(pos&lt;0.6), 20</t>
    </r>
    <r>
      <rPr>
        <sz val="11"/>
        <rFont val="Noto Sans CJK SC"/>
        <family val="2"/>
      </rPr>
      <t xml:space="preserve">일 보유</t>
    </r>
  </si>
  <si>
    <r>
      <rPr>
        <sz val="11"/>
        <rFont val="Arial"/>
        <family val="0"/>
        <charset val="1"/>
      </rPr>
      <t xml:space="preserve">G1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F0.382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하단</t>
    </r>
    <r>
      <rPr>
        <sz val="11"/>
        <rFont val="Arial"/>
        <family val="0"/>
        <charset val="1"/>
      </rPr>
      <t xml:space="preserve">(pos&lt;0.6), 20</t>
    </r>
    <r>
      <rPr>
        <sz val="11"/>
        <rFont val="Noto Sans CJK SC"/>
        <family val="2"/>
      </rPr>
      <t xml:space="preserve">일 보유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</si>
  <si>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G1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F0.5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하단</t>
    </r>
    <r>
      <rPr>
        <sz val="11"/>
        <rFont val="Arial"/>
        <family val="0"/>
        <charset val="1"/>
      </rPr>
      <t xml:space="preserve">(pos&lt;0.6), 20</t>
    </r>
    <r>
      <rPr>
        <sz val="11"/>
        <rFont val="Noto Sans CJK SC"/>
        <family val="2"/>
      </rPr>
      <t xml:space="preserve">일 보유</t>
    </r>
  </si>
  <si>
    <r>
      <rPr>
        <sz val="11"/>
        <rFont val="Arial"/>
        <family val="0"/>
        <charset val="1"/>
      </rPr>
      <t xml:space="preserve">G1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F0.5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하단</t>
    </r>
    <r>
      <rPr>
        <sz val="11"/>
        <rFont val="Arial"/>
        <family val="0"/>
        <charset val="1"/>
      </rPr>
      <t xml:space="preserve">(pos&lt;0.6), 20</t>
    </r>
    <r>
      <rPr>
        <sz val="11"/>
        <rFont val="Noto Sans CJK SC"/>
        <family val="2"/>
      </rPr>
      <t xml:space="preserve">일 보유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</si>
  <si>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G2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F0.309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상승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재이탈 청산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최대</t>
    </r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</si>
  <si>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G2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F0.309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상승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재이탈 청산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최대</t>
    </r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)+K62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</si>
  <si>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G2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F0.382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상승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재이탈 청산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최대</t>
    </r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</si>
  <si>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G2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F0.382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상승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재이탈 청산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최대</t>
    </r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)+K62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</si>
  <si>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G2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F0.5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상승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재이탈 청산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최대</t>
    </r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</si>
  <si>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G2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F0.5 </t>
    </r>
    <r>
      <rPr>
        <sz val="11"/>
        <rFont val="Noto Sans CJK SC"/>
        <family val="2"/>
      </rPr>
      <t xml:space="preserve">상향돌파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상승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레벨 재이탈 청산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최대</t>
    </r>
    <r>
      <rPr>
        <sz val="11"/>
        <rFont val="Arial"/>
        <family val="0"/>
        <charset val="1"/>
      </rPr>
      <t xml:space="preserve">60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)+K62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</si>
  <si>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G3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F0.764 </t>
    </r>
    <r>
      <rPr>
        <sz val="11"/>
        <rFont val="Noto Sans CJK SC"/>
        <family val="2"/>
      </rPr>
      <t xml:space="preserve">이탈반등 </t>
    </r>
    <r>
      <rPr>
        <sz val="11"/>
        <rFont val="Arial"/>
        <family val="0"/>
        <charset val="1"/>
      </rPr>
      <t xml:space="preserve">+ 248</t>
    </r>
    <r>
      <rPr>
        <sz val="11"/>
        <rFont val="Noto Sans CJK SC"/>
        <family val="2"/>
      </rPr>
      <t xml:space="preserve">위</t>
    </r>
  </si>
  <si>
    <r>
      <rPr>
        <sz val="11"/>
        <rFont val="Arial"/>
        <family val="0"/>
        <charset val="1"/>
      </rPr>
      <t xml:space="preserve">G3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F0.764 </t>
    </r>
    <r>
      <rPr>
        <sz val="11"/>
        <rFont val="Noto Sans CJK SC"/>
        <family val="2"/>
      </rPr>
      <t xml:space="preserve">이탈반등 </t>
    </r>
    <r>
      <rPr>
        <sz val="11"/>
        <rFont val="Arial"/>
        <family val="0"/>
        <charset val="1"/>
      </rPr>
      <t xml:space="preserve">+ 248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</si>
  <si>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G4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F0.618 </t>
    </r>
    <r>
      <rPr>
        <sz val="11"/>
        <rFont val="Noto Sans CJK SC"/>
        <family val="2"/>
      </rPr>
      <t xml:space="preserve">이탈반등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</si>
  <si>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G4 </t>
    </r>
    <r>
      <rPr>
        <sz val="11"/>
        <rFont val="Noto Sans CJK SC"/>
        <family val="2"/>
      </rPr>
      <t xml:space="preserve">감천 </t>
    </r>
    <r>
      <rPr>
        <sz val="11"/>
        <rFont val="Arial"/>
        <family val="0"/>
        <charset val="1"/>
      </rPr>
      <t xml:space="preserve">F0.618 </t>
    </r>
    <r>
      <rPr>
        <sz val="11"/>
        <rFont val="Noto Sans CJK SC"/>
        <family val="2"/>
      </rPr>
      <t xml:space="preserve">이탈반등 </t>
    </r>
    <r>
      <rPr>
        <sz val="11"/>
        <rFont val="Arial"/>
        <family val="0"/>
        <charset val="1"/>
      </rPr>
      <t xml:space="preserve">+ 62</t>
    </r>
    <r>
      <rPr>
        <sz val="11"/>
        <rFont val="Noto Sans CJK SC"/>
        <family val="2"/>
      </rPr>
      <t xml:space="preserve">상승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</si>
  <si>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K1 MACD</t>
    </r>
    <r>
      <rPr>
        <sz val="11"/>
        <rFont val="Noto Sans CJK SC"/>
        <family val="2"/>
      </rPr>
      <t xml:space="preserve">골든</t>
    </r>
    <r>
      <rPr>
        <sz val="11"/>
        <rFont val="Arial"/>
        <family val="0"/>
        <charset val="1"/>
      </rPr>
      <t xml:space="preserve">+62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</si>
  <si>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K1 MACD</t>
    </r>
    <r>
      <rPr>
        <sz val="11"/>
        <rFont val="Noto Sans CJK SC"/>
        <family val="2"/>
      </rPr>
      <t xml:space="preserve">골든</t>
    </r>
    <r>
      <rPr>
        <sz val="11"/>
        <rFont val="Arial"/>
        <family val="0"/>
        <charset val="1"/>
      </rPr>
      <t xml:space="preserve">+62</t>
    </r>
    <r>
      <rPr>
        <sz val="11"/>
        <rFont val="Noto Sans CJK SC"/>
        <family val="2"/>
      </rPr>
      <t xml:space="preserve">상승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</si>
  <si>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K10 21</t>
    </r>
    <r>
      <rPr>
        <sz val="11"/>
        <rFont val="Noto Sans CJK SC"/>
        <family val="2"/>
      </rPr>
      <t xml:space="preserve">선돌파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변동성중</t>
    </r>
  </si>
  <si>
    <r>
      <rPr>
        <sz val="11"/>
        <rFont val="Arial"/>
        <family val="0"/>
        <charset val="1"/>
      </rPr>
      <t xml:space="preserve">K10 21</t>
    </r>
    <r>
      <rPr>
        <sz val="11"/>
        <rFont val="Noto Sans CJK SC"/>
        <family val="2"/>
      </rPr>
      <t xml:space="preserve">선돌파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변동성중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</si>
  <si>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K2 20</t>
    </r>
    <r>
      <rPr>
        <sz val="11"/>
        <rFont val="Noto Sans CJK SC"/>
        <family val="2"/>
      </rPr>
      <t xml:space="preserve">일신저가이탈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추세</t>
    </r>
  </si>
  <si>
    <r>
      <rPr>
        <sz val="11"/>
        <rFont val="Arial"/>
        <family val="0"/>
        <charset val="1"/>
      </rPr>
      <t xml:space="preserve">K2 20</t>
    </r>
    <r>
      <rPr>
        <sz val="11"/>
        <rFont val="Noto Sans CJK SC"/>
        <family val="2"/>
      </rPr>
      <t xml:space="preserve">일신저가이탈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추세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</si>
  <si>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K2v 20</t>
    </r>
    <r>
      <rPr>
        <sz val="11"/>
        <rFont val="Noto Sans CJK SC"/>
        <family val="2"/>
      </rPr>
      <t xml:space="preserve">일신저가이탈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추세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거래량급증</t>
    </r>
  </si>
  <si>
    <r>
      <rPr>
        <sz val="11"/>
        <rFont val="Arial"/>
        <family val="0"/>
        <charset val="1"/>
      </rPr>
      <t xml:space="preserve">K2v 20</t>
    </r>
    <r>
      <rPr>
        <sz val="11"/>
        <rFont val="Noto Sans CJK SC"/>
        <family val="2"/>
      </rPr>
      <t xml:space="preserve">일신저가이탈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추세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거래량급증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</si>
  <si>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K3 RSI50</t>
    </r>
    <r>
      <rPr>
        <sz val="11"/>
        <rFont val="Noto Sans CJK SC"/>
        <family val="2"/>
      </rPr>
      <t xml:space="preserve">돌파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히스토음</t>
    </r>
  </si>
  <si>
    <r>
      <rPr>
        <sz val="11"/>
        <rFont val="Arial"/>
        <family val="0"/>
        <charset val="1"/>
      </rPr>
      <t xml:space="preserve">K3 RSI50</t>
    </r>
    <r>
      <rPr>
        <sz val="11"/>
        <rFont val="Noto Sans CJK SC"/>
        <family val="2"/>
      </rPr>
      <t xml:space="preserve">돌파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히스토음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</si>
  <si>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K4 5/21</t>
    </r>
    <r>
      <rPr>
        <sz val="11"/>
        <rFont val="Noto Sans CJK SC"/>
        <family val="2"/>
      </rPr>
      <t xml:space="preserve">골든</t>
    </r>
    <r>
      <rPr>
        <sz val="11"/>
        <rFont val="Arial"/>
        <family val="0"/>
        <charset val="1"/>
      </rPr>
      <t xml:space="preserve">+62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</si>
  <si>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K4 5/21</t>
    </r>
    <r>
      <rPr>
        <sz val="11"/>
        <rFont val="Noto Sans CJK SC"/>
        <family val="2"/>
      </rPr>
      <t xml:space="preserve">골든</t>
    </r>
    <r>
      <rPr>
        <sz val="11"/>
        <rFont val="Arial"/>
        <family val="0"/>
        <charset val="1"/>
      </rPr>
      <t xml:space="preserve">+62</t>
    </r>
    <r>
      <rPr>
        <sz val="11"/>
        <rFont val="Noto Sans CJK SC"/>
        <family val="2"/>
      </rPr>
      <t xml:space="preserve">상승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</si>
  <si>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K5 62</t>
    </r>
    <r>
      <rPr>
        <sz val="11"/>
        <rFont val="Noto Sans CJK SC"/>
        <family val="2"/>
      </rPr>
      <t xml:space="preserve">선돌파</t>
    </r>
    <r>
      <rPr>
        <sz val="11"/>
        <rFont val="Arial"/>
        <family val="0"/>
        <charset val="1"/>
      </rPr>
      <t xml:space="preserve">+RSI</t>
    </r>
    <r>
      <rPr>
        <sz val="11"/>
        <rFont val="Noto Sans CJK SC"/>
        <family val="2"/>
      </rPr>
      <t xml:space="preserve">중</t>
    </r>
  </si>
  <si>
    <r>
      <rPr>
        <sz val="11"/>
        <rFont val="Arial"/>
        <family val="0"/>
        <charset val="1"/>
      </rPr>
      <t xml:space="preserve">K5 62</t>
    </r>
    <r>
      <rPr>
        <sz val="11"/>
        <rFont val="Noto Sans CJK SC"/>
        <family val="2"/>
      </rPr>
      <t xml:space="preserve">선돌파</t>
    </r>
    <r>
      <rPr>
        <sz val="11"/>
        <rFont val="Arial"/>
        <family val="0"/>
        <charset val="1"/>
      </rPr>
      <t xml:space="preserve">+RSI</t>
    </r>
    <r>
      <rPr>
        <sz val="11"/>
        <rFont val="Noto Sans CJK SC"/>
        <family val="2"/>
      </rPr>
      <t xml:space="preserve">중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</si>
  <si>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K6 3</t>
    </r>
    <r>
      <rPr>
        <sz val="11"/>
        <rFont val="Noto Sans CJK SC"/>
        <family val="2"/>
      </rPr>
      <t xml:space="preserve">일상승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히스토양</t>
    </r>
  </si>
  <si>
    <r>
      <rPr>
        <sz val="11"/>
        <rFont val="Arial"/>
        <family val="0"/>
        <charset val="1"/>
      </rPr>
      <t xml:space="preserve">K6 3</t>
    </r>
    <r>
      <rPr>
        <sz val="11"/>
        <rFont val="Noto Sans CJK SC"/>
        <family val="2"/>
      </rPr>
      <t xml:space="preserve">일상승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히스토양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</si>
  <si>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K7 3</t>
    </r>
    <r>
      <rPr>
        <sz val="11"/>
        <rFont val="Noto Sans CJK SC"/>
        <family val="2"/>
      </rPr>
      <t xml:space="preserve">일하락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</si>
  <si>
    <r>
      <rPr>
        <sz val="11"/>
        <rFont val="Arial"/>
        <family val="0"/>
        <charset val="1"/>
      </rPr>
      <t xml:space="preserve">K7 3</t>
    </r>
    <r>
      <rPr>
        <sz val="11"/>
        <rFont val="Noto Sans CJK SC"/>
        <family val="2"/>
      </rPr>
      <t xml:space="preserve">일하락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</si>
  <si>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K8 F0.764</t>
    </r>
    <r>
      <rPr>
        <sz val="11"/>
        <rFont val="Noto Sans CJK SC"/>
        <family val="2"/>
      </rPr>
      <t xml:space="preserve">이탈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이격</t>
    </r>
  </si>
  <si>
    <r>
      <rPr>
        <sz val="11"/>
        <rFont val="Arial"/>
        <family val="0"/>
        <charset val="1"/>
      </rPr>
      <t xml:space="preserve">K8 F0.764</t>
    </r>
    <r>
      <rPr>
        <sz val="11"/>
        <rFont val="Noto Sans CJK SC"/>
        <family val="2"/>
      </rPr>
      <t xml:space="preserve">이탈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이격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</si>
  <si>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K9 F0.309</t>
    </r>
    <r>
      <rPr>
        <sz val="11"/>
        <rFont val="Noto Sans CJK SC"/>
        <family val="2"/>
      </rPr>
      <t xml:space="preserve">이탈</t>
    </r>
    <r>
      <rPr>
        <sz val="11"/>
        <rFont val="Arial"/>
        <family val="0"/>
        <charset val="1"/>
      </rPr>
      <t xml:space="preserve">+62</t>
    </r>
    <r>
      <rPr>
        <sz val="11"/>
        <rFont val="Noto Sans CJK SC"/>
        <family val="2"/>
      </rPr>
      <t xml:space="preserve">하락</t>
    </r>
  </si>
  <si>
    <r>
      <rPr>
        <sz val="11"/>
        <rFont val="Arial"/>
        <family val="0"/>
        <charset val="1"/>
      </rPr>
      <t xml:space="preserve">K9 F0.309</t>
    </r>
    <r>
      <rPr>
        <sz val="11"/>
        <rFont val="Noto Sans CJK SC"/>
        <family val="2"/>
      </rPr>
      <t xml:space="preserve">이탈</t>
    </r>
    <r>
      <rPr>
        <sz val="11"/>
        <rFont val="Arial"/>
        <family val="0"/>
        <charset val="1"/>
      </rPr>
      <t xml:space="preserve">+62</t>
    </r>
    <r>
      <rPr>
        <sz val="11"/>
        <rFont val="Noto Sans CJK SC"/>
        <family val="2"/>
      </rPr>
      <t xml:space="preserve">하락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</si>
  <si>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P1 PTJ 20</t>
    </r>
    <r>
      <rPr>
        <sz val="11"/>
        <rFont val="Noto Sans CJK SC"/>
        <family val="2"/>
      </rPr>
      <t xml:space="preserve">고돌파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5:1 </t>
    </r>
    <r>
      <rPr>
        <sz val="11"/>
        <rFont val="Noto Sans CJK SC"/>
        <family val="2"/>
      </rPr>
      <t xml:space="preserve">브래킷</t>
    </r>
  </si>
  <si>
    <r>
      <rPr>
        <sz val="11"/>
        <rFont val="Arial"/>
        <family val="0"/>
        <charset val="1"/>
      </rPr>
      <t xml:space="preserve">P1 PTJ 20</t>
    </r>
    <r>
      <rPr>
        <sz val="11"/>
        <rFont val="Noto Sans CJK SC"/>
        <family val="2"/>
      </rPr>
      <t xml:space="preserve">고돌파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5:1 </t>
    </r>
    <r>
      <rPr>
        <sz val="11"/>
        <rFont val="Noto Sans CJK SC"/>
        <family val="2"/>
      </rPr>
      <t xml:space="preserve">브래킷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</si>
  <si>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P2 PTJ 20</t>
    </r>
    <r>
      <rPr>
        <sz val="11"/>
        <rFont val="Noto Sans CJK SC"/>
        <family val="2"/>
      </rPr>
      <t xml:space="preserve">고돌파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손절</t>
    </r>
    <r>
      <rPr>
        <sz val="11"/>
        <rFont val="Arial"/>
        <family val="0"/>
        <charset val="1"/>
      </rPr>
      <t xml:space="preserve">2ATR/</t>
    </r>
    <r>
      <rPr>
        <sz val="11"/>
        <rFont val="Noto Sans CJK SC"/>
        <family val="2"/>
      </rPr>
      <t xml:space="preserve">목표</t>
    </r>
    <r>
      <rPr>
        <sz val="11"/>
        <rFont val="Arial"/>
        <family val="0"/>
        <charset val="1"/>
      </rPr>
      <t xml:space="preserve">10ATR</t>
    </r>
  </si>
  <si>
    <r>
      <rPr>
        <sz val="11"/>
        <rFont val="Arial"/>
        <family val="0"/>
        <charset val="1"/>
      </rPr>
      <t xml:space="preserve">P2 PTJ 20</t>
    </r>
    <r>
      <rPr>
        <sz val="11"/>
        <rFont val="Noto Sans CJK SC"/>
        <family val="2"/>
      </rPr>
      <t xml:space="preserve">고돌파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손절</t>
    </r>
    <r>
      <rPr>
        <sz val="11"/>
        <rFont val="Arial"/>
        <family val="0"/>
        <charset val="1"/>
      </rPr>
      <t xml:space="preserve">2ATR/</t>
    </r>
    <r>
      <rPr>
        <sz val="11"/>
        <rFont val="Noto Sans CJK SC"/>
        <family val="2"/>
      </rPr>
      <t xml:space="preserve">목표</t>
    </r>
    <r>
      <rPr>
        <sz val="11"/>
        <rFont val="Arial"/>
        <family val="0"/>
        <charset val="1"/>
      </rPr>
      <t xml:space="preserve">10ATR+K62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</si>
  <si>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Q1 </t>
    </r>
    <r>
      <rPr>
        <sz val="11"/>
        <rFont val="Noto Sans CJK SC"/>
        <family val="2"/>
      </rPr>
      <t xml:space="preserve">쿨라매기 </t>
    </r>
    <r>
      <rPr>
        <sz val="11"/>
        <rFont val="Arial"/>
        <family val="0"/>
        <charset val="1"/>
      </rPr>
      <t xml:space="preserve">(60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+30%, 15</t>
    </r>
    <r>
      <rPr>
        <sz val="11"/>
        <rFont val="Noto Sans CJK SC"/>
        <family val="2"/>
      </rPr>
      <t xml:space="preserve">일박스</t>
    </r>
    <r>
      <rPr>
        <sz val="11"/>
        <rFont val="Arial"/>
        <family val="0"/>
        <charset val="1"/>
      </rPr>
      <t xml:space="preserve">&lt;15%, </t>
    </r>
    <r>
      <rPr>
        <sz val="11"/>
        <rFont val="Noto Sans CJK SC"/>
        <family val="2"/>
      </rPr>
      <t xml:space="preserve">거래량돌파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</si>
  <si>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Q1 </t>
    </r>
    <r>
      <rPr>
        <sz val="11"/>
        <rFont val="Noto Sans CJK SC"/>
        <family val="2"/>
      </rPr>
      <t xml:space="preserve">쿨라매기 </t>
    </r>
    <r>
      <rPr>
        <sz val="11"/>
        <rFont val="Arial"/>
        <family val="0"/>
        <charset val="1"/>
      </rPr>
      <t xml:space="preserve">(60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+30%, 15</t>
    </r>
    <r>
      <rPr>
        <sz val="11"/>
        <rFont val="Noto Sans CJK SC"/>
        <family val="2"/>
      </rPr>
      <t xml:space="preserve">일박스</t>
    </r>
    <r>
      <rPr>
        <sz val="11"/>
        <rFont val="Arial"/>
        <family val="0"/>
        <charset val="1"/>
      </rPr>
      <t xml:space="preserve">&lt;15%, </t>
    </r>
    <r>
      <rPr>
        <sz val="11"/>
        <rFont val="Noto Sans CJK SC"/>
        <family val="2"/>
      </rPr>
      <t xml:space="preserve">거래량돌파</t>
    </r>
    <r>
      <rPr>
        <sz val="11"/>
        <rFont val="Arial"/>
        <family val="0"/>
        <charset val="1"/>
      </rPr>
      <t xml:space="preserve">)+K62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</si>
  <si>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Q2 </t>
    </r>
    <r>
      <rPr>
        <sz val="11"/>
        <rFont val="Noto Sans CJK SC"/>
        <family val="2"/>
      </rPr>
      <t xml:space="preserve">쿨라매기 완화 </t>
    </r>
    <r>
      <rPr>
        <sz val="11"/>
        <rFont val="Arial"/>
        <family val="0"/>
        <charset val="1"/>
      </rPr>
      <t xml:space="preserve">(60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+20%,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&lt;20%)</t>
    </r>
  </si>
  <si>
    <r>
      <rPr>
        <sz val="11"/>
        <rFont val="Arial"/>
        <family val="0"/>
        <charset val="1"/>
      </rPr>
      <t xml:space="preserve">Q2 </t>
    </r>
    <r>
      <rPr>
        <sz val="11"/>
        <rFont val="Noto Sans CJK SC"/>
        <family val="2"/>
      </rPr>
      <t xml:space="preserve">쿨라매기 완화 </t>
    </r>
    <r>
      <rPr>
        <sz val="11"/>
        <rFont val="Arial"/>
        <family val="0"/>
        <charset val="1"/>
      </rPr>
      <t xml:space="preserve">(60</t>
    </r>
    <r>
      <rPr>
        <sz val="11"/>
        <rFont val="Noto Sans CJK SC"/>
        <family val="2"/>
      </rPr>
      <t xml:space="preserve">일</t>
    </r>
    <r>
      <rPr>
        <sz val="11"/>
        <rFont val="Arial"/>
        <family val="0"/>
        <charset val="1"/>
      </rPr>
      <t xml:space="preserve">+20%, </t>
    </r>
    <r>
      <rPr>
        <sz val="11"/>
        <rFont val="Noto Sans CJK SC"/>
        <family val="2"/>
      </rPr>
      <t xml:space="preserve">박스</t>
    </r>
    <r>
      <rPr>
        <sz val="11"/>
        <rFont val="Arial"/>
        <family val="0"/>
        <charset val="1"/>
      </rPr>
      <t xml:space="preserve">&lt;20%)+K62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</si>
  <si>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Q3 </t>
    </r>
    <r>
      <rPr>
        <sz val="11"/>
        <rFont val="Noto Sans CJK SC"/>
        <family val="2"/>
      </rPr>
      <t xml:space="preserve">쿨라매기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조정기 거래량감소</t>
    </r>
  </si>
  <si>
    <r>
      <rPr>
        <sz val="11"/>
        <rFont val="Arial"/>
        <family val="0"/>
        <charset val="1"/>
      </rPr>
      <t xml:space="preserve">Q3 </t>
    </r>
    <r>
      <rPr>
        <sz val="11"/>
        <rFont val="Noto Sans CJK SC"/>
        <family val="2"/>
      </rPr>
      <t xml:space="preserve">쿨라매기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조정기 거래량감소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</si>
  <si>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Q4 </t>
    </r>
    <r>
      <rPr>
        <sz val="11"/>
        <rFont val="Noto Sans CJK SC"/>
        <family val="2"/>
      </rPr>
      <t xml:space="preserve">쿨라매기</t>
    </r>
    <r>
      <rPr>
        <sz val="11"/>
        <rFont val="Arial"/>
        <family val="0"/>
        <charset val="1"/>
      </rPr>
      <t xml:space="preserve">, 20</t>
    </r>
    <r>
      <rPr>
        <sz val="11"/>
        <rFont val="Noto Sans CJK SC"/>
        <family val="2"/>
      </rPr>
      <t xml:space="preserve">일선 이탈 청산</t>
    </r>
  </si>
  <si>
    <r>
      <rPr>
        <sz val="11"/>
        <rFont val="Arial"/>
        <family val="0"/>
        <charset val="1"/>
      </rPr>
      <t xml:space="preserve">Q4 </t>
    </r>
    <r>
      <rPr>
        <sz val="11"/>
        <rFont val="Noto Sans CJK SC"/>
        <family val="2"/>
      </rPr>
      <t xml:space="preserve">쿨라매기</t>
    </r>
    <r>
      <rPr>
        <sz val="11"/>
        <rFont val="Arial"/>
        <family val="0"/>
        <charset val="1"/>
      </rPr>
      <t xml:space="preserve">, 20</t>
    </r>
    <r>
      <rPr>
        <sz val="11"/>
        <rFont val="Noto Sans CJK SC"/>
        <family val="2"/>
      </rPr>
      <t xml:space="preserve">일선 이탈 청산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</si>
  <si>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R1 RSI30</t>
    </r>
    <r>
      <rPr>
        <sz val="11"/>
        <rFont val="Noto Sans CJK SC"/>
        <family val="2"/>
      </rPr>
      <t xml:space="preserve">상향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</si>
  <si>
    <r>
      <rPr>
        <sz val="11"/>
        <rFont val="Arial"/>
        <family val="0"/>
        <charset val="1"/>
      </rPr>
      <t xml:space="preserve">R1 RSI30</t>
    </r>
    <r>
      <rPr>
        <sz val="11"/>
        <rFont val="Noto Sans CJK SC"/>
        <family val="2"/>
      </rPr>
      <t xml:space="preserve">상향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</si>
  <si>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R2 RSI30</t>
    </r>
    <r>
      <rPr>
        <sz val="11"/>
        <rFont val="Noto Sans CJK SC"/>
        <family val="2"/>
      </rPr>
      <t xml:space="preserve">상향</t>
    </r>
    <r>
      <rPr>
        <sz val="11"/>
        <rFont val="Arial"/>
        <family val="0"/>
        <charset val="1"/>
      </rPr>
      <t xml:space="preserve">+62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</si>
  <si>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R2 RSI30</t>
    </r>
    <r>
      <rPr>
        <sz val="11"/>
        <rFont val="Noto Sans CJK SC"/>
        <family val="2"/>
      </rPr>
      <t xml:space="preserve">상향</t>
    </r>
    <r>
      <rPr>
        <sz val="11"/>
        <rFont val="Arial"/>
        <family val="0"/>
        <charset val="1"/>
      </rPr>
      <t xml:space="preserve">+62</t>
    </r>
    <r>
      <rPr>
        <sz val="11"/>
        <rFont val="Noto Sans CJK SC"/>
        <family val="2"/>
      </rPr>
      <t xml:space="preserve">상승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</si>
  <si>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R3 RSI&lt;30 </t>
    </r>
    <r>
      <rPr>
        <sz val="11"/>
        <rFont val="Noto Sans CJK SC"/>
        <family val="2"/>
      </rPr>
      <t xml:space="preserve">종가 </t>
    </r>
    <r>
      <rPr>
        <sz val="11"/>
        <rFont val="Arial"/>
        <family val="0"/>
        <charset val="1"/>
      </rPr>
      <t xml:space="preserve">(248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), RSI50</t>
    </r>
    <r>
      <rPr>
        <sz val="11"/>
        <rFont val="Noto Sans CJK SC"/>
        <family val="2"/>
      </rPr>
      <t xml:space="preserve">회복 청산</t>
    </r>
  </si>
  <si>
    <r>
      <rPr>
        <sz val="11"/>
        <rFont val="Arial"/>
        <family val="0"/>
        <charset val="1"/>
      </rPr>
      <t xml:space="preserve">R3 RSI&lt;30 </t>
    </r>
    <r>
      <rPr>
        <sz val="11"/>
        <rFont val="Noto Sans CJK SC"/>
        <family val="2"/>
      </rPr>
      <t xml:space="preserve">종가 </t>
    </r>
    <r>
      <rPr>
        <sz val="11"/>
        <rFont val="Arial"/>
        <family val="0"/>
        <charset val="1"/>
      </rPr>
      <t xml:space="preserve">(248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), RSI50</t>
    </r>
    <r>
      <rPr>
        <sz val="11"/>
        <rFont val="Noto Sans CJK SC"/>
        <family val="2"/>
      </rPr>
      <t xml:space="preserve">회복 청산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</si>
  <si>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T1 </t>
    </r>
    <r>
      <rPr>
        <sz val="11"/>
        <rFont val="Noto Sans CJK SC"/>
        <family val="2"/>
      </rPr>
      <t xml:space="preserve">터틀</t>
    </r>
    <r>
      <rPr>
        <sz val="11"/>
        <rFont val="Arial"/>
        <family val="0"/>
        <charset val="1"/>
      </rPr>
      <t xml:space="preserve">20 (20</t>
    </r>
    <r>
      <rPr>
        <sz val="11"/>
        <rFont val="Noto Sans CJK SC"/>
        <family val="2"/>
      </rPr>
      <t xml:space="preserve">고돌파</t>
    </r>
    <r>
      <rPr>
        <sz val="11"/>
        <rFont val="Arial"/>
        <family val="0"/>
        <charset val="1"/>
      </rPr>
      <t xml:space="preserve">/10</t>
    </r>
    <r>
      <rPr>
        <sz val="11"/>
        <rFont val="Noto Sans CJK SC"/>
        <family val="2"/>
      </rPr>
      <t xml:space="preserve">저이탈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</si>
  <si>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T1 </t>
    </r>
    <r>
      <rPr>
        <sz val="11"/>
        <rFont val="Noto Sans CJK SC"/>
        <family val="2"/>
      </rPr>
      <t xml:space="preserve">터틀</t>
    </r>
    <r>
      <rPr>
        <sz val="11"/>
        <rFont val="Arial"/>
        <family val="0"/>
        <charset val="1"/>
      </rPr>
      <t xml:space="preserve">20 (20</t>
    </r>
    <r>
      <rPr>
        <sz val="11"/>
        <rFont val="Noto Sans CJK SC"/>
        <family val="2"/>
      </rPr>
      <t xml:space="preserve">고돌파</t>
    </r>
    <r>
      <rPr>
        <sz val="11"/>
        <rFont val="Arial"/>
        <family val="0"/>
        <charset val="1"/>
      </rPr>
      <t xml:space="preserve">/10</t>
    </r>
    <r>
      <rPr>
        <sz val="11"/>
        <rFont val="Noto Sans CJK SC"/>
        <family val="2"/>
      </rPr>
      <t xml:space="preserve">저이탈</t>
    </r>
    <r>
      <rPr>
        <sz val="11"/>
        <rFont val="Arial"/>
        <family val="0"/>
        <charset val="1"/>
      </rPr>
      <t xml:space="preserve">)+K62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</si>
  <si>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T2 </t>
    </r>
    <r>
      <rPr>
        <sz val="11"/>
        <rFont val="Noto Sans CJK SC"/>
        <family val="2"/>
      </rPr>
      <t xml:space="preserve">터틀</t>
    </r>
    <r>
      <rPr>
        <sz val="11"/>
        <rFont val="Arial"/>
        <family val="0"/>
        <charset val="1"/>
      </rPr>
      <t xml:space="preserve">55 (55</t>
    </r>
    <r>
      <rPr>
        <sz val="11"/>
        <rFont val="Noto Sans CJK SC"/>
        <family val="2"/>
      </rPr>
      <t xml:space="preserve">고돌파</t>
    </r>
    <r>
      <rPr>
        <sz val="11"/>
        <rFont val="Arial"/>
        <family val="0"/>
        <charset val="1"/>
      </rPr>
      <t xml:space="preserve">/20</t>
    </r>
    <r>
      <rPr>
        <sz val="11"/>
        <rFont val="Noto Sans CJK SC"/>
        <family val="2"/>
      </rPr>
      <t xml:space="preserve">저이탈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</si>
  <si>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T2 </t>
    </r>
    <r>
      <rPr>
        <sz val="11"/>
        <rFont val="Noto Sans CJK SC"/>
        <family val="2"/>
      </rPr>
      <t xml:space="preserve">터틀</t>
    </r>
    <r>
      <rPr>
        <sz val="11"/>
        <rFont val="Arial"/>
        <family val="0"/>
        <charset val="1"/>
      </rPr>
      <t xml:space="preserve">55 (55</t>
    </r>
    <r>
      <rPr>
        <sz val="11"/>
        <rFont val="Noto Sans CJK SC"/>
        <family val="2"/>
      </rPr>
      <t xml:space="preserve">고돌파</t>
    </r>
    <r>
      <rPr>
        <sz val="11"/>
        <rFont val="Arial"/>
        <family val="0"/>
        <charset val="1"/>
      </rPr>
      <t xml:space="preserve">/20</t>
    </r>
    <r>
      <rPr>
        <sz val="11"/>
        <rFont val="Noto Sans CJK SC"/>
        <family val="2"/>
      </rPr>
      <t xml:space="preserve">저이탈</t>
    </r>
    <r>
      <rPr>
        <sz val="11"/>
        <rFont val="Arial"/>
        <family val="0"/>
        <charset val="1"/>
      </rPr>
      <t xml:space="preserve">)+K62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</si>
  <si>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T3 </t>
    </r>
    <r>
      <rPr>
        <sz val="11"/>
        <rFont val="Noto Sans CJK SC"/>
        <family val="2"/>
      </rPr>
      <t xml:space="preserve">터틀</t>
    </r>
    <r>
      <rPr>
        <sz val="11"/>
        <rFont val="Arial"/>
        <family val="0"/>
        <charset val="1"/>
      </rPr>
      <t xml:space="preserve">20+248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거래량</t>
    </r>
  </si>
  <si>
    <r>
      <rPr>
        <sz val="11"/>
        <rFont val="Arial"/>
        <family val="0"/>
        <charset val="1"/>
      </rPr>
      <t xml:space="preserve">T3 </t>
    </r>
    <r>
      <rPr>
        <sz val="11"/>
        <rFont val="Noto Sans CJK SC"/>
        <family val="2"/>
      </rPr>
      <t xml:space="preserve">터틀</t>
    </r>
    <r>
      <rPr>
        <sz val="11"/>
        <rFont val="Arial"/>
        <family val="0"/>
        <charset val="1"/>
      </rPr>
      <t xml:space="preserve">20+248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거래량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</si>
  <si>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T4 </t>
    </r>
    <r>
      <rPr>
        <sz val="11"/>
        <rFont val="Noto Sans CJK SC"/>
        <family val="2"/>
      </rPr>
      <t xml:space="preserve">터틀</t>
    </r>
    <r>
      <rPr>
        <sz val="11"/>
        <rFont val="Arial"/>
        <family val="0"/>
        <charset val="1"/>
      </rPr>
      <t xml:space="preserve">55+248</t>
    </r>
    <r>
      <rPr>
        <sz val="11"/>
        <rFont val="Noto Sans CJK SC"/>
        <family val="2"/>
      </rPr>
      <t xml:space="preserve">위</t>
    </r>
  </si>
  <si>
    <r>
      <rPr>
        <sz val="11"/>
        <rFont val="Arial"/>
        <family val="0"/>
        <charset val="1"/>
      </rPr>
      <t xml:space="preserve">T4 </t>
    </r>
    <r>
      <rPr>
        <sz val="11"/>
        <rFont val="Noto Sans CJK SC"/>
        <family val="2"/>
      </rPr>
      <t xml:space="preserve">터틀</t>
    </r>
    <r>
      <rPr>
        <sz val="11"/>
        <rFont val="Arial"/>
        <family val="0"/>
        <charset val="1"/>
      </rPr>
      <t xml:space="preserve">55+248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</si>
  <si>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W1 </t>
    </r>
    <r>
      <rPr>
        <sz val="11"/>
        <rFont val="Noto Sans CJK SC"/>
        <family val="2"/>
      </rPr>
      <t xml:space="preserve">스프링 </t>
    </r>
    <r>
      <rPr>
        <sz val="11"/>
        <rFont val="Arial"/>
        <family val="0"/>
        <charset val="1"/>
      </rPr>
      <t xml:space="preserve">(3</t>
    </r>
    <r>
      <rPr>
        <sz val="11"/>
        <rFont val="Noto Sans CJK SC"/>
        <family val="2"/>
      </rPr>
      <t xml:space="preserve">일내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저이탈 후 회복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</si>
  <si>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W1 </t>
    </r>
    <r>
      <rPr>
        <sz val="11"/>
        <rFont val="Noto Sans CJK SC"/>
        <family val="2"/>
      </rPr>
      <t xml:space="preserve">스프링 </t>
    </r>
    <r>
      <rPr>
        <sz val="11"/>
        <rFont val="Arial"/>
        <family val="0"/>
        <charset val="1"/>
      </rPr>
      <t xml:space="preserve">(3</t>
    </r>
    <r>
      <rPr>
        <sz val="11"/>
        <rFont val="Noto Sans CJK SC"/>
        <family val="2"/>
      </rPr>
      <t xml:space="preserve">일내 </t>
    </r>
    <r>
      <rPr>
        <sz val="11"/>
        <rFont val="Arial"/>
        <family val="0"/>
        <charset val="1"/>
      </rPr>
      <t xml:space="preserve">20</t>
    </r>
    <r>
      <rPr>
        <sz val="11"/>
        <rFont val="Noto Sans CJK SC"/>
        <family val="2"/>
      </rPr>
      <t xml:space="preserve">저이탈 후 회복</t>
    </r>
    <r>
      <rPr>
        <sz val="11"/>
        <rFont val="Arial"/>
        <family val="0"/>
        <charset val="1"/>
      </rPr>
      <t xml:space="preserve">)+K62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</si>
  <si>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W2 </t>
    </r>
    <r>
      <rPr>
        <sz val="11"/>
        <rFont val="Noto Sans CJK SC"/>
        <family val="2"/>
      </rPr>
      <t xml:space="preserve">스프링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</si>
  <si>
    <r>
      <rPr>
        <sz val="11"/>
        <rFont val="Arial"/>
        <family val="0"/>
        <charset val="1"/>
      </rPr>
      <t xml:space="preserve">W2 </t>
    </r>
    <r>
      <rPr>
        <sz val="11"/>
        <rFont val="Noto Sans CJK SC"/>
        <family val="2"/>
      </rPr>
      <t xml:space="preserve">스프링</t>
    </r>
    <r>
      <rPr>
        <sz val="11"/>
        <rFont val="Arial"/>
        <family val="0"/>
        <charset val="1"/>
      </rPr>
      <t xml:space="preserve">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</si>
  <si>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W3 </t>
    </r>
    <r>
      <rPr>
        <sz val="11"/>
        <rFont val="Noto Sans CJK SC"/>
        <family val="2"/>
      </rPr>
      <t xml:space="preserve">스프링</t>
    </r>
    <r>
      <rPr>
        <sz val="11"/>
        <rFont val="Arial"/>
        <family val="0"/>
        <charset val="1"/>
      </rPr>
      <t xml:space="preserve">+62</t>
    </r>
    <r>
      <rPr>
        <sz val="11"/>
        <rFont val="Noto Sans CJK SC"/>
        <family val="2"/>
      </rPr>
      <t xml:space="preserve">상승 </t>
    </r>
    <r>
      <rPr>
        <sz val="11"/>
        <rFont val="Arial"/>
        <family val="0"/>
        <charset val="1"/>
      </rPr>
      <t xml:space="preserve">(=K2 </t>
    </r>
    <r>
      <rPr>
        <sz val="11"/>
        <rFont val="Noto Sans CJK SC"/>
        <family val="2"/>
      </rPr>
      <t xml:space="preserve">변형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</si>
  <si>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W3 </t>
    </r>
    <r>
      <rPr>
        <sz val="11"/>
        <rFont val="Noto Sans CJK SC"/>
        <family val="2"/>
      </rPr>
      <t xml:space="preserve">스프링</t>
    </r>
    <r>
      <rPr>
        <sz val="11"/>
        <rFont val="Arial"/>
        <family val="0"/>
        <charset val="1"/>
      </rPr>
      <t xml:space="preserve">+62</t>
    </r>
    <r>
      <rPr>
        <sz val="11"/>
        <rFont val="Noto Sans CJK SC"/>
        <family val="2"/>
      </rPr>
      <t xml:space="preserve">상승 </t>
    </r>
    <r>
      <rPr>
        <sz val="11"/>
        <rFont val="Arial"/>
        <family val="0"/>
        <charset val="1"/>
      </rPr>
      <t xml:space="preserve">(=K2 </t>
    </r>
    <r>
      <rPr>
        <sz val="11"/>
        <rFont val="Noto Sans CJK SC"/>
        <family val="2"/>
      </rPr>
      <t xml:space="preserve">변형</t>
    </r>
    <r>
      <rPr>
        <sz val="11"/>
        <rFont val="Arial"/>
        <family val="0"/>
        <charset val="1"/>
      </rPr>
      <t xml:space="preserve">)+K62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</si>
  <si>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W4 </t>
    </r>
    <r>
      <rPr>
        <sz val="11"/>
        <rFont val="Noto Sans CJK SC"/>
        <family val="2"/>
      </rPr>
      <t xml:space="preserve">스프링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거래량감소</t>
    </r>
  </si>
  <si>
    <r>
      <rPr>
        <sz val="11"/>
        <rFont val="Arial"/>
        <family val="0"/>
        <charset val="1"/>
      </rPr>
      <t xml:space="preserve">W4 </t>
    </r>
    <r>
      <rPr>
        <sz val="11"/>
        <rFont val="Noto Sans CJK SC"/>
        <family val="2"/>
      </rPr>
      <t xml:space="preserve">스프링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거래량감소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</si>
  <si>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W5 </t>
    </r>
    <r>
      <rPr>
        <sz val="11"/>
        <rFont val="Noto Sans CJK SC"/>
        <family val="2"/>
      </rPr>
      <t xml:space="preserve">스프링</t>
    </r>
    <r>
      <rPr>
        <sz val="11"/>
        <rFont val="Arial"/>
        <family val="0"/>
        <charset val="1"/>
      </rPr>
      <t xml:space="preserve">55 (55</t>
    </r>
    <r>
      <rPr>
        <sz val="11"/>
        <rFont val="Noto Sans CJK SC"/>
        <family val="2"/>
      </rPr>
      <t xml:space="preserve">일 저가 이탈 후 회복</t>
    </r>
    <r>
      <rPr>
        <sz val="11"/>
        <rFont val="Arial"/>
        <family val="0"/>
        <charset val="1"/>
      </rPr>
      <t xml:space="preserve">)+248</t>
    </r>
    <r>
      <rPr>
        <sz val="11"/>
        <rFont val="Noto Sans CJK SC"/>
        <family val="2"/>
      </rPr>
      <t xml:space="preserve">위</t>
    </r>
  </si>
  <si>
    <r>
      <rPr>
        <sz val="11"/>
        <rFont val="Arial"/>
        <family val="0"/>
        <charset val="1"/>
      </rPr>
      <t xml:space="preserve">W5 </t>
    </r>
    <r>
      <rPr>
        <sz val="11"/>
        <rFont val="Noto Sans CJK SC"/>
        <family val="2"/>
      </rPr>
      <t xml:space="preserve">스프링</t>
    </r>
    <r>
      <rPr>
        <sz val="11"/>
        <rFont val="Arial"/>
        <family val="0"/>
        <charset val="1"/>
      </rPr>
      <t xml:space="preserve">55 (55</t>
    </r>
    <r>
      <rPr>
        <sz val="11"/>
        <rFont val="Noto Sans CJK SC"/>
        <family val="2"/>
      </rPr>
      <t xml:space="preserve">일 저가 이탈 후 회복</t>
    </r>
    <r>
      <rPr>
        <sz val="11"/>
        <rFont val="Arial"/>
        <family val="0"/>
        <charset val="1"/>
      </rPr>
      <t xml:space="preserve">)+248</t>
    </r>
    <r>
      <rPr>
        <sz val="11"/>
        <rFont val="Noto Sans CJK SC"/>
        <family val="2"/>
      </rPr>
      <t xml:space="preserve">위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</si>
  <si>
    <r>
      <rPr>
        <sz val="11"/>
        <rFont val="Arial"/>
        <family val="0"/>
        <charset val="1"/>
      </rPr>
      <t xml:space="preserve">W6 </t>
    </r>
    <r>
      <rPr>
        <sz val="11"/>
        <rFont val="Noto Sans CJK SC"/>
        <family val="2"/>
      </rPr>
      <t xml:space="preserve">스프링</t>
    </r>
    <r>
      <rPr>
        <sz val="11"/>
        <rFont val="Arial"/>
        <family val="0"/>
        <charset val="1"/>
      </rPr>
      <t xml:space="preserve">55 + </t>
    </r>
    <r>
      <rPr>
        <sz val="11"/>
        <rFont val="Noto Sans CJK SC"/>
        <family val="2"/>
      </rPr>
      <t xml:space="preserve">거래량 돌파일</t>
    </r>
    <r>
      <rPr>
        <sz val="11"/>
        <rFont val="Arial"/>
        <family val="0"/>
        <charset val="1"/>
      </rPr>
      <t xml:space="preserve">&lt;</t>
    </r>
    <r>
      <rPr>
        <sz val="11"/>
        <rFont val="Noto Sans CJK SC"/>
        <family val="2"/>
      </rPr>
      <t xml:space="preserve">이탈일</t>
    </r>
  </si>
  <si>
    <r>
      <rPr>
        <sz val="11"/>
        <rFont val="Arial"/>
        <family val="0"/>
        <charset val="1"/>
      </rPr>
      <t xml:space="preserve">W6 </t>
    </r>
    <r>
      <rPr>
        <sz val="11"/>
        <rFont val="Noto Sans CJK SC"/>
        <family val="2"/>
      </rPr>
      <t xml:space="preserve">스프링</t>
    </r>
    <r>
      <rPr>
        <sz val="11"/>
        <rFont val="Arial"/>
        <family val="0"/>
        <charset val="1"/>
      </rPr>
      <t xml:space="preserve">55 + </t>
    </r>
    <r>
      <rPr>
        <sz val="11"/>
        <rFont val="Noto Sans CJK SC"/>
        <family val="2"/>
      </rPr>
      <t xml:space="preserve">거래량 돌파일</t>
    </r>
    <r>
      <rPr>
        <sz val="11"/>
        <rFont val="Arial"/>
        <family val="0"/>
        <charset val="1"/>
      </rPr>
      <t xml:space="preserve">&lt;</t>
    </r>
    <r>
      <rPr>
        <sz val="11"/>
        <rFont val="Noto Sans CJK SC"/>
        <family val="2"/>
      </rPr>
      <t xml:space="preserve">이탈일</t>
    </r>
    <r>
      <rPr>
        <sz val="11"/>
        <rFont val="Arial"/>
        <family val="0"/>
        <charset val="1"/>
      </rPr>
      <t xml:space="preserve">+K62</t>
    </r>
    <r>
      <rPr>
        <sz val="11"/>
        <rFont val="Noto Sans CJK SC"/>
        <family val="2"/>
      </rPr>
      <t xml:space="preserve">상승</t>
    </r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</si>
</sst>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%"/>
    <numFmt numFmtId="167" formatCode="0.00"/>
    <numFmt numFmtId="168" formatCode="0.0\배"/>
    <numFmt numFmtId="169" formatCode="\+0.0%;\-0.0%"/>
    <numFmt numFmtId="170" formatCode="General"/>
    <numFmt numFmtId="171" formatCode="0%"/>
    <numFmt numFmtId="172" formatCode="\+0%;\-0%"/>
    <numFmt numFmtId="173" formatCode="yyyy\-mm\-dd"/>
    <numFmt numFmtId="174" formatCode="#,##0"/>
    <numFmt numFmtId="175" formatCode="\+0.00%;\-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COUNTA(거래!A5:A593)</f>
        <v>589</v>
      </c>
      <c r="C5" s="2"/>
    </row>
    <row r="6" customFormat="false" ht="15" hidden="false" customHeight="false" outlineLevel="0" collapsed="false">
      <c r="A6" s="4" t="s">
        <v>6</v>
      </c>
      <c r="B6" s="6" t="n">
        <f aca="false">COUNTIF(거래!K5:K593,"&gt;0")/COUNTA(거래!A5:A593)</f>
        <v>0.32258064516129</v>
      </c>
      <c r="C6" s="2"/>
    </row>
    <row r="7" customFormat="false" ht="15" hidden="false" customHeight="false" outlineLevel="0" collapsed="false">
      <c r="A7" s="4" t="s">
        <v>7</v>
      </c>
      <c r="B7" s="6" t="n">
        <f aca="false">AVERAGE(거래!K5:K593)</f>
        <v>0.0522286750103546</v>
      </c>
      <c r="C7" s="2" t="s">
        <v>8</v>
      </c>
    </row>
    <row r="8" customFormat="false" ht="15" hidden="false" customHeight="false" outlineLevel="0" collapsed="false">
      <c r="A8" s="4" t="s">
        <v>9</v>
      </c>
      <c r="B8" s="6" t="n">
        <f aca="false">MEDIAN(거래!K5:K593)</f>
        <v>-0.0351604202955553</v>
      </c>
      <c r="C8" s="2"/>
    </row>
    <row r="9" customFormat="false" ht="17.15" hidden="false" customHeight="false" outlineLevel="0" collapsed="false">
      <c r="A9" s="4" t="s">
        <v>10</v>
      </c>
      <c r="B9" s="6" t="n">
        <f aca="false">MAX(거래!K5:K593)</f>
        <v>6.30375638723933</v>
      </c>
      <c r="C9" s="2"/>
    </row>
    <row r="10" customFormat="false" ht="17.15" hidden="false" customHeight="false" outlineLevel="0" collapsed="false">
      <c r="A10" s="4" t="s">
        <v>11</v>
      </c>
      <c r="B10" s="6" t="n">
        <f aca="false">MIN(거래!K5:K593)</f>
        <v>-0.349937172202797</v>
      </c>
      <c r="C10" s="2"/>
    </row>
    <row r="11" customFormat="false" ht="15" hidden="false" customHeight="false" outlineLevel="0" collapsed="false">
      <c r="A11" s="4" t="s">
        <v>12</v>
      </c>
      <c r="B11" s="5" t="n">
        <f aca="false">AVERAGE(거래!L5:L593)</f>
        <v>21.1799660441426</v>
      </c>
      <c r="C11" s="2"/>
    </row>
    <row r="12" customFormat="false" ht="15" hidden="false" customHeight="false" outlineLevel="0" collapsed="false">
      <c r="A12" s="4" t="s">
        <v>13</v>
      </c>
      <c r="B12" s="5" t="n">
        <f aca="false">COUNTIF(거래!M5:M593,"손절")</f>
        <v>208</v>
      </c>
      <c r="C12" s="2"/>
    </row>
    <row r="13" customFormat="false" ht="17.15" hidden="false" customHeight="false" outlineLevel="0" collapsed="false">
      <c r="A13" s="7" t="s">
        <v>14</v>
      </c>
      <c r="B13" s="6" t="n">
        <v>0.270022044206176</v>
      </c>
      <c r="C13" s="2" t="s">
        <v>15</v>
      </c>
    </row>
    <row r="14" customFormat="false" ht="15" hidden="false" customHeight="false" outlineLevel="0" collapsed="false">
      <c r="A14" s="4" t="s">
        <v>16</v>
      </c>
      <c r="B14" s="6" t="n">
        <v>-0.439825216862653</v>
      </c>
      <c r="C14" s="8" t="s">
        <v>17</v>
      </c>
    </row>
    <row r="15" customFormat="false" ht="15" hidden="false" customHeight="false" outlineLevel="0" collapsed="false">
      <c r="A15" s="7" t="s">
        <v>18</v>
      </c>
      <c r="B15" s="9" t="n">
        <v>0.885445971890267</v>
      </c>
      <c r="C15" s="2"/>
    </row>
    <row r="16" customFormat="false" ht="17.15" hidden="false" customHeight="false" outlineLevel="0" collapsed="false">
      <c r="A16" s="4" t="s">
        <v>19</v>
      </c>
      <c r="B16" s="10" t="n">
        <v>8.58344914839232</v>
      </c>
      <c r="C16" s="2"/>
    </row>
    <row r="17" customFormat="false" ht="15" hidden="false" customHeight="false" outlineLevel="0" collapsed="false">
      <c r="A17" s="7" t="s">
        <v>20</v>
      </c>
      <c r="B17" s="7" t="s">
        <v>21</v>
      </c>
      <c r="C17" s="8" t="s">
        <v>22</v>
      </c>
    </row>
    <row r="18" customFormat="false" ht="17.15" hidden="false" customHeight="false" outlineLevel="0" collapsed="false">
      <c r="A18" s="7" t="s">
        <v>23</v>
      </c>
      <c r="B18" s="7" t="s">
        <v>24</v>
      </c>
      <c r="C18" s="8" t="s">
        <v>25</v>
      </c>
    </row>
    <row r="19" customFormat="false" ht="17.15" hidden="false" customHeight="false" outlineLevel="0" collapsed="false">
      <c r="A19" s="4" t="s">
        <v>26</v>
      </c>
      <c r="B19" s="7" t="s">
        <v>27</v>
      </c>
      <c r="C19" s="8" t="s">
        <v>28</v>
      </c>
    </row>
    <row r="20" customFormat="false" ht="17.15" hidden="false" customHeight="false" outlineLevel="0" collapsed="false">
      <c r="A20" s="4" t="s">
        <v>29</v>
      </c>
      <c r="B20" s="7" t="s">
        <v>30</v>
      </c>
      <c r="C20" s="8" t="s">
        <v>31</v>
      </c>
    </row>
    <row r="21" customFormat="false" ht="17.15" hidden="false" customHeight="false" outlineLevel="0" collapsed="false">
      <c r="A21" s="4" t="s">
        <v>32</v>
      </c>
      <c r="B21" s="7" t="s">
        <v>33</v>
      </c>
      <c r="C21" s="2" t="s">
        <v>34</v>
      </c>
    </row>
    <row r="22" customFormat="false" ht="17.15" hidden="false" customHeight="false" outlineLevel="0" collapsed="false">
      <c r="A22" s="4" t="s">
        <v>35</v>
      </c>
      <c r="B22" s="7" t="s">
        <v>36</v>
      </c>
      <c r="C22" s="2"/>
    </row>
    <row r="23" customFormat="false" ht="17.15" hidden="false" customHeight="false" outlineLevel="0" collapsed="false">
      <c r="A23" s="4" t="s">
        <v>37</v>
      </c>
      <c r="B23" s="7" t="s">
        <v>38</v>
      </c>
      <c r="C23" s="2" t="s">
        <v>39</v>
      </c>
    </row>
    <row r="24" customFormat="false" ht="17.15" hidden="false" customHeight="false" outlineLevel="0" collapsed="false">
      <c r="A24" s="4" t="s">
        <v>40</v>
      </c>
      <c r="B24" s="7" t="s">
        <v>41</v>
      </c>
      <c r="C24" s="2"/>
    </row>
    <row r="26" customFormat="false" ht="17.15" hidden="false" customHeight="false" outlineLevel="0" collapsed="false">
      <c r="A26" s="11" t="s">
        <v>42</v>
      </c>
    </row>
    <row r="27" customFormat="false" ht="15" hidden="false" customHeight="false" outlineLevel="0" collapsed="false">
      <c r="A27" s="4" t="n">
        <v>2017</v>
      </c>
      <c r="B27" s="12" t="n">
        <v>0</v>
      </c>
    </row>
    <row r="28" customFormat="false" ht="15" hidden="false" customHeight="false" outlineLevel="0" collapsed="false">
      <c r="A28" s="4" t="n">
        <v>2018</v>
      </c>
      <c r="B28" s="12" t="n">
        <v>-0.0525580613555247</v>
      </c>
    </row>
    <row r="29" customFormat="false" ht="15" hidden="false" customHeight="false" outlineLevel="0" collapsed="false">
      <c r="A29" s="4" t="n">
        <v>2019</v>
      </c>
      <c r="B29" s="12" t="n">
        <v>0.0777520659145716</v>
      </c>
    </row>
    <row r="30" customFormat="false" ht="15" hidden="false" customHeight="false" outlineLevel="0" collapsed="false">
      <c r="A30" s="4" t="n">
        <v>2020</v>
      </c>
      <c r="B30" s="12" t="n">
        <v>0.937266918065195</v>
      </c>
    </row>
    <row r="31" customFormat="false" ht="15" hidden="false" customHeight="false" outlineLevel="0" collapsed="false">
      <c r="A31" s="4" t="n">
        <v>2021</v>
      </c>
      <c r="B31" s="12" t="n">
        <v>0.206914430484905</v>
      </c>
    </row>
    <row r="32" customFormat="false" ht="15" hidden="false" customHeight="false" outlineLevel="0" collapsed="false">
      <c r="A32" s="4" t="n">
        <v>2022</v>
      </c>
      <c r="B32" s="12" t="n">
        <v>-0.0317762221723124</v>
      </c>
    </row>
    <row r="33" customFormat="false" ht="15" hidden="false" customHeight="false" outlineLevel="0" collapsed="false">
      <c r="A33" s="4" t="n">
        <v>2023</v>
      </c>
      <c r="B33" s="12" t="n">
        <v>1.21905134918712</v>
      </c>
    </row>
    <row r="34" customFormat="false" ht="15" hidden="false" customHeight="false" outlineLevel="0" collapsed="false">
      <c r="A34" s="4" t="n">
        <v>2024</v>
      </c>
      <c r="B34" s="12" t="n">
        <v>0.108336744153821</v>
      </c>
    </row>
    <row r="35" customFormat="false" ht="15" hidden="false" customHeight="false" outlineLevel="0" collapsed="false">
      <c r="A35" s="4" t="n">
        <v>2025</v>
      </c>
      <c r="B35" s="12" t="n">
        <v>0.628055217398706</v>
      </c>
    </row>
    <row r="36" customFormat="false" ht="15" hidden="false" customHeight="false" outlineLevel="0" collapsed="false">
      <c r="A36" s="4" t="n">
        <v>2026</v>
      </c>
      <c r="B36" s="12" t="n">
        <v>-0.0726568471471506</v>
      </c>
    </row>
    <row r="39" customFormat="false" ht="17.15" hidden="false" customHeight="false" outlineLevel="0" collapsed="false">
      <c r="A39" s="11" t="s">
        <v>43</v>
      </c>
    </row>
    <row r="40" customFormat="false" ht="17.15" hidden="false" customHeight="false" outlineLevel="0" collapsed="false">
      <c r="A40" s="3" t="s">
        <v>44</v>
      </c>
      <c r="B40" s="3" t="s">
        <v>45</v>
      </c>
      <c r="C40" s="3" t="s">
        <v>6</v>
      </c>
      <c r="D40" s="3" t="s">
        <v>46</v>
      </c>
      <c r="E40" s="3" t="s">
        <v>47</v>
      </c>
    </row>
    <row r="41" customFormat="false" ht="15" hidden="false" customHeight="false" outlineLevel="0" collapsed="false">
      <c r="A41" s="7" t="s">
        <v>48</v>
      </c>
      <c r="B41" s="13" t="n">
        <f aca="false">COUNTIF(거래!C5:C593,A41)</f>
        <v>47</v>
      </c>
      <c r="C41" s="14" t="n">
        <f aca="false">IFERROR(COUNTIFS(거래!C5:C593,A41,거래!K5:K593,"&gt;0")/B41,0)</f>
        <v>0.446808510638298</v>
      </c>
      <c r="D41" s="15" t="n">
        <f aca="false">IFERROR(AVERAGEIF(거래!C5:C593,A41,거래!K5:K593),0)</f>
        <v>0.0168457099594998</v>
      </c>
      <c r="E41" s="16" t="n">
        <f aca="false">SUMIF(거래!C5:C593,A41,거래!K5:K593)</f>
        <v>0.791748368096492</v>
      </c>
    </row>
    <row r="42" customFormat="false" ht="15" hidden="false" customHeight="false" outlineLevel="0" collapsed="false">
      <c r="A42" s="7" t="s">
        <v>49</v>
      </c>
      <c r="B42" s="13" t="n">
        <f aca="false">COUNTIF(거래!C5:C593,A42)</f>
        <v>64</v>
      </c>
      <c r="C42" s="14" t="n">
        <f aca="false">IFERROR(COUNTIFS(거래!C5:C593,A42,거래!K5:K593,"&gt;0")/B42,0)</f>
        <v>0.375</v>
      </c>
      <c r="D42" s="15" t="n">
        <f aca="false">IFERROR(AVERAGEIF(거래!C5:C593,A42,거래!K5:K593),0)</f>
        <v>0.0910950603802256</v>
      </c>
      <c r="E42" s="16" t="n">
        <f aca="false">SUMIF(거래!C5:C593,A42,거래!K5:K593)</f>
        <v>5.83008386433444</v>
      </c>
    </row>
    <row r="43" customFormat="false" ht="15" hidden="false" customHeight="false" outlineLevel="0" collapsed="false">
      <c r="A43" s="7" t="s">
        <v>50</v>
      </c>
      <c r="B43" s="13" t="n">
        <f aca="false">COUNTIF(거래!C5:C593,A43)</f>
        <v>46</v>
      </c>
      <c r="C43" s="14" t="n">
        <f aca="false">IFERROR(COUNTIFS(거래!C5:C593,A43,거래!K5:K593,"&gt;0")/B43,0)</f>
        <v>0.347826086956522</v>
      </c>
      <c r="D43" s="15" t="n">
        <f aca="false">IFERROR(AVERAGEIF(거래!C5:C593,A43,거래!K5:K593),0)</f>
        <v>0.0769002782946714</v>
      </c>
      <c r="E43" s="16" t="n">
        <f aca="false">SUMIF(거래!C5:C593,A43,거래!K5:K593)</f>
        <v>3.53741280155489</v>
      </c>
    </row>
    <row r="44" customFormat="false" ht="15" hidden="false" customHeight="false" outlineLevel="0" collapsed="false">
      <c r="A44" s="7" t="s">
        <v>51</v>
      </c>
      <c r="B44" s="13" t="n">
        <f aca="false">COUNTIF(거래!C5:C593,A44)</f>
        <v>37</v>
      </c>
      <c r="C44" s="14" t="n">
        <f aca="false">IFERROR(COUNTIFS(거래!C5:C593,A44,거래!K5:K593,"&gt;0")/B44,0)</f>
        <v>0.324324324324324</v>
      </c>
      <c r="D44" s="15" t="n">
        <f aca="false">IFERROR(AVERAGEIF(거래!C5:C593,A44,거래!K5:K593),0)</f>
        <v>0.000632525975770066</v>
      </c>
      <c r="E44" s="16" t="n">
        <f aca="false">SUMIF(거래!C5:C593,A44,거래!K5:K593)</f>
        <v>0.0234034611034925</v>
      </c>
    </row>
    <row r="45" customFormat="false" ht="15" hidden="false" customHeight="false" outlineLevel="0" collapsed="false">
      <c r="A45" s="7" t="s">
        <v>52</v>
      </c>
      <c r="B45" s="13" t="n">
        <f aca="false">COUNTIF(거래!C5:C593,A45)</f>
        <v>106</v>
      </c>
      <c r="C45" s="14" t="n">
        <f aca="false">IFERROR(COUNTIFS(거래!C5:C593,A45,거래!K5:K593,"&gt;0")/B45,0)</f>
        <v>0.216981132075472</v>
      </c>
      <c r="D45" s="15" t="n">
        <f aca="false">IFERROR(AVERAGEIF(거래!C5:C593,A45,거래!K5:K593),0)</f>
        <v>0.0489358007685689</v>
      </c>
      <c r="E45" s="16" t="n">
        <f aca="false">SUMIF(거래!C5:C593,A45,거래!K5:K593)</f>
        <v>5.18719488146831</v>
      </c>
    </row>
    <row r="46" customFormat="false" ht="15" hidden="false" customHeight="false" outlineLevel="0" collapsed="false">
      <c r="A46" s="7" t="s">
        <v>53</v>
      </c>
      <c r="B46" s="13" t="n">
        <f aca="false">COUNTIF(거래!C5:C593,A46)</f>
        <v>14</v>
      </c>
      <c r="C46" s="14" t="n">
        <f aca="false">IFERROR(COUNTIFS(거래!C5:C593,A46,거래!K5:K593,"&gt;0")/B46,0)</f>
        <v>0.285714285714286</v>
      </c>
      <c r="D46" s="15" t="n">
        <f aca="false">IFERROR(AVERAGEIF(거래!C5:C593,A46,거래!K5:K593),0)</f>
        <v>0.123043855320943</v>
      </c>
      <c r="E46" s="16" t="n">
        <f aca="false">SUMIF(거래!C5:C593,A46,거래!K5:K593)</f>
        <v>1.7226139744932</v>
      </c>
    </row>
    <row r="47" customFormat="false" ht="15" hidden="false" customHeight="false" outlineLevel="0" collapsed="false">
      <c r="A47" s="7" t="s">
        <v>54</v>
      </c>
      <c r="B47" s="13" t="n">
        <f aca="false">COUNTIF(거래!C5:C593,A47)</f>
        <v>33</v>
      </c>
      <c r="C47" s="14" t="n">
        <f aca="false">IFERROR(COUNTIFS(거래!C5:C593,A47,거래!K5:K593,"&gt;0")/B47,0)</f>
        <v>0.181818181818182</v>
      </c>
      <c r="D47" s="15" t="n">
        <f aca="false">IFERROR(AVERAGEIF(거래!C5:C593,A47,거래!K5:K593),0)</f>
        <v>-0.0251686238470956</v>
      </c>
      <c r="E47" s="16" t="n">
        <f aca="false">SUMIF(거래!C5:C593,A47,거래!K5:K593)</f>
        <v>-0.830564586954153</v>
      </c>
    </row>
    <row r="48" customFormat="false" ht="15" hidden="false" customHeight="false" outlineLevel="0" collapsed="false">
      <c r="A48" s="7" t="s">
        <v>55</v>
      </c>
      <c r="B48" s="13" t="n">
        <f aca="false">COUNTIF(거래!C5:C593,A48)</f>
        <v>26</v>
      </c>
      <c r="C48" s="14" t="n">
        <f aca="false">IFERROR(COUNTIFS(거래!C5:C593,A48,거래!K5:K593,"&gt;0")/B48,0)</f>
        <v>0.230769230769231</v>
      </c>
      <c r="D48" s="15" t="n">
        <f aca="false">IFERROR(AVERAGEIF(거래!C5:C593,A48,거래!K5:K593),0)</f>
        <v>0.0657836739277171</v>
      </c>
      <c r="E48" s="16" t="n">
        <f aca="false">SUMIF(거래!C5:C593,A48,거래!K5:K593)</f>
        <v>1.71037552212064</v>
      </c>
    </row>
    <row r="49" customFormat="false" ht="15" hidden="false" customHeight="false" outlineLevel="0" collapsed="false">
      <c r="A49" s="7" t="s">
        <v>56</v>
      </c>
      <c r="B49" s="13" t="n">
        <f aca="false">COUNTIF(거래!C5:C593,A49)</f>
        <v>193</v>
      </c>
      <c r="C49" s="14" t="n">
        <f aca="false">IFERROR(COUNTIFS(거래!C5:C593,A49,거래!K5:K593,"&gt;0")/B49,0)</f>
        <v>0.373056994818653</v>
      </c>
      <c r="D49" s="15" t="n">
        <f aca="false">IFERROR(AVERAGEIF(거래!C5:C593,A49,거래!K5:K593),0)</f>
        <v>0.0489755348432906</v>
      </c>
      <c r="E49" s="16" t="n">
        <f aca="false">SUMIF(거래!C5:C593,A49,거래!K5:K593)</f>
        <v>9.45227822475509</v>
      </c>
    </row>
    <row r="50" customFormat="false" ht="15" hidden="false" customHeight="false" outlineLevel="0" collapsed="false">
      <c r="A50" s="7" t="s">
        <v>57</v>
      </c>
      <c r="B50" s="13" t="n">
        <f aca="false">COUNTIF(거래!C5:C593,A50)</f>
        <v>15</v>
      </c>
      <c r="C50" s="14" t="n">
        <f aca="false">IFERROR(COUNTIFS(거래!C5:C593,A50,거래!K5:K593,"&gt;0")/B50,0)</f>
        <v>0.2</v>
      </c>
      <c r="D50" s="15" t="n">
        <f aca="false">IFERROR(AVERAGEIF(거래!C5:C593,A50,거래!K5:K593),0)</f>
        <v>0.230389639325279</v>
      </c>
      <c r="E50" s="16" t="n">
        <f aca="false">SUMIF(거래!C5:C593,A50,거래!K5:K593)</f>
        <v>3.45584458987919</v>
      </c>
    </row>
    <row r="51" customFormat="false" ht="15" hidden="false" customHeight="false" outlineLevel="0" collapsed="false">
      <c r="A51" s="7" t="s">
        <v>58</v>
      </c>
      <c r="B51" s="13" t="n">
        <f aca="false">COUNTIF(거래!C5:C593,A51)</f>
        <v>8</v>
      </c>
      <c r="C51" s="14" t="n">
        <f aca="false">IFERROR(COUNTIFS(거래!C5:C593,A51,거래!K5:K593,"&gt;0")/B51,0)</f>
        <v>0.375</v>
      </c>
      <c r="D51" s="15" t="n">
        <f aca="false">IFERROR(AVERAGEIF(거래!C5:C593,A51,거래!K5:K593),0)</f>
        <v>-0.0147126899690856</v>
      </c>
      <c r="E51" s="16" t="n">
        <f aca="false">SUMIF(거래!C5:C593,A51,거래!K5:K593)</f>
        <v>-0.117701519752685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44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7"/>
    <col collapsed="false" customWidth="true" hidden="false" outlineLevel="0" max="13" min="13" style="0" width="10"/>
  </cols>
  <sheetData>
    <row r="1" customFormat="false" ht="19.4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32.8" hidden="false" customHeight="false" outlineLevel="0" collapsed="false">
      <c r="A4" s="3" t="s">
        <v>61</v>
      </c>
      <c r="B4" s="3" t="s">
        <v>62</v>
      </c>
      <c r="C4" s="3" t="s">
        <v>44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 t="s">
        <v>71</v>
      </c>
      <c r="M4" s="3" t="s">
        <v>72</v>
      </c>
    </row>
    <row r="5" customFormat="false" ht="17.15" hidden="false" customHeight="false" outlineLevel="0" collapsed="false">
      <c r="A5" s="7" t="s">
        <v>73</v>
      </c>
      <c r="B5" s="4" t="s">
        <v>74</v>
      </c>
      <c r="C5" s="7" t="s">
        <v>48</v>
      </c>
      <c r="D5" s="7" t="s">
        <v>75</v>
      </c>
      <c r="E5" s="17" t="n">
        <v>43097</v>
      </c>
      <c r="F5" s="17" t="n">
        <v>43102</v>
      </c>
      <c r="G5" s="18" t="n">
        <v>20700</v>
      </c>
      <c r="H5" s="17" t="n">
        <v>43103</v>
      </c>
      <c r="I5" s="18" t="n">
        <v>21000</v>
      </c>
      <c r="J5" s="18" t="n">
        <v>20050</v>
      </c>
      <c r="K5" s="12" t="n">
        <f aca="false">I5/G5*(1-0.0025)/(1+0.001)-1</f>
        <v>0.0109455761629678</v>
      </c>
      <c r="L5" s="4" t="n">
        <v>1</v>
      </c>
      <c r="M5" s="4" t="s">
        <v>76</v>
      </c>
    </row>
    <row r="6" customFormat="false" ht="17.15" hidden="false" customHeight="false" outlineLevel="0" collapsed="false">
      <c r="A6" s="7" t="s">
        <v>77</v>
      </c>
      <c r="B6" s="4" t="s">
        <v>78</v>
      </c>
      <c r="C6" s="7" t="s">
        <v>52</v>
      </c>
      <c r="D6" s="7" t="s">
        <v>79</v>
      </c>
      <c r="E6" s="17" t="n">
        <v>43097</v>
      </c>
      <c r="F6" s="17" t="n">
        <v>43102</v>
      </c>
      <c r="G6" s="18" t="n">
        <v>76300</v>
      </c>
      <c r="H6" s="17" t="n">
        <v>43108</v>
      </c>
      <c r="I6" s="18" t="n">
        <v>69740</v>
      </c>
      <c r="J6" s="18" t="n">
        <v>69740</v>
      </c>
      <c r="K6" s="12" t="n">
        <f aca="false">I6/G6*(1-0.0025)/(1+0.001)-1</f>
        <v>-0.0891722955943137</v>
      </c>
      <c r="L6" s="4" t="n">
        <v>4</v>
      </c>
      <c r="M6" s="4" t="s">
        <v>80</v>
      </c>
    </row>
    <row r="7" customFormat="false" ht="17.15" hidden="false" customHeight="false" outlineLevel="0" collapsed="false">
      <c r="A7" s="7" t="s">
        <v>81</v>
      </c>
      <c r="B7" s="4" t="s">
        <v>82</v>
      </c>
      <c r="C7" s="7" t="s">
        <v>48</v>
      </c>
      <c r="D7" s="7" t="s">
        <v>75</v>
      </c>
      <c r="E7" s="17" t="n">
        <v>43097</v>
      </c>
      <c r="F7" s="17" t="n">
        <v>43102</v>
      </c>
      <c r="G7" s="18" t="n">
        <v>39960</v>
      </c>
      <c r="H7" s="17" t="n">
        <v>43110</v>
      </c>
      <c r="I7" s="18" t="n">
        <v>36853</v>
      </c>
      <c r="J7" s="18" t="n">
        <v>35894.2</v>
      </c>
      <c r="K7" s="12" t="n">
        <f aca="false">I7/G7*(1-0.0025)/(1+0.001)-1</f>
        <v>-0.0809773934773933</v>
      </c>
      <c r="L7" s="4" t="n">
        <v>6</v>
      </c>
      <c r="M7" s="4" t="s">
        <v>76</v>
      </c>
    </row>
    <row r="8" customFormat="false" ht="17.15" hidden="false" customHeight="false" outlineLevel="0" collapsed="false">
      <c r="A8" s="7" t="s">
        <v>83</v>
      </c>
      <c r="B8" s="4" t="s">
        <v>84</v>
      </c>
      <c r="C8" s="7" t="s">
        <v>54</v>
      </c>
      <c r="D8" s="7" t="s">
        <v>85</v>
      </c>
      <c r="E8" s="17" t="n">
        <v>43108</v>
      </c>
      <c r="F8" s="17" t="n">
        <v>43109</v>
      </c>
      <c r="G8" s="18" t="n">
        <v>2360</v>
      </c>
      <c r="H8" s="17" t="n">
        <v>43111</v>
      </c>
      <c r="I8" s="18" t="n">
        <v>2081.7</v>
      </c>
      <c r="J8" s="18" t="n">
        <v>2081.7</v>
      </c>
      <c r="K8" s="12" t="n">
        <f aca="false">I8/G8*(1-0.0025)/(1+0.001)-1</f>
        <v>-0.121007911579945</v>
      </c>
      <c r="L8" s="4" t="n">
        <v>2</v>
      </c>
      <c r="M8" s="4" t="s">
        <v>80</v>
      </c>
    </row>
    <row r="9" customFormat="false" ht="17.15" hidden="false" customHeight="false" outlineLevel="0" collapsed="false">
      <c r="A9" s="7" t="s">
        <v>86</v>
      </c>
      <c r="B9" s="4" t="s">
        <v>87</v>
      </c>
      <c r="C9" s="7" t="s">
        <v>48</v>
      </c>
      <c r="D9" s="7" t="s">
        <v>75</v>
      </c>
      <c r="E9" s="17" t="n">
        <v>43097</v>
      </c>
      <c r="F9" s="17" t="n">
        <v>43102</v>
      </c>
      <c r="G9" s="18" t="n">
        <v>529369</v>
      </c>
      <c r="H9" s="17" t="n">
        <v>43136</v>
      </c>
      <c r="I9" s="18" t="n">
        <v>498962</v>
      </c>
      <c r="J9" s="18" t="n">
        <v>489095.9</v>
      </c>
      <c r="K9" s="12" t="n">
        <f aca="false">I9/G9*(1-0.0025)/(1+0.001)-1</f>
        <v>-0.0607357483676269</v>
      </c>
      <c r="L9" s="4" t="n">
        <v>24</v>
      </c>
      <c r="M9" s="4" t="s">
        <v>76</v>
      </c>
    </row>
    <row r="10" customFormat="false" ht="17.15" hidden="false" customHeight="false" outlineLevel="0" collapsed="false">
      <c r="A10" s="7" t="s">
        <v>88</v>
      </c>
      <c r="B10" s="4" t="s">
        <v>89</v>
      </c>
      <c r="C10" s="7" t="s">
        <v>56</v>
      </c>
      <c r="D10" s="4" t="s">
        <v>90</v>
      </c>
      <c r="E10" s="17" t="n">
        <v>43097</v>
      </c>
      <c r="F10" s="17" t="n">
        <v>43102</v>
      </c>
      <c r="G10" s="18" t="n">
        <v>4985</v>
      </c>
      <c r="H10" s="17" t="n">
        <v>43137</v>
      </c>
      <c r="I10" s="18" t="n">
        <v>4151</v>
      </c>
      <c r="J10" s="18" t="n">
        <v>3949.9</v>
      </c>
      <c r="K10" s="12" t="n">
        <f aca="false">I10/G10*(1-0.0025)/(1+0.001)-1</f>
        <v>-0.170213437515343</v>
      </c>
      <c r="L10" s="4" t="n">
        <v>25</v>
      </c>
      <c r="M10" s="4" t="s">
        <v>76</v>
      </c>
    </row>
    <row r="11" customFormat="false" ht="17.15" hidden="false" customHeight="false" outlineLevel="0" collapsed="false">
      <c r="A11" s="7" t="s">
        <v>91</v>
      </c>
      <c r="B11" s="4" t="s">
        <v>92</v>
      </c>
      <c r="C11" s="7" t="s">
        <v>56</v>
      </c>
      <c r="D11" s="4" t="s">
        <v>93</v>
      </c>
      <c r="E11" s="17" t="n">
        <v>43133</v>
      </c>
      <c r="F11" s="17" t="n">
        <v>43136</v>
      </c>
      <c r="G11" s="18" t="n">
        <v>13100</v>
      </c>
      <c r="H11" s="17" t="n">
        <v>43137</v>
      </c>
      <c r="I11" s="18" t="n">
        <v>12200</v>
      </c>
      <c r="J11" s="18" t="n">
        <v>12605</v>
      </c>
      <c r="K11" s="12" t="n">
        <f aca="false">I11/G11*(1-0.0025)/(1+0.001)-1</f>
        <v>-0.0719585757753696</v>
      </c>
      <c r="L11" s="4" t="n">
        <v>1</v>
      </c>
      <c r="M11" s="4" t="s">
        <v>76</v>
      </c>
    </row>
    <row r="12" customFormat="false" ht="17.15" hidden="false" customHeight="false" outlineLevel="0" collapsed="false">
      <c r="A12" s="7" t="s">
        <v>94</v>
      </c>
      <c r="B12" s="4" t="s">
        <v>95</v>
      </c>
      <c r="C12" s="7" t="s">
        <v>55</v>
      </c>
      <c r="D12" s="7" t="s">
        <v>96</v>
      </c>
      <c r="E12" s="17" t="n">
        <v>43109</v>
      </c>
      <c r="F12" s="17" t="n">
        <v>43110</v>
      </c>
      <c r="G12" s="18" t="n">
        <v>93300</v>
      </c>
      <c r="H12" s="17" t="n">
        <v>43138</v>
      </c>
      <c r="I12" s="18" t="n">
        <v>82760</v>
      </c>
      <c r="J12" s="18" t="n">
        <v>82760</v>
      </c>
      <c r="K12" s="12" t="n">
        <f aca="false">I12/G12*(1-0.0025)/(1+0.001)-1</f>
        <v>-0.116070424752097</v>
      </c>
      <c r="L12" s="4" t="n">
        <v>20</v>
      </c>
      <c r="M12" s="4" t="s">
        <v>80</v>
      </c>
    </row>
    <row r="13" customFormat="false" ht="17.15" hidden="false" customHeight="false" outlineLevel="0" collapsed="false">
      <c r="A13" s="7" t="s">
        <v>97</v>
      </c>
      <c r="B13" s="4" t="s">
        <v>98</v>
      </c>
      <c r="C13" s="7" t="s">
        <v>56</v>
      </c>
      <c r="D13" s="4" t="s">
        <v>90</v>
      </c>
      <c r="E13" s="17" t="n">
        <v>43102</v>
      </c>
      <c r="F13" s="17" t="n">
        <v>43103</v>
      </c>
      <c r="G13" s="18" t="n">
        <v>4905</v>
      </c>
      <c r="H13" s="17" t="n">
        <v>43167</v>
      </c>
      <c r="I13" s="18" t="n">
        <v>4900</v>
      </c>
      <c r="J13" s="18" t="n">
        <v>3210</v>
      </c>
      <c r="K13" s="12" t="n">
        <f aca="false">I13/G13*(1-0.0025)/(1+0.001)-1</f>
        <v>-0.00451230726460072</v>
      </c>
      <c r="L13" s="4" t="n">
        <v>43</v>
      </c>
      <c r="M13" s="4" t="s">
        <v>76</v>
      </c>
    </row>
    <row r="14" customFormat="false" ht="17.15" hidden="false" customHeight="false" outlineLevel="0" collapsed="false">
      <c r="A14" s="7" t="s">
        <v>99</v>
      </c>
      <c r="B14" s="4" t="s">
        <v>100</v>
      </c>
      <c r="C14" s="7" t="s">
        <v>56</v>
      </c>
      <c r="D14" s="4" t="s">
        <v>93</v>
      </c>
      <c r="E14" s="17" t="n">
        <v>43097</v>
      </c>
      <c r="F14" s="17" t="n">
        <v>43102</v>
      </c>
      <c r="G14" s="18" t="n">
        <v>22916</v>
      </c>
      <c r="H14" s="17" t="n">
        <v>43181</v>
      </c>
      <c r="I14" s="18" t="n">
        <v>29981</v>
      </c>
      <c r="J14" s="18"/>
      <c r="K14" s="12" t="n">
        <f aca="false">I14/G14*(1-0.0025)/(1+0.001)-1</f>
        <v>0.303725402717373</v>
      </c>
      <c r="L14" s="4" t="n">
        <v>54</v>
      </c>
      <c r="M14" s="4" t="s">
        <v>76</v>
      </c>
    </row>
    <row r="15" customFormat="false" ht="17.15" hidden="false" customHeight="false" outlineLevel="0" collapsed="false">
      <c r="A15" s="7" t="s">
        <v>101</v>
      </c>
      <c r="B15" s="4" t="s">
        <v>102</v>
      </c>
      <c r="C15" s="7" t="s">
        <v>48</v>
      </c>
      <c r="D15" s="7" t="s">
        <v>75</v>
      </c>
      <c r="E15" s="17" t="n">
        <v>43097</v>
      </c>
      <c r="F15" s="17" t="n">
        <v>43102</v>
      </c>
      <c r="G15" s="18" t="n">
        <v>27002</v>
      </c>
      <c r="H15" s="17" t="n">
        <v>43182</v>
      </c>
      <c r="I15" s="18" t="n">
        <v>21878</v>
      </c>
      <c r="J15" s="18" t="n">
        <v>17534.1</v>
      </c>
      <c r="K15" s="12" t="n">
        <f aca="false">I15/G15*(1-0.0025)/(1+0.001)-1</f>
        <v>-0.192596715187634</v>
      </c>
      <c r="L15" s="4" t="n">
        <v>55</v>
      </c>
      <c r="M15" s="4" t="s">
        <v>76</v>
      </c>
    </row>
    <row r="16" customFormat="false" ht="17.15" hidden="false" customHeight="false" outlineLevel="0" collapsed="false">
      <c r="A16" s="7" t="s">
        <v>103</v>
      </c>
      <c r="B16" s="4" t="s">
        <v>104</v>
      </c>
      <c r="C16" s="7" t="s">
        <v>50</v>
      </c>
      <c r="D16" s="7" t="s">
        <v>105</v>
      </c>
      <c r="E16" s="17" t="n">
        <v>43097</v>
      </c>
      <c r="F16" s="17" t="n">
        <v>43102</v>
      </c>
      <c r="G16" s="18" t="n">
        <v>48256</v>
      </c>
      <c r="H16" s="17" t="n">
        <v>43185</v>
      </c>
      <c r="I16" s="18" t="n">
        <v>62747</v>
      </c>
      <c r="J16" s="18" t="n">
        <v>40628</v>
      </c>
      <c r="K16" s="12" t="n">
        <f aca="false">I16/G16*(1-0.0025)/(1+0.001)-1</f>
        <v>0.29574778048543</v>
      </c>
      <c r="L16" s="4" t="n">
        <v>56</v>
      </c>
      <c r="M16" s="4" t="s">
        <v>76</v>
      </c>
    </row>
    <row r="17" customFormat="false" ht="17.15" hidden="false" customHeight="false" outlineLevel="0" collapsed="false">
      <c r="A17" s="7" t="s">
        <v>106</v>
      </c>
      <c r="B17" s="4" t="s">
        <v>107</v>
      </c>
      <c r="C17" s="7" t="s">
        <v>52</v>
      </c>
      <c r="D17" s="7" t="s">
        <v>79</v>
      </c>
      <c r="E17" s="17" t="n">
        <v>43097</v>
      </c>
      <c r="F17" s="17" t="n">
        <v>43102</v>
      </c>
      <c r="G17" s="18" t="n">
        <v>25250</v>
      </c>
      <c r="H17" s="17" t="n">
        <v>43185</v>
      </c>
      <c r="I17" s="18" t="n">
        <v>32250</v>
      </c>
      <c r="J17" s="18" t="n">
        <v>21255</v>
      </c>
      <c r="K17" s="12" t="n">
        <f aca="false">I17/G17*(1-0.0025)/(1+0.001)-1</f>
        <v>0.272761891573773</v>
      </c>
      <c r="L17" s="4" t="n">
        <v>56</v>
      </c>
      <c r="M17" s="4" t="s">
        <v>76</v>
      </c>
    </row>
    <row r="18" customFormat="false" ht="17.15" hidden="false" customHeight="false" outlineLevel="0" collapsed="false">
      <c r="A18" s="7" t="s">
        <v>108</v>
      </c>
      <c r="B18" s="4" t="s">
        <v>109</v>
      </c>
      <c r="C18" s="7" t="s">
        <v>50</v>
      </c>
      <c r="D18" s="7" t="s">
        <v>105</v>
      </c>
      <c r="E18" s="17" t="n">
        <v>43097</v>
      </c>
      <c r="F18" s="17" t="n">
        <v>43102</v>
      </c>
      <c r="G18" s="18" t="n">
        <v>172576</v>
      </c>
      <c r="H18" s="17" t="n">
        <v>43186</v>
      </c>
      <c r="I18" s="18" t="n">
        <v>234532</v>
      </c>
      <c r="J18" s="18" t="n">
        <v>155272.8</v>
      </c>
      <c r="K18" s="12" t="n">
        <f aca="false">I18/G18*(1-0.0025)/(1+0.001)-1</f>
        <v>0.354255273282253</v>
      </c>
      <c r="L18" s="4" t="n">
        <v>57</v>
      </c>
      <c r="M18" s="4" t="s">
        <v>76</v>
      </c>
    </row>
    <row r="19" customFormat="false" ht="17.15" hidden="false" customHeight="false" outlineLevel="0" collapsed="false">
      <c r="A19" s="7" t="s">
        <v>110</v>
      </c>
      <c r="B19" s="4" t="s">
        <v>111</v>
      </c>
      <c r="C19" s="7" t="s">
        <v>52</v>
      </c>
      <c r="D19" s="7" t="s">
        <v>79</v>
      </c>
      <c r="E19" s="17" t="n">
        <v>43111</v>
      </c>
      <c r="F19" s="17" t="n">
        <v>43112</v>
      </c>
      <c r="G19" s="18" t="n">
        <v>42714</v>
      </c>
      <c r="H19" s="17" t="n">
        <v>43194</v>
      </c>
      <c r="I19" s="18" t="n">
        <v>41986</v>
      </c>
      <c r="J19" s="18" t="n">
        <v>35741.8</v>
      </c>
      <c r="K19" s="12" t="n">
        <f aca="false">I19/G19*(1-0.0025)/(1+0.001)-1</f>
        <v>-0.0204805027813876</v>
      </c>
      <c r="L19" s="4" t="n">
        <v>55</v>
      </c>
      <c r="M19" s="4" t="s">
        <v>76</v>
      </c>
    </row>
    <row r="20" customFormat="false" ht="17.15" hidden="false" customHeight="false" outlineLevel="0" collapsed="false">
      <c r="A20" s="7" t="s">
        <v>112</v>
      </c>
      <c r="B20" s="4" t="s">
        <v>113</v>
      </c>
      <c r="C20" s="7" t="s">
        <v>56</v>
      </c>
      <c r="D20" s="4" t="s">
        <v>114</v>
      </c>
      <c r="E20" s="17" t="n">
        <v>43255</v>
      </c>
      <c r="F20" s="17" t="n">
        <v>43256</v>
      </c>
      <c r="G20" s="18" t="n">
        <v>2520</v>
      </c>
      <c r="H20" s="17" t="n">
        <v>43258</v>
      </c>
      <c r="I20" s="18" t="n">
        <v>2545</v>
      </c>
      <c r="J20" s="18" t="n">
        <v>2220</v>
      </c>
      <c r="K20" s="12" t="n">
        <f aca="false">I20/G20*(1-0.0025)/(1+0.001)-1</f>
        <v>0.00638944388944385</v>
      </c>
      <c r="L20" s="4" t="n">
        <v>1</v>
      </c>
      <c r="M20" s="4" t="s">
        <v>76</v>
      </c>
    </row>
    <row r="21" customFormat="false" ht="17.15" hidden="false" customHeight="false" outlineLevel="0" collapsed="false">
      <c r="A21" s="7" t="s">
        <v>115</v>
      </c>
      <c r="B21" s="4" t="s">
        <v>116</v>
      </c>
      <c r="C21" s="7" t="s">
        <v>51</v>
      </c>
      <c r="D21" s="7" t="s">
        <v>117</v>
      </c>
      <c r="E21" s="17" t="n">
        <v>43255</v>
      </c>
      <c r="F21" s="17" t="n">
        <v>43256</v>
      </c>
      <c r="G21" s="18" t="n">
        <v>4895</v>
      </c>
      <c r="H21" s="17" t="n">
        <v>43258</v>
      </c>
      <c r="I21" s="18" t="n">
        <v>5065</v>
      </c>
      <c r="J21" s="18" t="n">
        <v>4488.8</v>
      </c>
      <c r="K21" s="12" t="n">
        <f aca="false">I21/G21*(1-0.0025)/(1+0.001)-1</f>
        <v>0.0311113809581636</v>
      </c>
      <c r="L21" s="4" t="n">
        <v>1</v>
      </c>
      <c r="M21" s="4" t="s">
        <v>76</v>
      </c>
    </row>
    <row r="22" customFormat="false" ht="17.15" hidden="false" customHeight="false" outlineLevel="0" collapsed="false">
      <c r="A22" s="7" t="s">
        <v>118</v>
      </c>
      <c r="B22" s="4" t="s">
        <v>119</v>
      </c>
      <c r="C22" s="7" t="s">
        <v>50</v>
      </c>
      <c r="D22" s="7" t="s">
        <v>105</v>
      </c>
      <c r="E22" s="17" t="n">
        <v>43255</v>
      </c>
      <c r="F22" s="17" t="n">
        <v>43256</v>
      </c>
      <c r="G22" s="18" t="n">
        <v>22400</v>
      </c>
      <c r="H22" s="17" t="n">
        <v>43259</v>
      </c>
      <c r="I22" s="18" t="n">
        <v>21250</v>
      </c>
      <c r="J22" s="18" t="n">
        <v>20770</v>
      </c>
      <c r="K22" s="12" t="n">
        <f aca="false">I22/G22*(1-0.0025)/(1+0.001)-1</f>
        <v>-0.054656281218781</v>
      </c>
      <c r="L22" s="4" t="n">
        <v>2</v>
      </c>
      <c r="M22" s="4" t="s">
        <v>76</v>
      </c>
    </row>
    <row r="23" customFormat="false" ht="17.15" hidden="false" customHeight="false" outlineLevel="0" collapsed="false">
      <c r="A23" s="7" t="s">
        <v>120</v>
      </c>
      <c r="B23" s="4" t="s">
        <v>121</v>
      </c>
      <c r="C23" s="7" t="s">
        <v>56</v>
      </c>
      <c r="D23" s="4" t="s">
        <v>90</v>
      </c>
      <c r="E23" s="17" t="n">
        <v>43258</v>
      </c>
      <c r="F23" s="17" t="n">
        <v>43259</v>
      </c>
      <c r="G23" s="18" t="n">
        <v>43950</v>
      </c>
      <c r="H23" s="17" t="n">
        <v>43262</v>
      </c>
      <c r="I23" s="18" t="n">
        <v>43950</v>
      </c>
      <c r="J23" s="18" t="n">
        <v>39780</v>
      </c>
      <c r="K23" s="12" t="n">
        <f aca="false">I23/G23*(1-0.0025)/(1+0.001)-1</f>
        <v>-0.00349650349650332</v>
      </c>
      <c r="L23" s="4" t="n">
        <v>1</v>
      </c>
      <c r="M23" s="4" t="s">
        <v>76</v>
      </c>
    </row>
    <row r="24" customFormat="false" ht="17.15" hidden="false" customHeight="false" outlineLevel="0" collapsed="false">
      <c r="A24" s="7" t="s">
        <v>122</v>
      </c>
      <c r="B24" s="4" t="s">
        <v>123</v>
      </c>
      <c r="C24" s="7" t="s">
        <v>49</v>
      </c>
      <c r="D24" s="7" t="s">
        <v>124</v>
      </c>
      <c r="E24" s="17" t="n">
        <v>43256</v>
      </c>
      <c r="F24" s="17" t="n">
        <v>43258</v>
      </c>
      <c r="G24" s="18" t="n">
        <v>23650</v>
      </c>
      <c r="H24" s="17" t="n">
        <v>43269</v>
      </c>
      <c r="I24" s="18" t="n">
        <v>22900</v>
      </c>
      <c r="J24" s="18" t="n">
        <v>21455</v>
      </c>
      <c r="K24" s="12" t="n">
        <f aca="false">I24/G24*(1-0.0025)/(1+0.001)-1</f>
        <v>-0.0350980942947116</v>
      </c>
      <c r="L24" s="4" t="n">
        <v>6</v>
      </c>
      <c r="M24" s="4" t="s">
        <v>76</v>
      </c>
    </row>
    <row r="25" customFormat="false" ht="17.15" hidden="false" customHeight="false" outlineLevel="0" collapsed="false">
      <c r="A25" s="7" t="s">
        <v>125</v>
      </c>
      <c r="B25" s="4" t="s">
        <v>126</v>
      </c>
      <c r="C25" s="7" t="s">
        <v>54</v>
      </c>
      <c r="D25" s="7" t="s">
        <v>85</v>
      </c>
      <c r="E25" s="17" t="n">
        <v>43256</v>
      </c>
      <c r="F25" s="17" t="n">
        <v>43258</v>
      </c>
      <c r="G25" s="18" t="n">
        <v>35255</v>
      </c>
      <c r="H25" s="17" t="n">
        <v>43269</v>
      </c>
      <c r="I25" s="18" t="n">
        <v>32704.4</v>
      </c>
      <c r="J25" s="18" t="n">
        <v>32704.4</v>
      </c>
      <c r="K25" s="12" t="n">
        <f aca="false">I25/G25*(1-0.0025)/(1+0.001)-1</f>
        <v>-0.0755907261083829</v>
      </c>
      <c r="L25" s="4" t="n">
        <v>6</v>
      </c>
      <c r="M25" s="4" t="s">
        <v>80</v>
      </c>
    </row>
    <row r="26" customFormat="false" ht="17.15" hidden="false" customHeight="false" outlineLevel="0" collapsed="false">
      <c r="A26" s="7" t="s">
        <v>127</v>
      </c>
      <c r="B26" s="4" t="s">
        <v>128</v>
      </c>
      <c r="C26" s="7" t="s">
        <v>48</v>
      </c>
      <c r="D26" s="7" t="s">
        <v>75</v>
      </c>
      <c r="E26" s="17" t="n">
        <v>43259</v>
      </c>
      <c r="F26" s="17" t="n">
        <v>43262</v>
      </c>
      <c r="G26" s="18" t="n">
        <v>8060</v>
      </c>
      <c r="H26" s="17" t="n">
        <v>43269</v>
      </c>
      <c r="I26" s="18" t="n">
        <v>7459</v>
      </c>
      <c r="J26" s="18" t="n">
        <v>7459</v>
      </c>
      <c r="K26" s="12" t="n">
        <f aca="false">I26/G26*(1-0.0025)/(1+0.001)-1</f>
        <v>-0.0778015408908708</v>
      </c>
      <c r="L26" s="4" t="n">
        <v>4</v>
      </c>
      <c r="M26" s="4" t="s">
        <v>80</v>
      </c>
    </row>
    <row r="27" customFormat="false" ht="17.15" hidden="false" customHeight="false" outlineLevel="0" collapsed="false">
      <c r="A27" s="7" t="s">
        <v>129</v>
      </c>
      <c r="B27" s="4" t="s">
        <v>130</v>
      </c>
      <c r="C27" s="7" t="s">
        <v>53</v>
      </c>
      <c r="D27" s="7" t="s">
        <v>131</v>
      </c>
      <c r="E27" s="17" t="n">
        <v>43255</v>
      </c>
      <c r="F27" s="17" t="n">
        <v>43256</v>
      </c>
      <c r="G27" s="18" t="n">
        <v>21112</v>
      </c>
      <c r="H27" s="17" t="n">
        <v>43270</v>
      </c>
      <c r="I27" s="18" t="n">
        <v>18894</v>
      </c>
      <c r="J27" s="18" t="n">
        <v>18094.9</v>
      </c>
      <c r="K27" s="12" t="n">
        <f aca="false">I27/G27*(1-0.0025)/(1+0.001)-1</f>
        <v>-0.108187899633523</v>
      </c>
      <c r="L27" s="4" t="n">
        <v>8</v>
      </c>
      <c r="M27" s="4" t="s">
        <v>76</v>
      </c>
    </row>
    <row r="28" customFormat="false" ht="17.15" hidden="false" customHeight="false" outlineLevel="0" collapsed="false">
      <c r="A28" s="7" t="s">
        <v>77</v>
      </c>
      <c r="B28" s="4" t="s">
        <v>78</v>
      </c>
      <c r="C28" s="7" t="s">
        <v>55</v>
      </c>
      <c r="D28" s="7" t="s">
        <v>96</v>
      </c>
      <c r="E28" s="17" t="n">
        <v>43255</v>
      </c>
      <c r="F28" s="17" t="n">
        <v>43256</v>
      </c>
      <c r="G28" s="18" t="n">
        <v>72400</v>
      </c>
      <c r="H28" s="17" t="n">
        <v>43270</v>
      </c>
      <c r="I28" s="18" t="n">
        <v>68900</v>
      </c>
      <c r="J28" s="18" t="n">
        <v>65100</v>
      </c>
      <c r="K28" s="12" t="n">
        <f aca="false">I28/G28*(1-0.0025)/(1+0.001)-1</f>
        <v>-0.051670015067805</v>
      </c>
      <c r="L28" s="4" t="n">
        <v>8</v>
      </c>
      <c r="M28" s="4" t="s">
        <v>76</v>
      </c>
    </row>
    <row r="29" customFormat="false" ht="17.15" hidden="false" customHeight="false" outlineLevel="0" collapsed="false">
      <c r="A29" s="7" t="s">
        <v>132</v>
      </c>
      <c r="B29" s="7" t="s">
        <v>133</v>
      </c>
      <c r="C29" s="7" t="s">
        <v>49</v>
      </c>
      <c r="D29" s="7" t="s">
        <v>124</v>
      </c>
      <c r="E29" s="17" t="n">
        <v>43255</v>
      </c>
      <c r="F29" s="17" t="n">
        <v>43256</v>
      </c>
      <c r="G29" s="18" t="n">
        <v>16200</v>
      </c>
      <c r="H29" s="17" t="n">
        <v>43270</v>
      </c>
      <c r="I29" s="18" t="n">
        <v>14850</v>
      </c>
      <c r="J29" s="18" t="n">
        <v>14850</v>
      </c>
      <c r="K29" s="12" t="n">
        <f aca="false">I29/G29*(1-0.0025)/(1+0.001)-1</f>
        <v>-0.0865384615384613</v>
      </c>
      <c r="L29" s="4" t="n">
        <v>8</v>
      </c>
      <c r="M29" s="4" t="s">
        <v>80</v>
      </c>
    </row>
    <row r="30" customFormat="false" ht="17.15" hidden="false" customHeight="false" outlineLevel="0" collapsed="false">
      <c r="A30" s="7" t="s">
        <v>134</v>
      </c>
      <c r="B30" s="7" t="s">
        <v>135</v>
      </c>
      <c r="C30" s="7" t="s">
        <v>50</v>
      </c>
      <c r="D30" s="7" t="s">
        <v>105</v>
      </c>
      <c r="E30" s="17" t="n">
        <v>43255</v>
      </c>
      <c r="F30" s="17" t="n">
        <v>43256</v>
      </c>
      <c r="G30" s="18" t="n">
        <v>202694</v>
      </c>
      <c r="H30" s="17" t="n">
        <v>43271</v>
      </c>
      <c r="I30" s="18" t="n">
        <v>200234</v>
      </c>
      <c r="J30" s="18" t="n">
        <v>195463</v>
      </c>
      <c r="K30" s="12" t="n">
        <f aca="false">I30/G30*(1-0.0025)/(1+0.001)-1</f>
        <v>-0.0155905891694814</v>
      </c>
      <c r="L30" s="4" t="n">
        <v>9</v>
      </c>
      <c r="M30" s="4" t="s">
        <v>76</v>
      </c>
    </row>
    <row r="31" customFormat="false" ht="17.15" hidden="false" customHeight="false" outlineLevel="0" collapsed="false">
      <c r="A31" s="7" t="s">
        <v>136</v>
      </c>
      <c r="B31" s="4" t="s">
        <v>137</v>
      </c>
      <c r="C31" s="7" t="s">
        <v>56</v>
      </c>
      <c r="D31" s="4" t="s">
        <v>93</v>
      </c>
      <c r="E31" s="17" t="n">
        <v>43255</v>
      </c>
      <c r="F31" s="17" t="n">
        <v>43256</v>
      </c>
      <c r="G31" s="18" t="n">
        <v>2340</v>
      </c>
      <c r="H31" s="17" t="n">
        <v>43276</v>
      </c>
      <c r="I31" s="18" t="n">
        <v>1820</v>
      </c>
      <c r="J31" s="18"/>
      <c r="K31" s="12" t="n">
        <f aca="false">I31/G31*(1-0.0025)/(1+0.001)-1</f>
        <v>-0.224941724941725</v>
      </c>
      <c r="L31" s="4" t="n">
        <v>12</v>
      </c>
      <c r="M31" s="4" t="s">
        <v>76</v>
      </c>
    </row>
    <row r="32" customFormat="false" ht="17.15" hidden="false" customHeight="false" outlineLevel="0" collapsed="false">
      <c r="A32" s="7" t="s">
        <v>138</v>
      </c>
      <c r="B32" s="4" t="s">
        <v>139</v>
      </c>
      <c r="C32" s="7" t="s">
        <v>57</v>
      </c>
      <c r="D32" s="4" t="s">
        <v>140</v>
      </c>
      <c r="E32" s="17" t="n">
        <v>43266</v>
      </c>
      <c r="F32" s="17" t="n">
        <v>43269</v>
      </c>
      <c r="G32" s="18" t="n">
        <v>6430</v>
      </c>
      <c r="H32" s="17" t="n">
        <v>43280</v>
      </c>
      <c r="I32" s="18" t="n">
        <v>6260</v>
      </c>
      <c r="J32" s="18" t="n">
        <v>6260</v>
      </c>
      <c r="K32" s="12" t="n">
        <f aca="false">I32/G32*(1-0.0025)/(1+0.001)-1</f>
        <v>-0.0298426301536719</v>
      </c>
      <c r="L32" s="4" t="n">
        <v>9</v>
      </c>
      <c r="M32" s="4" t="s">
        <v>80</v>
      </c>
    </row>
    <row r="33" customFormat="false" ht="17.15" hidden="false" customHeight="false" outlineLevel="0" collapsed="false">
      <c r="A33" s="7" t="s">
        <v>81</v>
      </c>
      <c r="B33" s="4" t="s">
        <v>82</v>
      </c>
      <c r="C33" s="7" t="s">
        <v>52</v>
      </c>
      <c r="D33" s="7" t="s">
        <v>79</v>
      </c>
      <c r="E33" s="17" t="n">
        <v>43255</v>
      </c>
      <c r="F33" s="17" t="n">
        <v>43256</v>
      </c>
      <c r="G33" s="18" t="n">
        <v>48582</v>
      </c>
      <c r="H33" s="17" t="n">
        <v>43287</v>
      </c>
      <c r="I33" s="18" t="n">
        <v>43839.9</v>
      </c>
      <c r="J33" s="18" t="n">
        <v>43839.9</v>
      </c>
      <c r="K33" s="12" t="n">
        <f aca="false">I33/G33*(1-0.0025)/(1+0.001)-1</f>
        <v>-0.100765435009599</v>
      </c>
      <c r="L33" s="4" t="n">
        <v>21</v>
      </c>
      <c r="M33" s="4" t="s">
        <v>80</v>
      </c>
    </row>
    <row r="34" customFormat="false" ht="17.15" hidden="false" customHeight="false" outlineLevel="0" collapsed="false">
      <c r="A34" s="7" t="s">
        <v>141</v>
      </c>
      <c r="B34" s="4" t="s">
        <v>142</v>
      </c>
      <c r="C34" s="7" t="s">
        <v>55</v>
      </c>
      <c r="D34" s="7" t="s">
        <v>96</v>
      </c>
      <c r="E34" s="17" t="n">
        <v>43255</v>
      </c>
      <c r="F34" s="17" t="n">
        <v>43256</v>
      </c>
      <c r="G34" s="18" t="n">
        <v>210492</v>
      </c>
      <c r="H34" s="17" t="n">
        <v>43325</v>
      </c>
      <c r="I34" s="18" t="n">
        <v>208533</v>
      </c>
      <c r="J34" s="18" t="n">
        <v>199918</v>
      </c>
      <c r="K34" s="12" t="n">
        <f aca="false">I34/G34*(1-0.0025)/(1+0.001)-1</f>
        <v>-0.0127707293561576</v>
      </c>
      <c r="L34" s="4" t="n">
        <v>47</v>
      </c>
      <c r="M34" s="4" t="s">
        <v>76</v>
      </c>
    </row>
    <row r="35" customFormat="false" ht="17.15" hidden="false" customHeight="false" outlineLevel="0" collapsed="false">
      <c r="A35" s="7" t="s">
        <v>143</v>
      </c>
      <c r="B35" s="4" t="s">
        <v>144</v>
      </c>
      <c r="C35" s="7" t="s">
        <v>56</v>
      </c>
      <c r="D35" s="4" t="s">
        <v>90</v>
      </c>
      <c r="E35" s="17" t="n">
        <v>43503</v>
      </c>
      <c r="F35" s="17" t="n">
        <v>43504</v>
      </c>
      <c r="G35" s="18" t="n">
        <v>29673</v>
      </c>
      <c r="H35" s="17" t="n">
        <v>43507</v>
      </c>
      <c r="I35" s="18" t="n">
        <v>29806</v>
      </c>
      <c r="J35" s="18" t="n">
        <v>27816.1</v>
      </c>
      <c r="K35" s="12" t="n">
        <f aca="false">I35/G35*(1-0.0025)/(1+0.001)-1</f>
        <v>0.000970013708867512</v>
      </c>
      <c r="L35" s="4" t="n">
        <v>1</v>
      </c>
      <c r="M35" s="4" t="s">
        <v>76</v>
      </c>
    </row>
    <row r="36" customFormat="false" ht="17.15" hidden="false" customHeight="false" outlineLevel="0" collapsed="false">
      <c r="A36" s="7" t="s">
        <v>110</v>
      </c>
      <c r="B36" s="4" t="s">
        <v>111</v>
      </c>
      <c r="C36" s="7" t="s">
        <v>55</v>
      </c>
      <c r="D36" s="7" t="s">
        <v>96</v>
      </c>
      <c r="E36" s="17" t="n">
        <v>43503</v>
      </c>
      <c r="F36" s="17" t="n">
        <v>43504</v>
      </c>
      <c r="G36" s="18" t="n">
        <v>58591</v>
      </c>
      <c r="H36" s="17" t="n">
        <v>43507</v>
      </c>
      <c r="I36" s="18" t="n">
        <v>58954</v>
      </c>
      <c r="J36" s="18" t="n">
        <v>53914.3</v>
      </c>
      <c r="K36" s="12" t="n">
        <f aca="false">I36/G36*(1-0.0025)/(1+0.001)-1</f>
        <v>0.00267732472337268</v>
      </c>
      <c r="L36" s="4" t="n">
        <v>1</v>
      </c>
      <c r="M36" s="4" t="s">
        <v>76</v>
      </c>
    </row>
    <row r="37" customFormat="false" ht="17.15" hidden="false" customHeight="false" outlineLevel="0" collapsed="false">
      <c r="A37" s="7" t="s">
        <v>145</v>
      </c>
      <c r="B37" s="4" t="s">
        <v>146</v>
      </c>
      <c r="C37" s="7" t="s">
        <v>56</v>
      </c>
      <c r="D37" s="4" t="s">
        <v>93</v>
      </c>
      <c r="E37" s="17" t="n">
        <v>43503</v>
      </c>
      <c r="F37" s="17" t="n">
        <v>43504</v>
      </c>
      <c r="G37" s="18" t="n">
        <v>443000</v>
      </c>
      <c r="H37" s="17" t="n">
        <v>43508</v>
      </c>
      <c r="I37" s="18" t="n">
        <v>431000</v>
      </c>
      <c r="J37" s="18" t="n">
        <v>426250</v>
      </c>
      <c r="K37" s="12" t="n">
        <f aca="false">I37/G37*(1-0.0025)/(1+0.001)-1</f>
        <v>-0.030489826200887</v>
      </c>
      <c r="L37" s="4" t="n">
        <v>2</v>
      </c>
      <c r="M37" s="4" t="s">
        <v>76</v>
      </c>
    </row>
    <row r="38" customFormat="false" ht="17.15" hidden="false" customHeight="false" outlineLevel="0" collapsed="false">
      <c r="A38" s="7" t="s">
        <v>147</v>
      </c>
      <c r="B38" s="4" t="s">
        <v>148</v>
      </c>
      <c r="C38" s="7" t="s">
        <v>56</v>
      </c>
      <c r="D38" s="4" t="s">
        <v>93</v>
      </c>
      <c r="E38" s="17" t="n">
        <v>43503</v>
      </c>
      <c r="F38" s="17" t="n">
        <v>43504</v>
      </c>
      <c r="G38" s="18" t="n">
        <v>5519</v>
      </c>
      <c r="H38" s="17" t="n">
        <v>43509</v>
      </c>
      <c r="I38" s="18" t="n">
        <v>5430</v>
      </c>
      <c r="J38" s="18" t="n">
        <v>4734.9</v>
      </c>
      <c r="K38" s="12" t="n">
        <f aca="false">I38/G38*(1-0.0025)/(1+0.001)-1</f>
        <v>-0.0195662282996943</v>
      </c>
      <c r="L38" s="4" t="n">
        <v>3</v>
      </c>
      <c r="M38" s="4" t="s">
        <v>76</v>
      </c>
    </row>
    <row r="39" customFormat="false" ht="17.15" hidden="false" customHeight="false" outlineLevel="0" collapsed="false">
      <c r="A39" s="7" t="s">
        <v>149</v>
      </c>
      <c r="B39" s="4" t="s">
        <v>150</v>
      </c>
      <c r="C39" s="7" t="s">
        <v>56</v>
      </c>
      <c r="D39" s="4" t="s">
        <v>90</v>
      </c>
      <c r="E39" s="17" t="n">
        <v>43504</v>
      </c>
      <c r="F39" s="17" t="n">
        <v>43507</v>
      </c>
      <c r="G39" s="18" t="n">
        <v>4229</v>
      </c>
      <c r="H39" s="17" t="n">
        <v>43510</v>
      </c>
      <c r="I39" s="18" t="n">
        <v>3953</v>
      </c>
      <c r="J39" s="18" t="n">
        <v>3820.3</v>
      </c>
      <c r="K39" s="12" t="n">
        <f aca="false">I39/G39*(1-0.0025)/(1+0.001)-1</f>
        <v>-0.0685319646066867</v>
      </c>
      <c r="L39" s="4" t="n">
        <v>3</v>
      </c>
      <c r="M39" s="4" t="s">
        <v>76</v>
      </c>
    </row>
    <row r="40" customFormat="false" ht="17.15" hidden="false" customHeight="false" outlineLevel="0" collapsed="false">
      <c r="A40" s="7" t="s">
        <v>101</v>
      </c>
      <c r="B40" s="4" t="s">
        <v>102</v>
      </c>
      <c r="C40" s="7" t="s">
        <v>55</v>
      </c>
      <c r="D40" s="7" t="s">
        <v>96</v>
      </c>
      <c r="E40" s="17" t="n">
        <v>43507</v>
      </c>
      <c r="F40" s="17" t="n">
        <v>43508</v>
      </c>
      <c r="G40" s="18" t="n">
        <v>20678</v>
      </c>
      <c r="H40" s="17" t="n">
        <v>43510</v>
      </c>
      <c r="I40" s="18" t="n">
        <v>19317</v>
      </c>
      <c r="J40" s="18" t="n">
        <v>19317</v>
      </c>
      <c r="K40" s="12" t="n">
        <f aca="false">I40/G40*(1-0.0025)/(1+0.001)-1</f>
        <v>-0.069085112585451</v>
      </c>
      <c r="L40" s="4" t="n">
        <v>2</v>
      </c>
      <c r="M40" s="4" t="s">
        <v>80</v>
      </c>
    </row>
    <row r="41" customFormat="false" ht="17.15" hidden="false" customHeight="false" outlineLevel="0" collapsed="false">
      <c r="A41" s="7" t="s">
        <v>147</v>
      </c>
      <c r="B41" s="4" t="s">
        <v>148</v>
      </c>
      <c r="C41" s="7" t="s">
        <v>51</v>
      </c>
      <c r="D41" s="7" t="s">
        <v>117</v>
      </c>
      <c r="E41" s="17" t="n">
        <v>43509</v>
      </c>
      <c r="F41" s="17" t="n">
        <v>43510</v>
      </c>
      <c r="G41" s="18" t="n">
        <v>5476</v>
      </c>
      <c r="H41" s="17" t="n">
        <v>43514</v>
      </c>
      <c r="I41" s="18" t="n">
        <v>5302</v>
      </c>
      <c r="J41" s="18" t="n">
        <v>5022.1</v>
      </c>
      <c r="K41" s="12" t="n">
        <f aca="false">I41/G41*(1-0.0025)/(1+0.001)-1</f>
        <v>-0.0351604202955553</v>
      </c>
      <c r="L41" s="4" t="n">
        <v>2</v>
      </c>
      <c r="M41" s="4" t="s">
        <v>76</v>
      </c>
    </row>
    <row r="42" customFormat="false" ht="17.15" hidden="false" customHeight="false" outlineLevel="0" collapsed="false">
      <c r="A42" s="7" t="s">
        <v>151</v>
      </c>
      <c r="B42" s="4" t="s">
        <v>152</v>
      </c>
      <c r="C42" s="7" t="s">
        <v>48</v>
      </c>
      <c r="D42" s="7" t="s">
        <v>75</v>
      </c>
      <c r="E42" s="17" t="n">
        <v>43510</v>
      </c>
      <c r="F42" s="17" t="n">
        <v>43511</v>
      </c>
      <c r="G42" s="18" t="n">
        <v>47500</v>
      </c>
      <c r="H42" s="17" t="n">
        <v>43514</v>
      </c>
      <c r="I42" s="18" t="n">
        <v>48700</v>
      </c>
      <c r="J42" s="18" t="n">
        <v>44995</v>
      </c>
      <c r="K42" s="12" t="n">
        <f aca="false">I42/G42*(1-0.0025)/(1+0.001)-1</f>
        <v>0.0216783216783221</v>
      </c>
      <c r="L42" s="4" t="n">
        <v>1</v>
      </c>
      <c r="M42" s="4" t="s">
        <v>76</v>
      </c>
    </row>
    <row r="43" customFormat="false" ht="17.15" hidden="false" customHeight="false" outlineLevel="0" collapsed="false">
      <c r="A43" s="7" t="s">
        <v>153</v>
      </c>
      <c r="B43" s="4" t="s">
        <v>154</v>
      </c>
      <c r="C43" s="7" t="s">
        <v>51</v>
      </c>
      <c r="D43" s="7" t="s">
        <v>117</v>
      </c>
      <c r="E43" s="17" t="n">
        <v>43503</v>
      </c>
      <c r="F43" s="17" t="n">
        <v>43504</v>
      </c>
      <c r="G43" s="18" t="n">
        <v>46050</v>
      </c>
      <c r="H43" s="17" t="n">
        <v>43515</v>
      </c>
      <c r="I43" s="18" t="n">
        <v>43300</v>
      </c>
      <c r="J43" s="18" t="n">
        <v>41835</v>
      </c>
      <c r="K43" s="12" t="n">
        <f aca="false">I43/G43*(1-0.0025)/(1+0.001)-1</f>
        <v>-0.0630053985102844</v>
      </c>
      <c r="L43" s="4" t="n">
        <v>7</v>
      </c>
      <c r="M43" s="4" t="s">
        <v>76</v>
      </c>
    </row>
    <row r="44" customFormat="false" ht="17.15" hidden="false" customHeight="false" outlineLevel="0" collapsed="false">
      <c r="A44" s="7" t="s">
        <v>155</v>
      </c>
      <c r="B44" s="7" t="s">
        <v>156</v>
      </c>
      <c r="C44" s="7" t="s">
        <v>56</v>
      </c>
      <c r="D44" s="4" t="s">
        <v>114</v>
      </c>
      <c r="E44" s="17" t="n">
        <v>43511</v>
      </c>
      <c r="F44" s="17" t="n">
        <v>43514</v>
      </c>
      <c r="G44" s="18" t="n">
        <v>128500</v>
      </c>
      <c r="H44" s="17" t="n">
        <v>43515</v>
      </c>
      <c r="I44" s="18" t="n">
        <v>129000</v>
      </c>
      <c r="J44" s="18" t="n">
        <v>116650</v>
      </c>
      <c r="K44" s="12" t="n">
        <f aca="false">I44/G44*(1-0.0025)/(1+0.001)-1</f>
        <v>0.000380942015183239</v>
      </c>
      <c r="L44" s="4" t="n">
        <v>1</v>
      </c>
      <c r="M44" s="4" t="s">
        <v>76</v>
      </c>
    </row>
    <row r="45" customFormat="false" ht="17.15" hidden="false" customHeight="false" outlineLevel="0" collapsed="false">
      <c r="A45" s="7" t="s">
        <v>147</v>
      </c>
      <c r="B45" s="4" t="s">
        <v>148</v>
      </c>
      <c r="C45" s="7" t="s">
        <v>56</v>
      </c>
      <c r="D45" s="4" t="s">
        <v>93</v>
      </c>
      <c r="E45" s="17" t="n">
        <v>43514</v>
      </c>
      <c r="F45" s="17" t="n">
        <v>43515</v>
      </c>
      <c r="G45" s="18" t="n">
        <v>5259</v>
      </c>
      <c r="H45" s="17" t="n">
        <v>43516</v>
      </c>
      <c r="I45" s="18" t="n">
        <v>5285</v>
      </c>
      <c r="J45" s="18" t="n">
        <v>5038.1</v>
      </c>
      <c r="K45" s="12" t="n">
        <f aca="false">I45/G45*(1-0.0025)/(1+0.001)-1</f>
        <v>0.00143011580547259</v>
      </c>
      <c r="L45" s="4" t="n">
        <v>1</v>
      </c>
      <c r="M45" s="4" t="s">
        <v>76</v>
      </c>
    </row>
    <row r="46" customFormat="false" ht="17.15" hidden="false" customHeight="false" outlineLevel="0" collapsed="false">
      <c r="A46" s="7" t="s">
        <v>91</v>
      </c>
      <c r="B46" s="4" t="s">
        <v>92</v>
      </c>
      <c r="C46" s="7" t="s">
        <v>56</v>
      </c>
      <c r="D46" s="4" t="s">
        <v>90</v>
      </c>
      <c r="E46" s="17" t="n">
        <v>43514</v>
      </c>
      <c r="F46" s="17" t="n">
        <v>43515</v>
      </c>
      <c r="G46" s="18" t="n">
        <v>13500</v>
      </c>
      <c r="H46" s="17" t="n">
        <v>43518</v>
      </c>
      <c r="I46" s="18" t="n">
        <v>11030</v>
      </c>
      <c r="J46" s="18" t="n">
        <v>11030</v>
      </c>
      <c r="K46" s="12" t="n">
        <f aca="false">I46/G46*(1-0.0025)/(1+0.001)-1</f>
        <v>-0.185819735819736</v>
      </c>
      <c r="L46" s="4" t="n">
        <v>3</v>
      </c>
      <c r="M46" s="4" t="s">
        <v>80</v>
      </c>
    </row>
    <row r="47" customFormat="false" ht="17.15" hidden="false" customHeight="false" outlineLevel="0" collapsed="false">
      <c r="A47" s="7" t="s">
        <v>157</v>
      </c>
      <c r="B47" s="4" t="s">
        <v>158</v>
      </c>
      <c r="C47" s="7" t="s">
        <v>57</v>
      </c>
      <c r="D47" s="4" t="s">
        <v>140</v>
      </c>
      <c r="E47" s="17" t="n">
        <v>43503</v>
      </c>
      <c r="F47" s="17" t="n">
        <v>43504</v>
      </c>
      <c r="G47" s="18" t="n">
        <v>81363</v>
      </c>
      <c r="H47" s="17" t="n">
        <v>43521</v>
      </c>
      <c r="I47" s="18" t="n">
        <v>75628</v>
      </c>
      <c r="J47" s="18" t="n">
        <v>75628</v>
      </c>
      <c r="K47" s="12" t="n">
        <f aca="false">I47/G47*(1-0.0025)/(1+0.001)-1</f>
        <v>-0.0737366317175321</v>
      </c>
      <c r="L47" s="4" t="n">
        <v>11</v>
      </c>
      <c r="M47" s="4" t="s">
        <v>80</v>
      </c>
    </row>
    <row r="48" customFormat="false" ht="17.15" hidden="false" customHeight="false" outlineLevel="0" collapsed="false">
      <c r="A48" s="7" t="s">
        <v>147</v>
      </c>
      <c r="B48" s="4" t="s">
        <v>148</v>
      </c>
      <c r="C48" s="7" t="s">
        <v>56</v>
      </c>
      <c r="D48" s="4" t="s">
        <v>114</v>
      </c>
      <c r="E48" s="17" t="n">
        <v>43518</v>
      </c>
      <c r="F48" s="17" t="n">
        <v>43521</v>
      </c>
      <c r="G48" s="18" t="n">
        <v>5155</v>
      </c>
      <c r="H48" s="17" t="n">
        <v>43522</v>
      </c>
      <c r="I48" s="18" t="n">
        <v>5188</v>
      </c>
      <c r="J48" s="18" t="n">
        <v>4601.1</v>
      </c>
      <c r="K48" s="12" t="n">
        <f aca="false">I48/G48*(1-0.0025)/(1+0.001)-1</f>
        <v>0.00288266534629322</v>
      </c>
      <c r="L48" s="4" t="n">
        <v>1</v>
      </c>
      <c r="M48" s="4" t="s">
        <v>76</v>
      </c>
    </row>
    <row r="49" customFormat="false" ht="17.15" hidden="false" customHeight="false" outlineLevel="0" collapsed="false">
      <c r="A49" s="7" t="s">
        <v>159</v>
      </c>
      <c r="B49" s="4" t="s">
        <v>160</v>
      </c>
      <c r="C49" s="7" t="s">
        <v>56</v>
      </c>
      <c r="D49" s="4" t="s">
        <v>90</v>
      </c>
      <c r="E49" s="17" t="n">
        <v>43511</v>
      </c>
      <c r="F49" s="17" t="n">
        <v>43514</v>
      </c>
      <c r="G49" s="18" t="n">
        <v>8310</v>
      </c>
      <c r="H49" s="17" t="n">
        <v>43524</v>
      </c>
      <c r="I49" s="18" t="n">
        <v>6987.5</v>
      </c>
      <c r="J49" s="18" t="n">
        <v>6987.5</v>
      </c>
      <c r="K49" s="12" t="n">
        <f aca="false">I49/G49*(1-0.0025)/(1+0.001)-1</f>
        <v>-0.162085658024286</v>
      </c>
      <c r="L49" s="4" t="n">
        <v>8</v>
      </c>
      <c r="M49" s="4" t="s">
        <v>80</v>
      </c>
    </row>
    <row r="50" customFormat="false" ht="17.15" hidden="false" customHeight="false" outlineLevel="0" collapsed="false">
      <c r="A50" s="7" t="s">
        <v>161</v>
      </c>
      <c r="B50" s="4" t="s">
        <v>162</v>
      </c>
      <c r="C50" s="7" t="s">
        <v>56</v>
      </c>
      <c r="D50" s="4" t="s">
        <v>90</v>
      </c>
      <c r="E50" s="17" t="n">
        <v>43515</v>
      </c>
      <c r="F50" s="17" t="n">
        <v>43516</v>
      </c>
      <c r="G50" s="18" t="n">
        <v>25800</v>
      </c>
      <c r="H50" s="17" t="n">
        <v>43524</v>
      </c>
      <c r="I50" s="18" t="n">
        <v>22865</v>
      </c>
      <c r="J50" s="18" t="n">
        <v>22865</v>
      </c>
      <c r="K50" s="12" t="n">
        <f aca="false">I50/G50*(1-0.0025)/(1+0.001)-1</f>
        <v>-0.116858432265409</v>
      </c>
      <c r="L50" s="4" t="n">
        <v>6</v>
      </c>
      <c r="M50" s="4" t="s">
        <v>80</v>
      </c>
    </row>
    <row r="51" customFormat="false" ht="17.15" hidden="false" customHeight="false" outlineLevel="0" collapsed="false">
      <c r="A51" s="7" t="s">
        <v>163</v>
      </c>
      <c r="B51" s="4" t="s">
        <v>164</v>
      </c>
      <c r="C51" s="7" t="s">
        <v>55</v>
      </c>
      <c r="D51" s="7" t="s">
        <v>96</v>
      </c>
      <c r="E51" s="17" t="n">
        <v>43503</v>
      </c>
      <c r="F51" s="17" t="n">
        <v>43504</v>
      </c>
      <c r="G51" s="18" t="n">
        <v>206000</v>
      </c>
      <c r="H51" s="17" t="n">
        <v>43528</v>
      </c>
      <c r="I51" s="18" t="n">
        <v>189750</v>
      </c>
      <c r="J51" s="18" t="n">
        <v>189750</v>
      </c>
      <c r="K51" s="12" t="n">
        <f aca="false">I51/G51*(1-0.0025)/(1+0.001)-1</f>
        <v>-0.0821041822255413</v>
      </c>
      <c r="L51" s="4" t="n">
        <v>15</v>
      </c>
      <c r="M51" s="4" t="s">
        <v>80</v>
      </c>
    </row>
    <row r="52" customFormat="false" ht="17.15" hidden="false" customHeight="false" outlineLevel="0" collapsed="false">
      <c r="A52" s="7" t="s">
        <v>165</v>
      </c>
      <c r="B52" s="4" t="s">
        <v>166</v>
      </c>
      <c r="C52" s="7" t="s">
        <v>52</v>
      </c>
      <c r="D52" s="7" t="s">
        <v>79</v>
      </c>
      <c r="E52" s="17" t="n">
        <v>43521</v>
      </c>
      <c r="F52" s="17" t="n">
        <v>43522</v>
      </c>
      <c r="G52" s="18" t="n">
        <v>8627</v>
      </c>
      <c r="H52" s="17" t="n">
        <v>43532</v>
      </c>
      <c r="I52" s="18" t="n">
        <v>8333.1</v>
      </c>
      <c r="J52" s="18" t="n">
        <v>8333.1</v>
      </c>
      <c r="K52" s="12" t="n">
        <f aca="false">I52/G52*(1-0.0025)/(1+0.001)-1</f>
        <v>-0.0374448491117088</v>
      </c>
      <c r="L52" s="4" t="n">
        <v>7</v>
      </c>
      <c r="M52" s="4" t="s">
        <v>80</v>
      </c>
    </row>
    <row r="53" customFormat="false" ht="17.15" hidden="false" customHeight="false" outlineLevel="0" collapsed="false">
      <c r="A53" s="7" t="s">
        <v>167</v>
      </c>
      <c r="B53" s="4" t="s">
        <v>168</v>
      </c>
      <c r="C53" s="7" t="s">
        <v>55</v>
      </c>
      <c r="D53" s="7" t="s">
        <v>96</v>
      </c>
      <c r="E53" s="17" t="n">
        <v>43524</v>
      </c>
      <c r="F53" s="17" t="n">
        <v>43528</v>
      </c>
      <c r="G53" s="18" t="n">
        <v>42620</v>
      </c>
      <c r="H53" s="17" t="n">
        <v>43532</v>
      </c>
      <c r="I53" s="18" t="n">
        <v>40049</v>
      </c>
      <c r="J53" s="18" t="n">
        <v>40052.2</v>
      </c>
      <c r="K53" s="12" t="n">
        <f aca="false">I53/G53*(1-0.0025)/(1+0.001)-1</f>
        <v>-0.0636093727952009</v>
      </c>
      <c r="L53" s="4" t="n">
        <v>4</v>
      </c>
      <c r="M53" s="4" t="s">
        <v>80</v>
      </c>
    </row>
    <row r="54" customFormat="false" ht="17.15" hidden="false" customHeight="false" outlineLevel="0" collapsed="false">
      <c r="A54" s="7" t="s">
        <v>101</v>
      </c>
      <c r="B54" s="4" t="s">
        <v>102</v>
      </c>
      <c r="C54" s="7" t="s">
        <v>54</v>
      </c>
      <c r="D54" s="7" t="s">
        <v>85</v>
      </c>
      <c r="E54" s="17" t="n">
        <v>43528</v>
      </c>
      <c r="F54" s="17" t="n">
        <v>43529</v>
      </c>
      <c r="G54" s="18" t="n">
        <v>24371</v>
      </c>
      <c r="H54" s="17" t="n">
        <v>43539</v>
      </c>
      <c r="I54" s="18" t="n">
        <v>21398.5</v>
      </c>
      <c r="J54" s="18" t="n">
        <v>21398.5</v>
      </c>
      <c r="K54" s="12" t="n">
        <f aca="false">I54/G54*(1-0.0025)/(1+0.001)-1</f>
        <v>-0.125038772724547</v>
      </c>
      <c r="L54" s="4" t="n">
        <v>8</v>
      </c>
      <c r="M54" s="4" t="s">
        <v>80</v>
      </c>
    </row>
    <row r="55" customFormat="false" ht="17.15" hidden="false" customHeight="false" outlineLevel="0" collapsed="false">
      <c r="A55" s="7" t="s">
        <v>106</v>
      </c>
      <c r="B55" s="4" t="s">
        <v>107</v>
      </c>
      <c r="C55" s="7" t="s">
        <v>54</v>
      </c>
      <c r="D55" s="7" t="s">
        <v>85</v>
      </c>
      <c r="E55" s="17" t="n">
        <v>43504</v>
      </c>
      <c r="F55" s="17" t="n">
        <v>43507</v>
      </c>
      <c r="G55" s="18" t="n">
        <v>38600</v>
      </c>
      <c r="H55" s="17" t="n">
        <v>43545</v>
      </c>
      <c r="I55" s="18" t="n">
        <v>34730</v>
      </c>
      <c r="J55" s="18" t="n">
        <v>34730</v>
      </c>
      <c r="K55" s="12" t="n">
        <f aca="false">I55/G55*(1-0.0025)/(1+0.001)-1</f>
        <v>-0.103405014674445</v>
      </c>
      <c r="L55" s="4" t="n">
        <v>27</v>
      </c>
      <c r="M55" s="4" t="s">
        <v>80</v>
      </c>
    </row>
    <row r="56" customFormat="false" ht="17.15" hidden="false" customHeight="false" outlineLevel="0" collapsed="false">
      <c r="A56" s="7" t="s">
        <v>169</v>
      </c>
      <c r="B56" s="4" t="s">
        <v>170</v>
      </c>
      <c r="C56" s="7" t="s">
        <v>54</v>
      </c>
      <c r="D56" s="7" t="s">
        <v>85</v>
      </c>
      <c r="E56" s="17" t="n">
        <v>43503</v>
      </c>
      <c r="F56" s="17" t="n">
        <v>43504</v>
      </c>
      <c r="G56" s="18" t="n">
        <v>26450</v>
      </c>
      <c r="H56" s="17" t="n">
        <v>43546</v>
      </c>
      <c r="I56" s="18" t="n">
        <v>24700</v>
      </c>
      <c r="J56" s="18" t="n">
        <v>24700</v>
      </c>
      <c r="K56" s="12" t="n">
        <f aca="false">I56/G56*(1-0.0025)/(1+0.001)-1</f>
        <v>-0.069427736724523</v>
      </c>
      <c r="L56" s="4" t="n">
        <v>29</v>
      </c>
      <c r="M56" s="4" t="s">
        <v>80</v>
      </c>
    </row>
    <row r="57" customFormat="false" ht="17.15" hidden="false" customHeight="false" outlineLevel="0" collapsed="false">
      <c r="A57" s="7" t="s">
        <v>91</v>
      </c>
      <c r="B57" s="4" t="s">
        <v>92</v>
      </c>
      <c r="C57" s="7" t="s">
        <v>56</v>
      </c>
      <c r="D57" s="4" t="s">
        <v>90</v>
      </c>
      <c r="E57" s="17" t="n">
        <v>43524</v>
      </c>
      <c r="F57" s="17" t="n">
        <v>43528</v>
      </c>
      <c r="G57" s="18" t="n">
        <v>12950</v>
      </c>
      <c r="H57" s="17" t="n">
        <v>43549</v>
      </c>
      <c r="I57" s="18" t="n">
        <v>11300</v>
      </c>
      <c r="J57" s="18" t="n">
        <v>10420</v>
      </c>
      <c r="K57" s="12" t="n">
        <f aca="false">I57/G57*(1-0.0025)/(1+0.001)-1</f>
        <v>-0.13046413046413</v>
      </c>
      <c r="L57" s="4" t="n">
        <v>15</v>
      </c>
      <c r="M57" s="4" t="s">
        <v>76</v>
      </c>
    </row>
    <row r="58" customFormat="false" ht="17.15" hidden="false" customHeight="false" outlineLevel="0" collapsed="false">
      <c r="A58" s="7" t="s">
        <v>73</v>
      </c>
      <c r="B58" s="4" t="s">
        <v>74</v>
      </c>
      <c r="C58" s="7" t="s">
        <v>50</v>
      </c>
      <c r="D58" s="7" t="s">
        <v>105</v>
      </c>
      <c r="E58" s="17" t="n">
        <v>43545</v>
      </c>
      <c r="F58" s="17" t="n">
        <v>43546</v>
      </c>
      <c r="G58" s="18" t="n">
        <v>11350</v>
      </c>
      <c r="H58" s="17" t="n">
        <v>43552</v>
      </c>
      <c r="I58" s="18" t="n">
        <v>10255</v>
      </c>
      <c r="J58" s="18" t="n">
        <v>10255</v>
      </c>
      <c r="K58" s="12" t="n">
        <f aca="false">I58/G58*(1-0.0025)/(1+0.001)-1</f>
        <v>-0.0996349465512461</v>
      </c>
      <c r="L58" s="4" t="n">
        <v>4</v>
      </c>
      <c r="M58" s="4" t="s">
        <v>80</v>
      </c>
    </row>
    <row r="59" customFormat="false" ht="17.15" hidden="false" customHeight="false" outlineLevel="0" collapsed="false">
      <c r="A59" s="7" t="s">
        <v>171</v>
      </c>
      <c r="B59" s="4" t="s">
        <v>172</v>
      </c>
      <c r="C59" s="7" t="s">
        <v>54</v>
      </c>
      <c r="D59" s="7" t="s">
        <v>85</v>
      </c>
      <c r="E59" s="17" t="n">
        <v>43546</v>
      </c>
      <c r="F59" s="17" t="n">
        <v>43549</v>
      </c>
      <c r="G59" s="18" t="n">
        <v>65500</v>
      </c>
      <c r="H59" s="17" t="n">
        <v>43552</v>
      </c>
      <c r="I59" s="18" t="n">
        <v>63850</v>
      </c>
      <c r="J59" s="18" t="n">
        <v>63850</v>
      </c>
      <c r="K59" s="12" t="n">
        <f aca="false">I59/G59*(1-0.0025)/(1+0.001)-1</f>
        <v>-0.0285992633320876</v>
      </c>
      <c r="L59" s="4" t="n">
        <v>3</v>
      </c>
      <c r="M59" s="4" t="s">
        <v>80</v>
      </c>
    </row>
    <row r="60" customFormat="false" ht="17.15" hidden="false" customHeight="false" outlineLevel="0" collapsed="false">
      <c r="A60" s="7" t="s">
        <v>173</v>
      </c>
      <c r="B60" s="4" t="s">
        <v>174</v>
      </c>
      <c r="C60" s="7" t="s">
        <v>53</v>
      </c>
      <c r="D60" s="7" t="s">
        <v>131</v>
      </c>
      <c r="E60" s="17" t="n">
        <v>43508</v>
      </c>
      <c r="F60" s="17" t="n">
        <v>43509</v>
      </c>
      <c r="G60" s="18" t="n">
        <v>27177</v>
      </c>
      <c r="H60" s="17" t="n">
        <v>43553</v>
      </c>
      <c r="I60" s="18" t="n">
        <v>24424.9</v>
      </c>
      <c r="J60" s="18" t="n">
        <v>24424.9</v>
      </c>
      <c r="K60" s="12" t="n">
        <f aca="false">I60/G60*(1-0.0025)/(1+0.001)-1</f>
        <v>-0.104408203563739</v>
      </c>
      <c r="L60" s="4" t="n">
        <v>31</v>
      </c>
      <c r="M60" s="4" t="s">
        <v>80</v>
      </c>
    </row>
    <row r="61" customFormat="false" ht="17.15" hidden="false" customHeight="false" outlineLevel="0" collapsed="false">
      <c r="A61" s="7" t="s">
        <v>91</v>
      </c>
      <c r="B61" s="4" t="s">
        <v>92</v>
      </c>
      <c r="C61" s="7" t="s">
        <v>56</v>
      </c>
      <c r="D61" s="4" t="s">
        <v>90</v>
      </c>
      <c r="E61" s="17" t="n">
        <v>43552</v>
      </c>
      <c r="F61" s="17" t="n">
        <v>43553</v>
      </c>
      <c r="G61" s="18" t="n">
        <v>11650</v>
      </c>
      <c r="H61" s="17" t="n">
        <v>43556</v>
      </c>
      <c r="I61" s="18" t="n">
        <v>11750</v>
      </c>
      <c r="J61" s="18" t="n">
        <v>10440</v>
      </c>
      <c r="K61" s="12" t="n">
        <f aca="false">I61/G61*(1-0.0025)/(1+0.001)-1</f>
        <v>0.0050571745850716</v>
      </c>
      <c r="L61" s="4" t="n">
        <v>1</v>
      </c>
      <c r="M61" s="4" t="s">
        <v>76</v>
      </c>
    </row>
    <row r="62" customFormat="false" ht="17.15" hidden="false" customHeight="false" outlineLevel="0" collapsed="false">
      <c r="A62" s="7" t="s">
        <v>161</v>
      </c>
      <c r="B62" s="4" t="s">
        <v>162</v>
      </c>
      <c r="C62" s="7" t="s">
        <v>58</v>
      </c>
      <c r="D62" s="7" t="s">
        <v>175</v>
      </c>
      <c r="E62" s="17" t="n">
        <v>43553</v>
      </c>
      <c r="F62" s="17" t="n">
        <v>43556</v>
      </c>
      <c r="G62" s="18" t="n">
        <v>16000</v>
      </c>
      <c r="H62" s="17" t="n">
        <v>43557</v>
      </c>
      <c r="I62" s="18" t="n">
        <v>16350</v>
      </c>
      <c r="J62" s="18" t="n">
        <v>12440</v>
      </c>
      <c r="K62" s="12" t="n">
        <f aca="false">I62/G62*(1-0.0025)/(1+0.001)-1</f>
        <v>0.0183020104895106</v>
      </c>
      <c r="L62" s="4" t="n">
        <v>1</v>
      </c>
      <c r="M62" s="4" t="s">
        <v>76</v>
      </c>
    </row>
    <row r="63" customFormat="false" ht="17.15" hidden="false" customHeight="false" outlineLevel="0" collapsed="false">
      <c r="A63" s="7" t="s">
        <v>91</v>
      </c>
      <c r="B63" s="4" t="s">
        <v>92</v>
      </c>
      <c r="C63" s="7" t="s">
        <v>56</v>
      </c>
      <c r="D63" s="4" t="s">
        <v>90</v>
      </c>
      <c r="E63" s="17" t="n">
        <v>43556</v>
      </c>
      <c r="F63" s="17" t="n">
        <v>43557</v>
      </c>
      <c r="G63" s="18" t="n">
        <v>11950</v>
      </c>
      <c r="H63" s="17" t="n">
        <v>43558</v>
      </c>
      <c r="I63" s="18" t="n">
        <v>12300</v>
      </c>
      <c r="J63" s="18" t="n">
        <v>10655</v>
      </c>
      <c r="K63" s="12" t="n">
        <f aca="false">I63/G63*(1-0.0025)/(1+0.001)-1</f>
        <v>0.0256897913801679</v>
      </c>
      <c r="L63" s="4" t="n">
        <v>1</v>
      </c>
      <c r="M63" s="4" t="s">
        <v>76</v>
      </c>
    </row>
    <row r="64" customFormat="false" ht="17.15" hidden="false" customHeight="false" outlineLevel="0" collapsed="false">
      <c r="A64" s="7" t="s">
        <v>151</v>
      </c>
      <c r="B64" s="4" t="s">
        <v>152</v>
      </c>
      <c r="C64" s="7" t="s">
        <v>54</v>
      </c>
      <c r="D64" s="7" t="s">
        <v>85</v>
      </c>
      <c r="E64" s="17" t="n">
        <v>43553</v>
      </c>
      <c r="F64" s="17" t="n">
        <v>43556</v>
      </c>
      <c r="G64" s="18" t="n">
        <v>78400</v>
      </c>
      <c r="H64" s="17" t="n">
        <v>43558</v>
      </c>
      <c r="I64" s="18" t="n">
        <v>71920</v>
      </c>
      <c r="J64" s="18" t="n">
        <v>71920</v>
      </c>
      <c r="K64" s="12" t="n">
        <f aca="false">I64/G64*(1-0.0025)/(1+0.001)-1</f>
        <v>-0.085860568003425</v>
      </c>
      <c r="L64" s="4" t="n">
        <v>2</v>
      </c>
      <c r="M64" s="4" t="s">
        <v>80</v>
      </c>
    </row>
    <row r="65" customFormat="false" ht="17.15" hidden="false" customHeight="false" outlineLevel="0" collapsed="false">
      <c r="A65" s="7" t="s">
        <v>161</v>
      </c>
      <c r="B65" s="4" t="s">
        <v>162</v>
      </c>
      <c r="C65" s="7" t="s">
        <v>48</v>
      </c>
      <c r="D65" s="7" t="s">
        <v>75</v>
      </c>
      <c r="E65" s="17" t="n">
        <v>43557</v>
      </c>
      <c r="F65" s="17" t="n">
        <v>43558</v>
      </c>
      <c r="G65" s="18" t="n">
        <v>15900</v>
      </c>
      <c r="H65" s="17" t="n">
        <v>43559</v>
      </c>
      <c r="I65" s="18" t="n">
        <v>15850</v>
      </c>
      <c r="J65" s="18" t="n">
        <v>13315</v>
      </c>
      <c r="K65" s="12" t="n">
        <f aca="false">I65/G65*(1-0.0025)/(1+0.001)-1</f>
        <v>-0.00663016229053948</v>
      </c>
      <c r="L65" s="4" t="n">
        <v>1</v>
      </c>
      <c r="M65" s="4" t="s">
        <v>76</v>
      </c>
    </row>
    <row r="66" customFormat="false" ht="17.15" hidden="false" customHeight="false" outlineLevel="0" collapsed="false">
      <c r="A66" s="7" t="s">
        <v>159</v>
      </c>
      <c r="B66" s="4" t="s">
        <v>160</v>
      </c>
      <c r="C66" s="7" t="s">
        <v>56</v>
      </c>
      <c r="D66" s="4" t="s">
        <v>90</v>
      </c>
      <c r="E66" s="17" t="n">
        <v>43558</v>
      </c>
      <c r="F66" s="17" t="n">
        <v>43559</v>
      </c>
      <c r="G66" s="18" t="n">
        <v>7160</v>
      </c>
      <c r="H66" s="17" t="n">
        <v>43564</v>
      </c>
      <c r="I66" s="18" t="n">
        <v>6920</v>
      </c>
      <c r="J66" s="18" t="n">
        <v>6328</v>
      </c>
      <c r="K66" s="12" t="n">
        <f aca="false">I66/G66*(1-0.0025)/(1+0.001)-1</f>
        <v>-0.0368988553346094</v>
      </c>
      <c r="L66" s="4" t="n">
        <v>3</v>
      </c>
      <c r="M66" s="4" t="s">
        <v>76</v>
      </c>
    </row>
    <row r="67" customFormat="false" ht="17.15" hidden="false" customHeight="false" outlineLevel="0" collapsed="false">
      <c r="A67" s="7" t="s">
        <v>176</v>
      </c>
      <c r="B67" s="4" t="s">
        <v>177</v>
      </c>
      <c r="C67" s="7" t="s">
        <v>52</v>
      </c>
      <c r="D67" s="7" t="s">
        <v>79</v>
      </c>
      <c r="E67" s="17" t="n">
        <v>43503</v>
      </c>
      <c r="F67" s="17" t="n">
        <v>43504</v>
      </c>
      <c r="G67" s="18" t="n">
        <v>43500</v>
      </c>
      <c r="H67" s="17" t="n">
        <v>43572</v>
      </c>
      <c r="I67" s="18" t="n">
        <v>41800</v>
      </c>
      <c r="J67" s="18" t="n">
        <v>41055</v>
      </c>
      <c r="K67" s="12" t="n">
        <f aca="false">I67/G67*(1-0.0025)/(1+0.001)-1</f>
        <v>-0.0424403183023872</v>
      </c>
      <c r="L67" s="4" t="n">
        <v>47</v>
      </c>
      <c r="M67" s="4" t="s">
        <v>76</v>
      </c>
    </row>
    <row r="68" customFormat="false" ht="17.15" hidden="false" customHeight="false" outlineLevel="0" collapsed="false">
      <c r="A68" s="7" t="s">
        <v>120</v>
      </c>
      <c r="B68" s="4" t="s">
        <v>121</v>
      </c>
      <c r="C68" s="7" t="s">
        <v>54</v>
      </c>
      <c r="D68" s="7" t="s">
        <v>85</v>
      </c>
      <c r="E68" s="17" t="n">
        <v>43503</v>
      </c>
      <c r="F68" s="17" t="n">
        <v>43504</v>
      </c>
      <c r="G68" s="18" t="n">
        <v>47200</v>
      </c>
      <c r="H68" s="17" t="n">
        <v>43573</v>
      </c>
      <c r="I68" s="18" t="n">
        <v>46150</v>
      </c>
      <c r="J68" s="18" t="n">
        <v>43540</v>
      </c>
      <c r="K68" s="12" t="n">
        <f aca="false">I68/G68*(1-0.0025)/(1+0.001)-1</f>
        <v>-0.0256644838212633</v>
      </c>
      <c r="L68" s="4" t="n">
        <v>48</v>
      </c>
      <c r="M68" s="4" t="s">
        <v>76</v>
      </c>
    </row>
    <row r="69" customFormat="false" ht="17.15" hidden="false" customHeight="false" outlineLevel="0" collapsed="false">
      <c r="A69" s="7" t="s">
        <v>151</v>
      </c>
      <c r="B69" s="4" t="s">
        <v>152</v>
      </c>
      <c r="C69" s="7" t="s">
        <v>54</v>
      </c>
      <c r="D69" s="7" t="s">
        <v>85</v>
      </c>
      <c r="E69" s="17" t="n">
        <v>43571</v>
      </c>
      <c r="F69" s="17" t="n">
        <v>43572</v>
      </c>
      <c r="G69" s="18" t="n">
        <v>77800</v>
      </c>
      <c r="H69" s="17" t="n">
        <v>43573</v>
      </c>
      <c r="I69" s="18" t="n">
        <v>75450</v>
      </c>
      <c r="J69" s="18" t="n">
        <v>75450</v>
      </c>
      <c r="K69" s="12" t="n">
        <f aca="false">I69/G69*(1-0.0025)/(1+0.001)-1</f>
        <v>-0.0335965448433313</v>
      </c>
      <c r="L69" s="4" t="n">
        <v>1</v>
      </c>
      <c r="M69" s="4" t="s">
        <v>80</v>
      </c>
    </row>
    <row r="70" customFormat="false" ht="17.15" hidden="false" customHeight="false" outlineLevel="0" collapsed="false">
      <c r="A70" s="7" t="s">
        <v>91</v>
      </c>
      <c r="B70" s="4" t="s">
        <v>92</v>
      </c>
      <c r="C70" s="7" t="s">
        <v>56</v>
      </c>
      <c r="D70" s="4" t="s">
        <v>114</v>
      </c>
      <c r="E70" s="17" t="n">
        <v>43572</v>
      </c>
      <c r="F70" s="17" t="n">
        <v>43573</v>
      </c>
      <c r="G70" s="18" t="n">
        <v>12550</v>
      </c>
      <c r="H70" s="17" t="n">
        <v>43577</v>
      </c>
      <c r="I70" s="18" t="n">
        <v>12350</v>
      </c>
      <c r="J70" s="18" t="n">
        <v>11335</v>
      </c>
      <c r="K70" s="12" t="n">
        <f aca="false">I70/G70*(1-0.0025)/(1+0.001)-1</f>
        <v>-0.0193770373053239</v>
      </c>
      <c r="L70" s="4" t="n">
        <v>2</v>
      </c>
      <c r="M70" s="4" t="s">
        <v>76</v>
      </c>
    </row>
    <row r="71" customFormat="false" ht="17.15" hidden="false" customHeight="false" outlineLevel="0" collapsed="false">
      <c r="A71" s="7" t="s">
        <v>178</v>
      </c>
      <c r="B71" s="4" t="s">
        <v>179</v>
      </c>
      <c r="C71" s="7" t="s">
        <v>51</v>
      </c>
      <c r="D71" s="7" t="s">
        <v>117</v>
      </c>
      <c r="E71" s="17" t="n">
        <v>43574</v>
      </c>
      <c r="F71" s="17" t="n">
        <v>43577</v>
      </c>
      <c r="G71" s="18" t="n">
        <v>17900</v>
      </c>
      <c r="H71" s="17" t="n">
        <v>43578</v>
      </c>
      <c r="I71" s="18" t="n">
        <v>18100</v>
      </c>
      <c r="J71" s="18" t="n">
        <v>16200</v>
      </c>
      <c r="K71" s="12" t="n">
        <f aca="false">I71/G71*(1-0.0025)/(1+0.001)-1</f>
        <v>0.00763761378286532</v>
      </c>
      <c r="L71" s="4" t="n">
        <v>1</v>
      </c>
      <c r="M71" s="4" t="s">
        <v>76</v>
      </c>
    </row>
    <row r="72" customFormat="false" ht="17.15" hidden="false" customHeight="false" outlineLevel="0" collapsed="false">
      <c r="A72" s="7" t="s">
        <v>180</v>
      </c>
      <c r="B72" s="4" t="s">
        <v>181</v>
      </c>
      <c r="C72" s="7" t="s">
        <v>57</v>
      </c>
      <c r="D72" s="4" t="s">
        <v>182</v>
      </c>
      <c r="E72" s="17" t="n">
        <v>43573</v>
      </c>
      <c r="F72" s="17" t="n">
        <v>43574</v>
      </c>
      <c r="G72" s="18" t="n">
        <v>36850</v>
      </c>
      <c r="H72" s="17" t="n">
        <v>43579</v>
      </c>
      <c r="I72" s="18" t="n">
        <v>35310</v>
      </c>
      <c r="J72" s="18" t="n">
        <v>35310</v>
      </c>
      <c r="K72" s="12" t="n">
        <f aca="false">I72/G72*(1-0.0025)/(1+0.001)-1</f>
        <v>-0.0451414257384405</v>
      </c>
      <c r="L72" s="4" t="n">
        <v>3</v>
      </c>
      <c r="M72" s="4" t="s">
        <v>80</v>
      </c>
    </row>
    <row r="73" customFormat="false" ht="17.15" hidden="false" customHeight="false" outlineLevel="0" collapsed="false">
      <c r="A73" s="7" t="s">
        <v>183</v>
      </c>
      <c r="B73" s="4" t="s">
        <v>184</v>
      </c>
      <c r="C73" s="7" t="s">
        <v>54</v>
      </c>
      <c r="D73" s="7" t="s">
        <v>85</v>
      </c>
      <c r="E73" s="17" t="n">
        <v>43521</v>
      </c>
      <c r="F73" s="17" t="n">
        <v>43522</v>
      </c>
      <c r="G73" s="18" t="n">
        <v>21368</v>
      </c>
      <c r="H73" s="17" t="n">
        <v>43584</v>
      </c>
      <c r="I73" s="18" t="n">
        <v>22782</v>
      </c>
      <c r="J73" s="18" t="n">
        <v>19289.5</v>
      </c>
      <c r="K73" s="12" t="n">
        <f aca="false">I73/G73*(1-0.0025)/(1+0.001)-1</f>
        <v>0.0624458375768748</v>
      </c>
      <c r="L73" s="4" t="n">
        <v>43</v>
      </c>
      <c r="M73" s="4" t="s">
        <v>76</v>
      </c>
    </row>
    <row r="74" customFormat="false" ht="17.15" hidden="false" customHeight="false" outlineLevel="0" collapsed="false">
      <c r="A74" s="7" t="s">
        <v>185</v>
      </c>
      <c r="B74" s="4" t="s">
        <v>186</v>
      </c>
      <c r="C74" s="7" t="s">
        <v>48</v>
      </c>
      <c r="D74" s="7" t="s">
        <v>75</v>
      </c>
      <c r="E74" s="17" t="n">
        <v>43546</v>
      </c>
      <c r="F74" s="17" t="n">
        <v>43549</v>
      </c>
      <c r="G74" s="18" t="n">
        <v>44695</v>
      </c>
      <c r="H74" s="17" t="n">
        <v>43585</v>
      </c>
      <c r="I74" s="18" t="n">
        <v>39504.9</v>
      </c>
      <c r="J74" s="18" t="n">
        <v>39504.9</v>
      </c>
      <c r="K74" s="12" t="n">
        <f aca="false">I74/G74*(1-0.0025)/(1+0.001)-1</f>
        <v>-0.119213089181766</v>
      </c>
      <c r="L74" s="4" t="n">
        <v>26</v>
      </c>
      <c r="M74" s="4" t="s">
        <v>80</v>
      </c>
    </row>
    <row r="75" customFormat="false" ht="17.15" hidden="false" customHeight="false" outlineLevel="0" collapsed="false">
      <c r="A75" s="7" t="s">
        <v>187</v>
      </c>
      <c r="B75" s="4" t="s">
        <v>188</v>
      </c>
      <c r="C75" s="7" t="s">
        <v>55</v>
      </c>
      <c r="D75" s="7" t="s">
        <v>96</v>
      </c>
      <c r="E75" s="17" t="n">
        <v>43579</v>
      </c>
      <c r="F75" s="17" t="n">
        <v>43580</v>
      </c>
      <c r="G75" s="18" t="n">
        <v>107000</v>
      </c>
      <c r="H75" s="17" t="n">
        <v>43592</v>
      </c>
      <c r="I75" s="18" t="n">
        <v>98460</v>
      </c>
      <c r="J75" s="18" t="n">
        <v>98460</v>
      </c>
      <c r="K75" s="12" t="n">
        <f aca="false">I75/G75*(1-0.0025)/(1+0.001)-1</f>
        <v>-0.083030520880988</v>
      </c>
      <c r="L75" s="4" t="n">
        <v>6</v>
      </c>
      <c r="M75" s="4" t="s">
        <v>80</v>
      </c>
    </row>
    <row r="76" customFormat="false" ht="17.15" hidden="false" customHeight="false" outlineLevel="0" collapsed="false">
      <c r="A76" s="7" t="s">
        <v>189</v>
      </c>
      <c r="B76" s="4" t="s">
        <v>190</v>
      </c>
      <c r="C76" s="7" t="s">
        <v>49</v>
      </c>
      <c r="D76" s="7" t="s">
        <v>124</v>
      </c>
      <c r="E76" s="17" t="n">
        <v>43581</v>
      </c>
      <c r="F76" s="17" t="n">
        <v>43584</v>
      </c>
      <c r="G76" s="18" t="n">
        <v>37400</v>
      </c>
      <c r="H76" s="17" t="n">
        <v>43593</v>
      </c>
      <c r="I76" s="18" t="n">
        <v>34950</v>
      </c>
      <c r="J76" s="18" t="n">
        <v>33775</v>
      </c>
      <c r="K76" s="12" t="n">
        <f aca="false">I76/G76*(1-0.0025)/(1+0.001)-1</f>
        <v>-0.0687754758610373</v>
      </c>
      <c r="L76" s="4" t="n">
        <v>5</v>
      </c>
      <c r="M76" s="4" t="s">
        <v>76</v>
      </c>
    </row>
    <row r="77" customFormat="false" ht="17.15" hidden="false" customHeight="false" outlineLevel="0" collapsed="false">
      <c r="A77" s="7" t="s">
        <v>171</v>
      </c>
      <c r="B77" s="4" t="s">
        <v>172</v>
      </c>
      <c r="C77" s="7" t="s">
        <v>54</v>
      </c>
      <c r="D77" s="7" t="s">
        <v>85</v>
      </c>
      <c r="E77" s="17" t="n">
        <v>43558</v>
      </c>
      <c r="F77" s="17" t="n">
        <v>43559</v>
      </c>
      <c r="G77" s="18" t="n">
        <v>75800</v>
      </c>
      <c r="H77" s="17" t="n">
        <v>43594</v>
      </c>
      <c r="I77" s="18" t="n">
        <v>66530</v>
      </c>
      <c r="J77" s="18" t="n">
        <v>66530</v>
      </c>
      <c r="K77" s="12" t="n">
        <f aca="false">I77/G77*(1-0.0025)/(1+0.001)-1</f>
        <v>-0.125364411314279</v>
      </c>
      <c r="L77" s="4" t="n">
        <v>23</v>
      </c>
      <c r="M77" s="4" t="s">
        <v>80</v>
      </c>
    </row>
    <row r="78" customFormat="false" ht="17.15" hidden="false" customHeight="false" outlineLevel="0" collapsed="false">
      <c r="A78" s="7" t="s">
        <v>191</v>
      </c>
      <c r="B78" s="7" t="s">
        <v>192</v>
      </c>
      <c r="C78" s="7" t="s">
        <v>53</v>
      </c>
      <c r="D78" s="7" t="s">
        <v>193</v>
      </c>
      <c r="E78" s="17" t="n">
        <v>43552</v>
      </c>
      <c r="F78" s="17" t="n">
        <v>43553</v>
      </c>
      <c r="G78" s="18" t="n">
        <v>496000</v>
      </c>
      <c r="H78" s="17" t="n">
        <v>43595</v>
      </c>
      <c r="I78" s="18" t="n">
        <v>471500</v>
      </c>
      <c r="J78" s="18" t="n">
        <v>471750</v>
      </c>
      <c r="K78" s="12" t="n">
        <f aca="false">I78/G78*(1-0.0025)/(1+0.001)-1</f>
        <v>-0.0527189544326639</v>
      </c>
      <c r="L78" s="4" t="n">
        <v>28</v>
      </c>
      <c r="M78" s="4" t="s">
        <v>80</v>
      </c>
    </row>
    <row r="79" customFormat="false" ht="17.15" hidden="false" customHeight="false" outlineLevel="0" collapsed="false">
      <c r="A79" s="7" t="s">
        <v>73</v>
      </c>
      <c r="B79" s="4" t="s">
        <v>74</v>
      </c>
      <c r="C79" s="7" t="s">
        <v>50</v>
      </c>
      <c r="D79" s="7" t="s">
        <v>105</v>
      </c>
      <c r="E79" s="17" t="n">
        <v>43592</v>
      </c>
      <c r="F79" s="17" t="n">
        <v>43593</v>
      </c>
      <c r="G79" s="18" t="n">
        <v>11250</v>
      </c>
      <c r="H79" s="17" t="n">
        <v>43595</v>
      </c>
      <c r="I79" s="18" t="n">
        <v>10495</v>
      </c>
      <c r="J79" s="18" t="n">
        <v>10495</v>
      </c>
      <c r="K79" s="12" t="n">
        <f aca="false">I79/G79*(1-0.0025)/(1+0.001)-1</f>
        <v>-0.0703729603729603</v>
      </c>
      <c r="L79" s="4" t="n">
        <v>2</v>
      </c>
      <c r="M79" s="4" t="s">
        <v>80</v>
      </c>
    </row>
    <row r="80" customFormat="false" ht="17.15" hidden="false" customHeight="false" outlineLevel="0" collapsed="false">
      <c r="A80" s="7" t="s">
        <v>194</v>
      </c>
      <c r="B80" s="4" t="s">
        <v>195</v>
      </c>
      <c r="C80" s="7" t="s">
        <v>52</v>
      </c>
      <c r="D80" s="7" t="s">
        <v>79</v>
      </c>
      <c r="E80" s="17" t="n">
        <v>43585</v>
      </c>
      <c r="F80" s="17" t="n">
        <v>43587</v>
      </c>
      <c r="G80" s="18" t="n">
        <v>8669</v>
      </c>
      <c r="H80" s="17" t="n">
        <v>43598</v>
      </c>
      <c r="I80" s="18" t="n">
        <v>6279</v>
      </c>
      <c r="J80" s="18" t="n">
        <v>6279</v>
      </c>
      <c r="K80" s="12" t="n">
        <f aca="false">I80/G80*(1-0.0025)/(1+0.001)-1</f>
        <v>-0.278227540137795</v>
      </c>
      <c r="L80" s="4" t="n">
        <v>6</v>
      </c>
      <c r="M80" s="4" t="s">
        <v>80</v>
      </c>
    </row>
    <row r="81" customFormat="false" ht="17.15" hidden="false" customHeight="false" outlineLevel="0" collapsed="false">
      <c r="A81" s="7" t="s">
        <v>183</v>
      </c>
      <c r="B81" s="4" t="s">
        <v>184</v>
      </c>
      <c r="C81" s="7" t="s">
        <v>51</v>
      </c>
      <c r="D81" s="7" t="s">
        <v>117</v>
      </c>
      <c r="E81" s="17" t="n">
        <v>43595</v>
      </c>
      <c r="F81" s="17" t="n">
        <v>43598</v>
      </c>
      <c r="G81" s="18" t="n">
        <v>24500</v>
      </c>
      <c r="H81" s="17" t="n">
        <v>43600</v>
      </c>
      <c r="I81" s="18" t="n">
        <v>23970</v>
      </c>
      <c r="J81" s="18" t="n">
        <v>21368.5</v>
      </c>
      <c r="K81" s="12" t="n">
        <f aca="false">I81/G81*(1-0.0025)/(1+0.001)-1</f>
        <v>-0.0250535179106606</v>
      </c>
      <c r="L81" s="4" t="n">
        <v>2</v>
      </c>
      <c r="M81" s="4" t="s">
        <v>76</v>
      </c>
    </row>
    <row r="82" customFormat="false" ht="17.15" hidden="false" customHeight="false" outlineLevel="0" collapsed="false">
      <c r="A82" s="7" t="s">
        <v>88</v>
      </c>
      <c r="B82" s="4" t="s">
        <v>89</v>
      </c>
      <c r="C82" s="7" t="s">
        <v>54</v>
      </c>
      <c r="D82" s="7" t="s">
        <v>85</v>
      </c>
      <c r="E82" s="17" t="n">
        <v>43532</v>
      </c>
      <c r="F82" s="17" t="n">
        <v>43535</v>
      </c>
      <c r="G82" s="18" t="n">
        <v>8217</v>
      </c>
      <c r="H82" s="17" t="n">
        <v>43606</v>
      </c>
      <c r="I82" s="18" t="n">
        <v>8580</v>
      </c>
      <c r="J82" s="18" t="n">
        <v>7579.1</v>
      </c>
      <c r="K82" s="12" t="n">
        <f aca="false">I82/G82*(1-0.0025)/(1+0.001)-1</f>
        <v>0.0405257393209202</v>
      </c>
      <c r="L82" s="4" t="n">
        <v>49</v>
      </c>
      <c r="M82" s="4" t="s">
        <v>76</v>
      </c>
    </row>
    <row r="83" customFormat="false" ht="17.15" hidden="false" customHeight="false" outlineLevel="0" collapsed="false">
      <c r="A83" s="7" t="s">
        <v>196</v>
      </c>
      <c r="B83" s="4" t="s">
        <v>197</v>
      </c>
      <c r="C83" s="7" t="s">
        <v>57</v>
      </c>
      <c r="D83" s="4" t="s">
        <v>140</v>
      </c>
      <c r="E83" s="17" t="n">
        <v>43539</v>
      </c>
      <c r="F83" s="17" t="n">
        <v>43542</v>
      </c>
      <c r="G83" s="18" t="n">
        <v>40150</v>
      </c>
      <c r="H83" s="17" t="n">
        <v>43607</v>
      </c>
      <c r="I83" s="18" t="n">
        <v>38750</v>
      </c>
      <c r="J83" s="18" t="n">
        <v>35000</v>
      </c>
      <c r="K83" s="12" t="n">
        <f aca="false">I83/G83*(1-0.0025)/(1+0.001)-1</f>
        <v>-0.0382438234243961</v>
      </c>
      <c r="L83" s="4" t="n">
        <v>45</v>
      </c>
      <c r="M83" s="4" t="s">
        <v>76</v>
      </c>
    </row>
    <row r="84" customFormat="false" ht="17.15" hidden="false" customHeight="false" outlineLevel="0" collapsed="false">
      <c r="A84" s="7" t="s">
        <v>118</v>
      </c>
      <c r="B84" s="4" t="s">
        <v>119</v>
      </c>
      <c r="C84" s="7" t="s">
        <v>56</v>
      </c>
      <c r="D84" s="4" t="s">
        <v>114</v>
      </c>
      <c r="E84" s="17" t="n">
        <v>43577</v>
      </c>
      <c r="F84" s="17" t="n">
        <v>43578</v>
      </c>
      <c r="G84" s="18" t="n">
        <v>36700</v>
      </c>
      <c r="H84" s="17" t="n">
        <v>43637</v>
      </c>
      <c r="I84" s="18" t="n">
        <v>33985</v>
      </c>
      <c r="J84" s="18" t="n">
        <v>33985</v>
      </c>
      <c r="K84" s="12" t="n">
        <f aca="false">I84/G84*(1-0.0025)/(1+0.001)-1</f>
        <v>-0.0772160400906993</v>
      </c>
      <c r="L84" s="4" t="n">
        <v>40</v>
      </c>
      <c r="M84" s="4" t="s">
        <v>80</v>
      </c>
    </row>
    <row r="85" customFormat="false" ht="17.15" hidden="false" customHeight="false" outlineLevel="0" collapsed="false">
      <c r="A85" s="7" t="s">
        <v>97</v>
      </c>
      <c r="B85" s="4" t="s">
        <v>98</v>
      </c>
      <c r="C85" s="7" t="s">
        <v>50</v>
      </c>
      <c r="D85" s="7" t="s">
        <v>105</v>
      </c>
      <c r="E85" s="17" t="n">
        <v>43594</v>
      </c>
      <c r="F85" s="17" t="n">
        <v>43595</v>
      </c>
      <c r="G85" s="18" t="n">
        <v>3660</v>
      </c>
      <c r="H85" s="17" t="n">
        <v>43649</v>
      </c>
      <c r="I85" s="18" t="n">
        <v>3815</v>
      </c>
      <c r="J85" s="18" t="n">
        <v>3271.5</v>
      </c>
      <c r="K85" s="12" t="n">
        <f aca="false">I85/G85*(1-0.0025)/(1+0.001)-1</f>
        <v>0.0387051473117048</v>
      </c>
      <c r="L85" s="4" t="n">
        <v>37</v>
      </c>
      <c r="M85" s="4" t="s">
        <v>76</v>
      </c>
    </row>
    <row r="86" customFormat="false" ht="17.15" hidden="false" customHeight="false" outlineLevel="0" collapsed="false">
      <c r="A86" s="7" t="s">
        <v>198</v>
      </c>
      <c r="B86" s="4" t="s">
        <v>199</v>
      </c>
      <c r="C86" s="7" t="s">
        <v>56</v>
      </c>
      <c r="D86" s="4" t="s">
        <v>90</v>
      </c>
      <c r="E86" s="17" t="n">
        <v>43532</v>
      </c>
      <c r="F86" s="17" t="n">
        <v>43535</v>
      </c>
      <c r="G86" s="18" t="n">
        <v>9000</v>
      </c>
      <c r="H86" s="17" t="n">
        <v>43651</v>
      </c>
      <c r="I86" s="18" t="n">
        <v>17700</v>
      </c>
      <c r="J86" s="18" t="n">
        <v>7353</v>
      </c>
      <c r="K86" s="12" t="n">
        <f aca="false">I86/G86*(1-0.0025)/(1+0.001)-1</f>
        <v>0.95979020979021</v>
      </c>
      <c r="L86" s="4" t="n">
        <v>81</v>
      </c>
      <c r="M86" s="4" t="s">
        <v>76</v>
      </c>
    </row>
    <row r="87" customFormat="false" ht="17.15" hidden="false" customHeight="false" outlineLevel="0" collapsed="false">
      <c r="A87" s="7" t="s">
        <v>200</v>
      </c>
      <c r="B87" s="4" t="s">
        <v>201</v>
      </c>
      <c r="C87" s="7" t="s">
        <v>49</v>
      </c>
      <c r="D87" s="7" t="s">
        <v>124</v>
      </c>
      <c r="E87" s="17" t="n">
        <v>43595</v>
      </c>
      <c r="F87" s="17" t="n">
        <v>43598</v>
      </c>
      <c r="G87" s="18" t="n">
        <v>19246</v>
      </c>
      <c r="H87" s="17" t="n">
        <v>43662</v>
      </c>
      <c r="I87" s="18" t="n">
        <v>22038</v>
      </c>
      <c r="J87" s="18" t="n">
        <v>17198.3</v>
      </c>
      <c r="K87" s="12" t="n">
        <f aca="false">I87/G87*(1-0.0025)/(1+0.001)-1</f>
        <v>0.141065367138318</v>
      </c>
      <c r="L87" s="4" t="n">
        <v>45</v>
      </c>
      <c r="M87" s="4" t="s">
        <v>76</v>
      </c>
    </row>
    <row r="88" customFormat="false" ht="17.15" hidden="false" customHeight="false" outlineLevel="0" collapsed="false">
      <c r="A88" s="7" t="s">
        <v>194</v>
      </c>
      <c r="B88" s="4" t="s">
        <v>195</v>
      </c>
      <c r="C88" s="7" t="s">
        <v>49</v>
      </c>
      <c r="D88" s="7" t="s">
        <v>124</v>
      </c>
      <c r="E88" s="17" t="n">
        <v>43599</v>
      </c>
      <c r="F88" s="17" t="n">
        <v>43600</v>
      </c>
      <c r="G88" s="18" t="n">
        <v>6714</v>
      </c>
      <c r="H88" s="17" t="n">
        <v>43662</v>
      </c>
      <c r="I88" s="18" t="n">
        <v>7372</v>
      </c>
      <c r="J88" s="18" t="n">
        <v>4817.3</v>
      </c>
      <c r="K88" s="12" t="n">
        <f aca="false">I88/G88*(1-0.0025)/(1+0.001)-1</f>
        <v>0.0941649949692849</v>
      </c>
      <c r="L88" s="4" t="n">
        <v>43</v>
      </c>
      <c r="M88" s="4" t="s">
        <v>76</v>
      </c>
    </row>
    <row r="89" customFormat="false" ht="17.15" hidden="false" customHeight="false" outlineLevel="0" collapsed="false">
      <c r="A89" s="7" t="s">
        <v>202</v>
      </c>
      <c r="B89" s="4" t="s">
        <v>203</v>
      </c>
      <c r="C89" s="7" t="s">
        <v>52</v>
      </c>
      <c r="D89" s="7" t="s">
        <v>79</v>
      </c>
      <c r="E89" s="17" t="n">
        <v>43563</v>
      </c>
      <c r="F89" s="17" t="n">
        <v>43564</v>
      </c>
      <c r="G89" s="18" t="n">
        <v>7530</v>
      </c>
      <c r="H89" s="17" t="n">
        <v>43700</v>
      </c>
      <c r="I89" s="18" t="n">
        <v>12650</v>
      </c>
      <c r="J89" s="18" t="n">
        <v>6835</v>
      </c>
      <c r="K89" s="12" t="n">
        <f aca="false">I89/G89*(1-0.0025)/(1+0.001)-1</f>
        <v>0.674072939013178</v>
      </c>
      <c r="L89" s="4" t="n">
        <v>94</v>
      </c>
      <c r="M89" s="4" t="s">
        <v>76</v>
      </c>
    </row>
    <row r="90" customFormat="false" ht="17.15" hidden="false" customHeight="false" outlineLevel="0" collapsed="false">
      <c r="A90" s="7" t="s">
        <v>204</v>
      </c>
      <c r="B90" s="4" t="s">
        <v>205</v>
      </c>
      <c r="C90" s="7" t="s">
        <v>52</v>
      </c>
      <c r="D90" s="7" t="s">
        <v>79</v>
      </c>
      <c r="E90" s="17" t="n">
        <v>43592</v>
      </c>
      <c r="F90" s="17" t="n">
        <v>43593</v>
      </c>
      <c r="G90" s="18" t="n">
        <v>23650</v>
      </c>
      <c r="H90" s="17" t="n">
        <v>43766</v>
      </c>
      <c r="I90" s="18" t="n">
        <v>56100</v>
      </c>
      <c r="J90" s="18" t="n">
        <v>21802.5</v>
      </c>
      <c r="K90" s="12" t="n">
        <f aca="false">I90/G90*(1-0.0025)/(1+0.001)-1</f>
        <v>1.36379899170597</v>
      </c>
      <c r="L90" s="4" t="n">
        <v>117</v>
      </c>
      <c r="M90" s="4" t="s">
        <v>76</v>
      </c>
    </row>
    <row r="91" customFormat="false" ht="17.15" hidden="false" customHeight="false" outlineLevel="0" collapsed="false">
      <c r="A91" s="7" t="s">
        <v>206</v>
      </c>
      <c r="B91" s="4" t="s">
        <v>207</v>
      </c>
      <c r="C91" s="7" t="s">
        <v>48</v>
      </c>
      <c r="D91" s="7" t="s">
        <v>75</v>
      </c>
      <c r="E91" s="17" t="n">
        <v>43766</v>
      </c>
      <c r="F91" s="17" t="n">
        <v>43767</v>
      </c>
      <c r="G91" s="18" t="n">
        <v>10150</v>
      </c>
      <c r="H91" s="17" t="n">
        <v>43775</v>
      </c>
      <c r="I91" s="18" t="n">
        <v>9240</v>
      </c>
      <c r="J91" s="18" t="n">
        <v>9124</v>
      </c>
      <c r="K91" s="12" t="n">
        <f aca="false">I91/G91*(1-0.0025)/(1+0.001)-1</f>
        <v>-0.0928381962864719</v>
      </c>
      <c r="L91" s="4" t="n">
        <v>6</v>
      </c>
      <c r="M91" s="4" t="s">
        <v>76</v>
      </c>
    </row>
    <row r="92" customFormat="false" ht="17.15" hidden="false" customHeight="false" outlineLevel="0" collapsed="false">
      <c r="A92" s="7" t="s">
        <v>208</v>
      </c>
      <c r="B92" s="4" t="s">
        <v>209</v>
      </c>
      <c r="C92" s="7" t="s">
        <v>48</v>
      </c>
      <c r="D92" s="7" t="s">
        <v>75</v>
      </c>
      <c r="E92" s="17" t="n">
        <v>43766</v>
      </c>
      <c r="F92" s="17" t="n">
        <v>43767</v>
      </c>
      <c r="G92" s="18" t="n">
        <v>117000</v>
      </c>
      <c r="H92" s="17" t="n">
        <v>43780</v>
      </c>
      <c r="I92" s="18" t="n">
        <v>110390</v>
      </c>
      <c r="J92" s="18" t="n">
        <v>110390</v>
      </c>
      <c r="K92" s="12" t="n">
        <f aca="false">I92/G92*(1-0.0025)/(1+0.001)-1</f>
        <v>-0.0597946924870001</v>
      </c>
      <c r="L92" s="4" t="n">
        <v>9</v>
      </c>
      <c r="M92" s="4" t="s">
        <v>80</v>
      </c>
    </row>
    <row r="93" customFormat="false" ht="17.15" hidden="false" customHeight="false" outlineLevel="0" collapsed="false">
      <c r="A93" s="7" t="s">
        <v>185</v>
      </c>
      <c r="B93" s="4" t="s">
        <v>186</v>
      </c>
      <c r="C93" s="7" t="s">
        <v>52</v>
      </c>
      <c r="D93" s="7" t="s">
        <v>79</v>
      </c>
      <c r="E93" s="17" t="n">
        <v>43774</v>
      </c>
      <c r="F93" s="17" t="n">
        <v>43775</v>
      </c>
      <c r="G93" s="18" t="n">
        <v>77407</v>
      </c>
      <c r="H93" s="17" t="n">
        <v>43787</v>
      </c>
      <c r="I93" s="18" t="n">
        <v>62455.7</v>
      </c>
      <c r="J93" s="18" t="n">
        <v>62455.7</v>
      </c>
      <c r="K93" s="12" t="n">
        <f aca="false">I93/G93*(1-0.0025)/(1+0.001)-1</f>
        <v>-0.195972929753466</v>
      </c>
      <c r="L93" s="4" t="n">
        <v>8</v>
      </c>
      <c r="M93" s="4" t="s">
        <v>80</v>
      </c>
    </row>
    <row r="94" customFormat="false" ht="17.15" hidden="false" customHeight="false" outlineLevel="0" collapsed="false">
      <c r="A94" s="7" t="s">
        <v>125</v>
      </c>
      <c r="B94" s="4" t="s">
        <v>126</v>
      </c>
      <c r="C94" s="7" t="s">
        <v>51</v>
      </c>
      <c r="D94" s="7" t="s">
        <v>117</v>
      </c>
      <c r="E94" s="17" t="n">
        <v>43780</v>
      </c>
      <c r="F94" s="17" t="n">
        <v>43781</v>
      </c>
      <c r="G94" s="18" t="n">
        <v>37126</v>
      </c>
      <c r="H94" s="17" t="n">
        <v>43788</v>
      </c>
      <c r="I94" s="18" t="n">
        <v>34440</v>
      </c>
      <c r="J94" s="18" t="n">
        <v>33255</v>
      </c>
      <c r="K94" s="12" t="n">
        <f aca="false">I94/G94*(1-0.0025)/(1+0.001)-1</f>
        <v>-0.0755917572703652</v>
      </c>
      <c r="L94" s="4" t="n">
        <v>5</v>
      </c>
      <c r="M94" s="4" t="s">
        <v>76</v>
      </c>
    </row>
    <row r="95" customFormat="false" ht="17.15" hidden="false" customHeight="false" outlineLevel="0" collapsed="false">
      <c r="A95" s="7" t="s">
        <v>206</v>
      </c>
      <c r="B95" s="4" t="s">
        <v>207</v>
      </c>
      <c r="C95" s="7" t="s">
        <v>56</v>
      </c>
      <c r="D95" s="4" t="s">
        <v>90</v>
      </c>
      <c r="E95" s="17" t="n">
        <v>43787</v>
      </c>
      <c r="F95" s="17" t="n">
        <v>43788</v>
      </c>
      <c r="G95" s="18" t="n">
        <v>8940</v>
      </c>
      <c r="H95" s="17" t="n">
        <v>43789</v>
      </c>
      <c r="I95" s="18" t="n">
        <v>9090</v>
      </c>
      <c r="J95" s="18" t="n">
        <v>8129</v>
      </c>
      <c r="K95" s="12" t="n">
        <f aca="false">I95/G95*(1-0.0025)/(1+0.001)-1</f>
        <v>0.0132233538273807</v>
      </c>
      <c r="L95" s="4" t="n">
        <v>1</v>
      </c>
      <c r="M95" s="4" t="s">
        <v>76</v>
      </c>
    </row>
    <row r="96" customFormat="false" ht="17.15" hidden="false" customHeight="false" outlineLevel="0" collapsed="false">
      <c r="A96" s="7" t="s">
        <v>210</v>
      </c>
      <c r="B96" s="7" t="s">
        <v>211</v>
      </c>
      <c r="C96" s="7" t="s">
        <v>50</v>
      </c>
      <c r="D96" s="7" t="s">
        <v>105</v>
      </c>
      <c r="E96" s="17" t="n">
        <v>43766</v>
      </c>
      <c r="F96" s="17" t="n">
        <v>43767</v>
      </c>
      <c r="G96" s="18" t="n">
        <v>12674</v>
      </c>
      <c r="H96" s="17" t="n">
        <v>43791</v>
      </c>
      <c r="I96" s="18" t="n">
        <v>11985</v>
      </c>
      <c r="J96" s="18" t="n">
        <v>11348.6</v>
      </c>
      <c r="K96" s="12" t="n">
        <f aca="false">I96/G96*(1-0.0025)/(1+0.001)-1</f>
        <v>-0.0576696855298716</v>
      </c>
      <c r="L96" s="4" t="n">
        <v>18</v>
      </c>
      <c r="M96" s="4" t="s">
        <v>76</v>
      </c>
    </row>
    <row r="97" customFormat="false" ht="17.15" hidden="false" customHeight="false" outlineLevel="0" collapsed="false">
      <c r="A97" s="7" t="s">
        <v>212</v>
      </c>
      <c r="B97" s="4" t="s">
        <v>213</v>
      </c>
      <c r="C97" s="7" t="s">
        <v>55</v>
      </c>
      <c r="D97" s="7" t="s">
        <v>96</v>
      </c>
      <c r="E97" s="17" t="n">
        <v>43788</v>
      </c>
      <c r="F97" s="17" t="n">
        <v>43789</v>
      </c>
      <c r="G97" s="18" t="n">
        <v>30700</v>
      </c>
      <c r="H97" s="17" t="n">
        <v>43796</v>
      </c>
      <c r="I97" s="18" t="n">
        <v>28700</v>
      </c>
      <c r="J97" s="18" t="n">
        <v>28720</v>
      </c>
      <c r="K97" s="12" t="n">
        <f aca="false">I97/G97*(1-0.0025)/(1+0.001)-1</f>
        <v>-0.0684152980569918</v>
      </c>
      <c r="L97" s="4" t="n">
        <v>5</v>
      </c>
      <c r="M97" s="4" t="s">
        <v>80</v>
      </c>
    </row>
    <row r="98" customFormat="false" ht="17.15" hidden="false" customHeight="false" outlineLevel="0" collapsed="false">
      <c r="A98" s="7" t="s">
        <v>214</v>
      </c>
      <c r="B98" s="4" t="s">
        <v>215</v>
      </c>
      <c r="C98" s="7" t="s">
        <v>57</v>
      </c>
      <c r="D98" s="4" t="s">
        <v>182</v>
      </c>
      <c r="E98" s="17" t="n">
        <v>43790</v>
      </c>
      <c r="F98" s="17" t="n">
        <v>43791</v>
      </c>
      <c r="G98" s="18" t="n">
        <v>78100</v>
      </c>
      <c r="H98" s="17" t="n">
        <v>43796</v>
      </c>
      <c r="I98" s="18" t="n">
        <v>76990</v>
      </c>
      <c r="J98" s="18" t="n">
        <v>76990</v>
      </c>
      <c r="K98" s="12" t="n">
        <f aca="false">I98/G98*(1-0.0025)/(1+0.001)-1</f>
        <v>-0.0176593572880382</v>
      </c>
      <c r="L98" s="4" t="n">
        <v>3</v>
      </c>
      <c r="M98" s="4" t="s">
        <v>80</v>
      </c>
    </row>
    <row r="99" customFormat="false" ht="17.15" hidden="false" customHeight="false" outlineLevel="0" collapsed="false">
      <c r="A99" s="7" t="s">
        <v>216</v>
      </c>
      <c r="B99" s="4" t="s">
        <v>217</v>
      </c>
      <c r="C99" s="7" t="s">
        <v>56</v>
      </c>
      <c r="D99" s="4" t="s">
        <v>93</v>
      </c>
      <c r="E99" s="17" t="n">
        <v>43766</v>
      </c>
      <c r="F99" s="17" t="n">
        <v>43767</v>
      </c>
      <c r="G99" s="18" t="n">
        <v>6910</v>
      </c>
      <c r="H99" s="17" t="n">
        <v>43797</v>
      </c>
      <c r="I99" s="18" t="n">
        <v>6610</v>
      </c>
      <c r="J99" s="18" t="n">
        <v>6390</v>
      </c>
      <c r="K99" s="12" t="n">
        <f aca="false">I99/G99*(1-0.0025)/(1+0.001)-1</f>
        <v>-0.0467600416949185</v>
      </c>
      <c r="L99" s="4" t="n">
        <v>22</v>
      </c>
      <c r="M99" s="4" t="s">
        <v>76</v>
      </c>
    </row>
    <row r="100" customFormat="false" ht="17.15" hidden="false" customHeight="false" outlineLevel="0" collapsed="false">
      <c r="A100" s="7" t="s">
        <v>218</v>
      </c>
      <c r="B100" s="4" t="s">
        <v>219</v>
      </c>
      <c r="C100" s="7" t="s">
        <v>49</v>
      </c>
      <c r="D100" s="7" t="s">
        <v>124</v>
      </c>
      <c r="E100" s="17" t="n">
        <v>43766</v>
      </c>
      <c r="F100" s="17" t="n">
        <v>43767</v>
      </c>
      <c r="G100" s="18" t="n">
        <v>62000</v>
      </c>
      <c r="H100" s="17" t="n">
        <v>43798</v>
      </c>
      <c r="I100" s="18" t="n">
        <v>63000</v>
      </c>
      <c r="J100" s="18" t="n">
        <v>57810</v>
      </c>
      <c r="K100" s="12" t="n">
        <f aca="false">I100/G100*(1-0.0025)/(1+0.001)-1</f>
        <v>0.0125761335438757</v>
      </c>
      <c r="L100" s="4" t="n">
        <v>23</v>
      </c>
      <c r="M100" s="4" t="s">
        <v>76</v>
      </c>
    </row>
    <row r="101" customFormat="false" ht="17.15" hidden="false" customHeight="false" outlineLevel="0" collapsed="false">
      <c r="A101" s="7" t="s">
        <v>220</v>
      </c>
      <c r="B101" s="4" t="s">
        <v>221</v>
      </c>
      <c r="C101" s="7" t="s">
        <v>51</v>
      </c>
      <c r="D101" s="7" t="s">
        <v>117</v>
      </c>
      <c r="E101" s="17" t="n">
        <v>43796</v>
      </c>
      <c r="F101" s="17" t="n">
        <v>43797</v>
      </c>
      <c r="G101" s="18" t="n">
        <v>21650</v>
      </c>
      <c r="H101" s="17" t="n">
        <v>43798</v>
      </c>
      <c r="I101" s="18" t="n">
        <v>21650</v>
      </c>
      <c r="J101" s="18" t="n">
        <v>20410</v>
      </c>
      <c r="K101" s="12" t="n">
        <f aca="false">I101/G101*(1-0.0025)/(1+0.001)-1</f>
        <v>-0.00349650349650332</v>
      </c>
      <c r="L101" s="4" t="n">
        <v>1</v>
      </c>
      <c r="M101" s="4" t="s">
        <v>76</v>
      </c>
    </row>
    <row r="102" customFormat="false" ht="17.15" hidden="false" customHeight="false" outlineLevel="0" collapsed="false">
      <c r="A102" s="7" t="s">
        <v>222</v>
      </c>
      <c r="B102" s="7" t="s">
        <v>223</v>
      </c>
      <c r="C102" s="7" t="s">
        <v>54</v>
      </c>
      <c r="D102" s="7" t="s">
        <v>85</v>
      </c>
      <c r="E102" s="17" t="n">
        <v>43766</v>
      </c>
      <c r="F102" s="17" t="n">
        <v>43767</v>
      </c>
      <c r="G102" s="18" t="n">
        <v>69700</v>
      </c>
      <c r="H102" s="17" t="n">
        <v>43801</v>
      </c>
      <c r="I102" s="18" t="n">
        <v>67800</v>
      </c>
      <c r="J102" s="18" t="n">
        <v>65220</v>
      </c>
      <c r="K102" s="12" t="n">
        <f aca="false">I102/G102*(1-0.0025)/(1+0.001)-1</f>
        <v>-0.030660874276369</v>
      </c>
      <c r="L102" s="4" t="n">
        <v>24</v>
      </c>
      <c r="M102" s="4" t="s">
        <v>76</v>
      </c>
    </row>
    <row r="103" customFormat="false" ht="17.15" hidden="false" customHeight="false" outlineLevel="0" collapsed="false">
      <c r="A103" s="7" t="s">
        <v>224</v>
      </c>
      <c r="B103" s="7" t="s">
        <v>225</v>
      </c>
      <c r="C103" s="7" t="s">
        <v>48</v>
      </c>
      <c r="D103" s="7" t="s">
        <v>75</v>
      </c>
      <c r="E103" s="17" t="n">
        <v>43766</v>
      </c>
      <c r="F103" s="17" t="n">
        <v>43767</v>
      </c>
      <c r="G103" s="18" t="n">
        <v>83000</v>
      </c>
      <c r="H103" s="17" t="n">
        <v>43801</v>
      </c>
      <c r="I103" s="18" t="n">
        <v>80900</v>
      </c>
      <c r="J103" s="18" t="n">
        <v>78730</v>
      </c>
      <c r="K103" s="12" t="n">
        <f aca="false">I103/G103*(1-0.0025)/(1+0.001)-1</f>
        <v>-0.028709242564664</v>
      </c>
      <c r="L103" s="4" t="n">
        <v>24</v>
      </c>
      <c r="M103" s="4" t="s">
        <v>76</v>
      </c>
    </row>
    <row r="104" customFormat="false" ht="17.15" hidden="false" customHeight="false" outlineLevel="0" collapsed="false">
      <c r="A104" s="7" t="s">
        <v>206</v>
      </c>
      <c r="B104" s="4" t="s">
        <v>207</v>
      </c>
      <c r="C104" s="7" t="s">
        <v>50</v>
      </c>
      <c r="D104" s="7" t="s">
        <v>105</v>
      </c>
      <c r="E104" s="17" t="n">
        <v>43797</v>
      </c>
      <c r="F104" s="17" t="n">
        <v>43798</v>
      </c>
      <c r="G104" s="18" t="n">
        <v>8990</v>
      </c>
      <c r="H104" s="17" t="n">
        <v>43801</v>
      </c>
      <c r="I104" s="18" t="n">
        <v>8900</v>
      </c>
      <c r="J104" s="18" t="n">
        <v>8372</v>
      </c>
      <c r="K104" s="12" t="n">
        <f aca="false">I104/G104*(1-0.0025)/(1+0.001)-1</f>
        <v>-0.0134726230388075</v>
      </c>
      <c r="L104" s="4" t="n">
        <v>1</v>
      </c>
      <c r="M104" s="4" t="s">
        <v>76</v>
      </c>
    </row>
    <row r="105" customFormat="false" ht="17.15" hidden="false" customHeight="false" outlineLevel="0" collapsed="false">
      <c r="A105" s="7" t="s">
        <v>171</v>
      </c>
      <c r="B105" s="4" t="s">
        <v>172</v>
      </c>
      <c r="C105" s="7" t="s">
        <v>48</v>
      </c>
      <c r="D105" s="7" t="s">
        <v>75</v>
      </c>
      <c r="E105" s="17" t="n">
        <v>43796</v>
      </c>
      <c r="F105" s="17" t="n">
        <v>43797</v>
      </c>
      <c r="G105" s="18" t="n">
        <v>92300</v>
      </c>
      <c r="H105" s="17" t="n">
        <v>43801</v>
      </c>
      <c r="I105" s="18" t="n">
        <v>85410</v>
      </c>
      <c r="J105" s="18" t="n">
        <v>85410</v>
      </c>
      <c r="K105" s="12" t="n">
        <f aca="false">I105/G105*(1-0.0025)/(1+0.001)-1</f>
        <v>-0.0778833842214122</v>
      </c>
      <c r="L105" s="4" t="n">
        <v>2</v>
      </c>
      <c r="M105" s="4" t="s">
        <v>80</v>
      </c>
    </row>
    <row r="106" customFormat="false" ht="17.15" hidden="false" customHeight="false" outlineLevel="0" collapsed="false">
      <c r="A106" s="7" t="s">
        <v>226</v>
      </c>
      <c r="B106" s="4" t="s">
        <v>227</v>
      </c>
      <c r="C106" s="7" t="s">
        <v>51</v>
      </c>
      <c r="D106" s="7" t="s">
        <v>117</v>
      </c>
      <c r="E106" s="17" t="n">
        <v>43798</v>
      </c>
      <c r="F106" s="17" t="n">
        <v>43801</v>
      </c>
      <c r="G106" s="18" t="n">
        <v>18800</v>
      </c>
      <c r="H106" s="17" t="n">
        <v>43803</v>
      </c>
      <c r="I106" s="18" t="n">
        <v>18450</v>
      </c>
      <c r="J106" s="18" t="n">
        <v>17495</v>
      </c>
      <c r="K106" s="12" t="n">
        <f aca="false">I106/G106*(1-0.0025)/(1+0.001)-1</f>
        <v>-0.022048430293111</v>
      </c>
      <c r="L106" s="4" t="n">
        <v>2</v>
      </c>
      <c r="M106" s="4" t="s">
        <v>76</v>
      </c>
    </row>
    <row r="107" customFormat="false" ht="17.15" hidden="false" customHeight="false" outlineLevel="0" collapsed="false">
      <c r="A107" s="7" t="s">
        <v>228</v>
      </c>
      <c r="B107" s="4" t="s">
        <v>229</v>
      </c>
      <c r="C107" s="7" t="s">
        <v>55</v>
      </c>
      <c r="D107" s="7" t="s">
        <v>96</v>
      </c>
      <c r="E107" s="17" t="n">
        <v>43798</v>
      </c>
      <c r="F107" s="17" t="n">
        <v>43801</v>
      </c>
      <c r="G107" s="18" t="n">
        <v>98600</v>
      </c>
      <c r="H107" s="17" t="n">
        <v>43803</v>
      </c>
      <c r="I107" s="18" t="n">
        <v>96050</v>
      </c>
      <c r="J107" s="18" t="n">
        <v>96050</v>
      </c>
      <c r="K107" s="12" t="n">
        <f aca="false">I107/G107*(1-0.0025)/(1+0.001)-1</f>
        <v>-0.0292681456474558</v>
      </c>
      <c r="L107" s="4" t="n">
        <v>2</v>
      </c>
      <c r="M107" s="4" t="s">
        <v>80</v>
      </c>
    </row>
    <row r="108" customFormat="false" ht="17.15" hidden="false" customHeight="false" outlineLevel="0" collapsed="false">
      <c r="A108" s="7" t="s">
        <v>230</v>
      </c>
      <c r="B108" s="4" t="s">
        <v>231</v>
      </c>
      <c r="C108" s="7" t="s">
        <v>50</v>
      </c>
      <c r="D108" s="7" t="s">
        <v>105</v>
      </c>
      <c r="E108" s="17" t="n">
        <v>43798</v>
      </c>
      <c r="F108" s="17" t="n">
        <v>43801</v>
      </c>
      <c r="G108" s="18" t="n">
        <v>16350</v>
      </c>
      <c r="H108" s="17" t="n">
        <v>43804</v>
      </c>
      <c r="I108" s="18" t="n">
        <v>16400</v>
      </c>
      <c r="J108" s="18" t="n">
        <v>15175</v>
      </c>
      <c r="K108" s="12" t="n">
        <f aca="false">I108/G108*(1-0.0025)/(1+0.001)-1</f>
        <v>-0.000449092192211453</v>
      </c>
      <c r="L108" s="4" t="n">
        <v>3</v>
      </c>
      <c r="M108" s="4" t="s">
        <v>76</v>
      </c>
    </row>
    <row r="109" customFormat="false" ht="17.15" hidden="false" customHeight="false" outlineLevel="0" collapsed="false">
      <c r="A109" s="7" t="s">
        <v>185</v>
      </c>
      <c r="B109" s="4" t="s">
        <v>186</v>
      </c>
      <c r="C109" s="7" t="s">
        <v>56</v>
      </c>
      <c r="D109" s="4" t="s">
        <v>90</v>
      </c>
      <c r="E109" s="17" t="n">
        <v>43802</v>
      </c>
      <c r="F109" s="17" t="n">
        <v>43803</v>
      </c>
      <c r="G109" s="18" t="n">
        <v>50369</v>
      </c>
      <c r="H109" s="17" t="n">
        <v>43804</v>
      </c>
      <c r="I109" s="18" t="n">
        <v>51270</v>
      </c>
      <c r="J109" s="18" t="n">
        <v>39724.7</v>
      </c>
      <c r="K109" s="12" t="n">
        <f aca="false">I109/G109*(1-0.0025)/(1+0.001)-1</f>
        <v>0.0143289377540603</v>
      </c>
      <c r="L109" s="4" t="n">
        <v>1</v>
      </c>
      <c r="M109" s="4" t="s">
        <v>76</v>
      </c>
    </row>
    <row r="110" customFormat="false" ht="17.15" hidden="false" customHeight="false" outlineLevel="0" collapsed="false">
      <c r="A110" s="7" t="s">
        <v>232</v>
      </c>
      <c r="B110" s="4" t="s">
        <v>233</v>
      </c>
      <c r="C110" s="7" t="s">
        <v>56</v>
      </c>
      <c r="D110" s="4" t="s">
        <v>114</v>
      </c>
      <c r="E110" s="17" t="n">
        <v>43797</v>
      </c>
      <c r="F110" s="17" t="n">
        <v>43798</v>
      </c>
      <c r="G110" s="18" t="n">
        <v>25400</v>
      </c>
      <c r="H110" s="17" t="n">
        <v>43804</v>
      </c>
      <c r="I110" s="18" t="n">
        <v>22045</v>
      </c>
      <c r="J110" s="18" t="n">
        <v>22045</v>
      </c>
      <c r="K110" s="12" t="n">
        <f aca="false">I110/G110*(1-0.0025)/(1+0.001)-1</f>
        <v>-0.135121276361434</v>
      </c>
      <c r="L110" s="4" t="n">
        <v>4</v>
      </c>
      <c r="M110" s="4" t="s">
        <v>80</v>
      </c>
    </row>
    <row r="111" customFormat="false" ht="17.15" hidden="false" customHeight="false" outlineLevel="0" collapsed="false">
      <c r="A111" s="7" t="s">
        <v>234</v>
      </c>
      <c r="B111" s="7" t="s">
        <v>235</v>
      </c>
      <c r="C111" s="7" t="s">
        <v>51</v>
      </c>
      <c r="D111" s="7" t="s">
        <v>117</v>
      </c>
      <c r="E111" s="17" t="n">
        <v>43803</v>
      </c>
      <c r="F111" s="17" t="n">
        <v>43804</v>
      </c>
      <c r="G111" s="18" t="n">
        <v>39007</v>
      </c>
      <c r="H111" s="17" t="n">
        <v>43805</v>
      </c>
      <c r="I111" s="18" t="n">
        <v>38050</v>
      </c>
      <c r="J111" s="18" t="n">
        <v>35830.1</v>
      </c>
      <c r="K111" s="12" t="n">
        <f aca="false">I111/G111*(1-0.0025)/(1+0.001)-1</f>
        <v>-0.0279447780665509</v>
      </c>
      <c r="L111" s="4" t="n">
        <v>1</v>
      </c>
      <c r="M111" s="4" t="s">
        <v>76</v>
      </c>
    </row>
    <row r="112" customFormat="false" ht="17.15" hidden="false" customHeight="false" outlineLevel="0" collapsed="false">
      <c r="A112" s="7" t="s">
        <v>212</v>
      </c>
      <c r="B112" s="4" t="s">
        <v>213</v>
      </c>
      <c r="C112" s="7" t="s">
        <v>49</v>
      </c>
      <c r="D112" s="7" t="s">
        <v>124</v>
      </c>
      <c r="E112" s="17" t="n">
        <v>43803</v>
      </c>
      <c r="F112" s="17" t="n">
        <v>43804</v>
      </c>
      <c r="G112" s="18" t="n">
        <v>28550</v>
      </c>
      <c r="H112" s="17" t="n">
        <v>43810</v>
      </c>
      <c r="I112" s="18" t="n">
        <v>27950</v>
      </c>
      <c r="J112" s="18" t="n">
        <v>27195</v>
      </c>
      <c r="K112" s="12" t="n">
        <f aca="false">I112/G112*(1-0.0025)/(1+0.001)-1</f>
        <v>-0.0244387836331792</v>
      </c>
      <c r="L112" s="4" t="n">
        <v>4</v>
      </c>
      <c r="M112" s="4" t="s">
        <v>76</v>
      </c>
    </row>
    <row r="113" customFormat="false" ht="17.15" hidden="false" customHeight="false" outlineLevel="0" collapsed="false">
      <c r="A113" s="7" t="s">
        <v>236</v>
      </c>
      <c r="B113" s="4" t="s">
        <v>237</v>
      </c>
      <c r="C113" s="7" t="s">
        <v>52</v>
      </c>
      <c r="D113" s="7" t="s">
        <v>79</v>
      </c>
      <c r="E113" s="17" t="n">
        <v>43787</v>
      </c>
      <c r="F113" s="17" t="n">
        <v>43788</v>
      </c>
      <c r="G113" s="18" t="n">
        <v>10800</v>
      </c>
      <c r="H113" s="17" t="n">
        <v>43815</v>
      </c>
      <c r="I113" s="18" t="n">
        <v>9519</v>
      </c>
      <c r="J113" s="18" t="n">
        <v>9519</v>
      </c>
      <c r="K113" s="12" t="n">
        <f aca="false">I113/G113*(1-0.0025)/(1+0.001)-1</f>
        <v>-0.12169289044289</v>
      </c>
      <c r="L113" s="4" t="n">
        <v>19</v>
      </c>
      <c r="M113" s="4" t="s">
        <v>80</v>
      </c>
    </row>
    <row r="114" customFormat="false" ht="17.15" hidden="false" customHeight="false" outlineLevel="0" collapsed="false">
      <c r="A114" s="7" t="s">
        <v>106</v>
      </c>
      <c r="B114" s="4" t="s">
        <v>107</v>
      </c>
      <c r="C114" s="7" t="s">
        <v>55</v>
      </c>
      <c r="D114" s="7" t="s">
        <v>96</v>
      </c>
      <c r="E114" s="17" t="n">
        <v>43801</v>
      </c>
      <c r="F114" s="17" t="n">
        <v>43802</v>
      </c>
      <c r="G114" s="18" t="n">
        <v>34750</v>
      </c>
      <c r="H114" s="17" t="n">
        <v>43819</v>
      </c>
      <c r="I114" s="18" t="n">
        <v>32250</v>
      </c>
      <c r="J114" s="18" t="n">
        <v>32285</v>
      </c>
      <c r="K114" s="12" t="n">
        <f aca="false">I114/G114*(1-0.0025)/(1+0.001)-1</f>
        <v>-0.0751874025255318</v>
      </c>
      <c r="L114" s="4" t="n">
        <v>13</v>
      </c>
      <c r="M114" s="4" t="s">
        <v>80</v>
      </c>
    </row>
    <row r="115" customFormat="false" ht="17.15" hidden="false" customHeight="false" outlineLevel="0" collapsed="false">
      <c r="A115" s="7" t="s">
        <v>234</v>
      </c>
      <c r="B115" s="7" t="s">
        <v>235</v>
      </c>
      <c r="C115" s="7" t="s">
        <v>48</v>
      </c>
      <c r="D115" s="7" t="s">
        <v>75</v>
      </c>
      <c r="E115" s="17" t="n">
        <v>43819</v>
      </c>
      <c r="F115" s="17" t="n">
        <v>43822</v>
      </c>
      <c r="G115" s="18" t="n">
        <v>43107</v>
      </c>
      <c r="H115" s="17" t="n">
        <v>43823</v>
      </c>
      <c r="I115" s="18" t="n">
        <v>43346</v>
      </c>
      <c r="J115" s="18" t="n">
        <v>34512.6</v>
      </c>
      <c r="K115" s="12" t="n">
        <f aca="false">I115/G115*(1-0.0025)/(1+0.001)-1</f>
        <v>0.00202845383442529</v>
      </c>
      <c r="L115" s="4" t="n">
        <v>1</v>
      </c>
      <c r="M115" s="4" t="s">
        <v>76</v>
      </c>
    </row>
    <row r="116" customFormat="false" ht="17.15" hidden="false" customHeight="false" outlineLevel="0" collapsed="false">
      <c r="A116" s="7" t="s">
        <v>118</v>
      </c>
      <c r="B116" s="4" t="s">
        <v>119</v>
      </c>
      <c r="C116" s="7" t="s">
        <v>54</v>
      </c>
      <c r="D116" s="7" t="s">
        <v>85</v>
      </c>
      <c r="E116" s="17" t="n">
        <v>43822</v>
      </c>
      <c r="F116" s="17" t="n">
        <v>43823</v>
      </c>
      <c r="G116" s="18" t="n">
        <v>42900</v>
      </c>
      <c r="H116" s="17" t="n">
        <v>43825</v>
      </c>
      <c r="I116" s="18" t="n">
        <v>41780</v>
      </c>
      <c r="J116" s="18" t="n">
        <v>41780</v>
      </c>
      <c r="K116" s="12" t="n">
        <f aca="false">I116/G116*(1-0.0025)/(1+0.001)-1</f>
        <v>-0.0295124455963616</v>
      </c>
      <c r="L116" s="4" t="n">
        <v>1</v>
      </c>
      <c r="M116" s="4" t="s">
        <v>80</v>
      </c>
    </row>
    <row r="117" customFormat="false" ht="17.15" hidden="false" customHeight="false" outlineLevel="0" collapsed="false">
      <c r="A117" s="7" t="s">
        <v>232</v>
      </c>
      <c r="B117" s="4" t="s">
        <v>233</v>
      </c>
      <c r="C117" s="7" t="s">
        <v>52</v>
      </c>
      <c r="D117" s="7" t="s">
        <v>79</v>
      </c>
      <c r="E117" s="17" t="n">
        <v>43804</v>
      </c>
      <c r="F117" s="17" t="n">
        <v>43805</v>
      </c>
      <c r="G117" s="18" t="n">
        <v>41000</v>
      </c>
      <c r="H117" s="17" t="n">
        <v>43879</v>
      </c>
      <c r="I117" s="18" t="n">
        <v>30550</v>
      </c>
      <c r="J117" s="18" t="n">
        <v>26125</v>
      </c>
      <c r="K117" s="12" t="n">
        <f aca="false">I117/G117*(1-0.0025)/(1+0.001)-1</f>
        <v>-0.257483370288248</v>
      </c>
      <c r="L117" s="4" t="n">
        <v>47</v>
      </c>
      <c r="M117" s="4" t="s">
        <v>76</v>
      </c>
    </row>
    <row r="118" customFormat="false" ht="17.15" hidden="false" customHeight="false" outlineLevel="0" collapsed="false">
      <c r="A118" s="7" t="s">
        <v>238</v>
      </c>
      <c r="B118" s="4" t="s">
        <v>239</v>
      </c>
      <c r="C118" s="7" t="s">
        <v>52</v>
      </c>
      <c r="D118" s="7" t="s">
        <v>79</v>
      </c>
      <c r="E118" s="17" t="n">
        <v>43825</v>
      </c>
      <c r="F118" s="17" t="n">
        <v>43826</v>
      </c>
      <c r="G118" s="18" t="n">
        <v>29700</v>
      </c>
      <c r="H118" s="17" t="n">
        <v>43885</v>
      </c>
      <c r="I118" s="18" t="n">
        <v>27300</v>
      </c>
      <c r="J118" s="18" t="n">
        <v>26015</v>
      </c>
      <c r="K118" s="12" t="n">
        <f aca="false">I118/G118*(1-0.0025)/(1+0.001)-1</f>
        <v>-0.0840220385674929</v>
      </c>
      <c r="L118" s="4" t="n">
        <v>37</v>
      </c>
      <c r="M118" s="4" t="s">
        <v>76</v>
      </c>
    </row>
    <row r="119" customFormat="false" ht="17.15" hidden="false" customHeight="false" outlineLevel="0" collapsed="false">
      <c r="A119" s="7" t="s">
        <v>240</v>
      </c>
      <c r="B119" s="4" t="s">
        <v>241</v>
      </c>
      <c r="C119" s="7" t="s">
        <v>48</v>
      </c>
      <c r="D119" s="7" t="s">
        <v>75</v>
      </c>
      <c r="E119" s="17" t="n">
        <v>43803</v>
      </c>
      <c r="F119" s="17" t="n">
        <v>43804</v>
      </c>
      <c r="G119" s="18" t="n">
        <v>20900</v>
      </c>
      <c r="H119" s="17" t="n">
        <v>43886</v>
      </c>
      <c r="I119" s="18" t="n">
        <v>24050</v>
      </c>
      <c r="J119" s="18" t="n">
        <v>19240</v>
      </c>
      <c r="K119" s="12" t="n">
        <f aca="false">I119/G119*(1-0.0025)/(1+0.001)-1</f>
        <v>0.146694214876033</v>
      </c>
      <c r="L119" s="4" t="n">
        <v>53</v>
      </c>
      <c r="M119" s="4" t="s">
        <v>76</v>
      </c>
    </row>
    <row r="120" customFormat="false" ht="17.15" hidden="false" customHeight="false" outlineLevel="0" collapsed="false">
      <c r="A120" s="7" t="s">
        <v>242</v>
      </c>
      <c r="B120" s="4" t="s">
        <v>243</v>
      </c>
      <c r="C120" s="7" t="s">
        <v>48</v>
      </c>
      <c r="D120" s="7" t="s">
        <v>75</v>
      </c>
      <c r="E120" s="17" t="n">
        <v>43809</v>
      </c>
      <c r="F120" s="17" t="n">
        <v>43810</v>
      </c>
      <c r="G120" s="18" t="n">
        <v>31450</v>
      </c>
      <c r="H120" s="17" t="n">
        <v>43886</v>
      </c>
      <c r="I120" s="18" t="n">
        <v>33650</v>
      </c>
      <c r="J120" s="18" t="n">
        <v>29445</v>
      </c>
      <c r="K120" s="12" t="n">
        <f aca="false">I120/G120*(1-0.0025)/(1+0.001)-1</f>
        <v>0.0662112132700368</v>
      </c>
      <c r="L120" s="4" t="n">
        <v>49</v>
      </c>
      <c r="M120" s="4" t="s">
        <v>76</v>
      </c>
    </row>
    <row r="121" customFormat="false" ht="17.15" hidden="false" customHeight="false" outlineLevel="0" collapsed="false">
      <c r="A121" s="7" t="s">
        <v>216</v>
      </c>
      <c r="B121" s="4" t="s">
        <v>217</v>
      </c>
      <c r="C121" s="7" t="s">
        <v>52</v>
      </c>
      <c r="D121" s="7" t="s">
        <v>79</v>
      </c>
      <c r="E121" s="17" t="n">
        <v>43878</v>
      </c>
      <c r="F121" s="17" t="n">
        <v>43879</v>
      </c>
      <c r="G121" s="18" t="n">
        <v>11800</v>
      </c>
      <c r="H121" s="17" t="n">
        <v>43888</v>
      </c>
      <c r="I121" s="18" t="n">
        <v>10100</v>
      </c>
      <c r="J121" s="18" t="n">
        <v>10671</v>
      </c>
      <c r="K121" s="12" t="n">
        <f aca="false">I121/G121*(1-0.0025)/(1+0.001)-1</f>
        <v>-0.147060566552092</v>
      </c>
      <c r="L121" s="4" t="n">
        <v>7</v>
      </c>
      <c r="M121" s="4" t="s">
        <v>80</v>
      </c>
    </row>
    <row r="122" customFormat="false" ht="17.15" hidden="false" customHeight="false" outlineLevel="0" collapsed="false">
      <c r="A122" s="7" t="s">
        <v>244</v>
      </c>
      <c r="B122" s="4" t="s">
        <v>245</v>
      </c>
      <c r="C122" s="7" t="s">
        <v>54</v>
      </c>
      <c r="D122" s="7" t="s">
        <v>85</v>
      </c>
      <c r="E122" s="17" t="n">
        <v>43882</v>
      </c>
      <c r="F122" s="17" t="n">
        <v>43885</v>
      </c>
      <c r="G122" s="18" t="n">
        <v>34383</v>
      </c>
      <c r="H122" s="17" t="n">
        <v>43888</v>
      </c>
      <c r="I122" s="18" t="n">
        <v>31680.6</v>
      </c>
      <c r="J122" s="18" t="n">
        <v>31680.6</v>
      </c>
      <c r="K122" s="12" t="n">
        <f aca="false">I122/G122*(1-0.0025)/(1+0.001)-1</f>
        <v>-0.0818186699436153</v>
      </c>
      <c r="L122" s="4" t="n">
        <v>3</v>
      </c>
      <c r="M122" s="4" t="s">
        <v>80</v>
      </c>
    </row>
    <row r="123" customFormat="false" ht="17.15" hidden="false" customHeight="false" outlineLevel="0" collapsed="false">
      <c r="A123" s="7" t="s">
        <v>246</v>
      </c>
      <c r="B123" s="7" t="s">
        <v>247</v>
      </c>
      <c r="C123" s="7" t="s">
        <v>49</v>
      </c>
      <c r="D123" s="7" t="s">
        <v>124</v>
      </c>
      <c r="E123" s="17" t="n">
        <v>43766</v>
      </c>
      <c r="F123" s="17" t="n">
        <v>43767</v>
      </c>
      <c r="G123" s="18" t="n">
        <v>153000</v>
      </c>
      <c r="H123" s="17" t="n">
        <v>43889</v>
      </c>
      <c r="I123" s="18" t="n">
        <v>179000</v>
      </c>
      <c r="J123" s="18" t="n">
        <v>148850</v>
      </c>
      <c r="K123" s="12" t="n">
        <f aca="false">I123/G123*(1-0.0025)/(1+0.001)-1</f>
        <v>0.165843959961607</v>
      </c>
      <c r="L123" s="4" t="n">
        <v>83</v>
      </c>
      <c r="M123" s="4" t="s">
        <v>76</v>
      </c>
    </row>
    <row r="124" customFormat="false" ht="17.15" hidden="false" customHeight="false" outlineLevel="0" collapsed="false">
      <c r="A124" s="7" t="s">
        <v>110</v>
      </c>
      <c r="B124" s="4" t="s">
        <v>111</v>
      </c>
      <c r="C124" s="7" t="s">
        <v>49</v>
      </c>
      <c r="D124" s="7" t="s">
        <v>124</v>
      </c>
      <c r="E124" s="17" t="n">
        <v>43885</v>
      </c>
      <c r="F124" s="17" t="n">
        <v>43886</v>
      </c>
      <c r="G124" s="18" t="n">
        <v>56043</v>
      </c>
      <c r="H124" s="17" t="n">
        <v>43889</v>
      </c>
      <c r="I124" s="18" t="n">
        <v>49656.9</v>
      </c>
      <c r="J124" s="18" t="n">
        <v>49656.9</v>
      </c>
      <c r="K124" s="12" t="n">
        <f aca="false">I124/G124*(1-0.0025)/(1+0.001)-1</f>
        <v>-0.117048079590235</v>
      </c>
      <c r="L124" s="4" t="n">
        <v>3</v>
      </c>
      <c r="M124" s="4" t="s">
        <v>80</v>
      </c>
    </row>
    <row r="125" customFormat="false" ht="17.15" hidden="false" customHeight="false" outlineLevel="0" collapsed="false">
      <c r="A125" s="7" t="s">
        <v>248</v>
      </c>
      <c r="B125" s="7" t="s">
        <v>249</v>
      </c>
      <c r="C125" s="7" t="s">
        <v>55</v>
      </c>
      <c r="D125" s="7" t="s">
        <v>96</v>
      </c>
      <c r="E125" s="17" t="n">
        <v>43766</v>
      </c>
      <c r="F125" s="17" t="n">
        <v>43767</v>
      </c>
      <c r="G125" s="18" t="n">
        <v>41592</v>
      </c>
      <c r="H125" s="17" t="n">
        <v>43892</v>
      </c>
      <c r="I125" s="18" t="n">
        <v>48876</v>
      </c>
      <c r="J125" s="18" t="n">
        <v>39730.8</v>
      </c>
      <c r="K125" s="12" t="n">
        <f aca="false">I125/G125*(1-0.0025)/(1+0.001)-1</f>
        <v>0.171020987091385</v>
      </c>
      <c r="L125" s="4" t="n">
        <v>84</v>
      </c>
      <c r="M125" s="4" t="s">
        <v>76</v>
      </c>
    </row>
    <row r="126" customFormat="false" ht="17.15" hidden="false" customHeight="false" outlineLevel="0" collapsed="false">
      <c r="A126" s="7" t="s">
        <v>250</v>
      </c>
      <c r="B126" s="7" t="s">
        <v>251</v>
      </c>
      <c r="C126" s="7" t="s">
        <v>50</v>
      </c>
      <c r="D126" s="7" t="s">
        <v>105</v>
      </c>
      <c r="E126" s="17" t="n">
        <v>43796</v>
      </c>
      <c r="F126" s="17" t="n">
        <v>43797</v>
      </c>
      <c r="G126" s="18" t="n">
        <v>125000</v>
      </c>
      <c r="H126" s="17" t="n">
        <v>43892</v>
      </c>
      <c r="I126" s="18" t="n">
        <v>130500</v>
      </c>
      <c r="J126" s="18" t="n">
        <v>119750</v>
      </c>
      <c r="K126" s="12" t="n">
        <f aca="false">I126/G126*(1-0.0025)/(1+0.001)-1</f>
        <v>0.0403496503496505</v>
      </c>
      <c r="L126" s="4" t="n">
        <v>62</v>
      </c>
      <c r="M126" s="4" t="s">
        <v>76</v>
      </c>
    </row>
    <row r="127" customFormat="false" ht="17.15" hidden="false" customHeight="false" outlineLevel="0" collapsed="false">
      <c r="A127" s="7" t="s">
        <v>208</v>
      </c>
      <c r="B127" s="4" t="s">
        <v>209</v>
      </c>
      <c r="C127" s="7" t="s">
        <v>48</v>
      </c>
      <c r="D127" s="7" t="s">
        <v>75</v>
      </c>
      <c r="E127" s="17" t="n">
        <v>43804</v>
      </c>
      <c r="F127" s="17" t="n">
        <v>43805</v>
      </c>
      <c r="G127" s="18" t="n">
        <v>115500</v>
      </c>
      <c r="H127" s="17" t="n">
        <v>43892</v>
      </c>
      <c r="I127" s="18" t="n">
        <v>128500</v>
      </c>
      <c r="J127" s="18" t="n">
        <v>108600</v>
      </c>
      <c r="K127" s="12" t="n">
        <f aca="false">I127/G127*(1-0.0025)/(1+0.001)-1</f>
        <v>0.108664063209518</v>
      </c>
      <c r="L127" s="4" t="n">
        <v>56</v>
      </c>
      <c r="M127" s="4" t="s">
        <v>76</v>
      </c>
    </row>
    <row r="128" customFormat="false" ht="17.15" hidden="false" customHeight="false" outlineLevel="0" collapsed="false">
      <c r="A128" s="7" t="s">
        <v>125</v>
      </c>
      <c r="B128" s="4" t="s">
        <v>126</v>
      </c>
      <c r="C128" s="7" t="s">
        <v>55</v>
      </c>
      <c r="D128" s="7" t="s">
        <v>96</v>
      </c>
      <c r="E128" s="17" t="n">
        <v>43815</v>
      </c>
      <c r="F128" s="17" t="n">
        <v>43816</v>
      </c>
      <c r="G128" s="18" t="n">
        <v>39045</v>
      </c>
      <c r="H128" s="17" t="n">
        <v>43892</v>
      </c>
      <c r="I128" s="18" t="n">
        <v>41491</v>
      </c>
      <c r="J128" s="18" t="n">
        <v>35049.2</v>
      </c>
      <c r="K128" s="12" t="n">
        <f aca="false">I128/G128*(1-0.0025)/(1+0.001)-1</f>
        <v>0.0589301209739168</v>
      </c>
      <c r="L128" s="4" t="n">
        <v>49</v>
      </c>
      <c r="M128" s="4" t="s">
        <v>76</v>
      </c>
    </row>
    <row r="129" customFormat="false" ht="17.15" hidden="false" customHeight="false" outlineLevel="0" collapsed="false">
      <c r="A129" s="7" t="s">
        <v>252</v>
      </c>
      <c r="B129" s="4" t="s">
        <v>253</v>
      </c>
      <c r="C129" s="7" t="s">
        <v>51</v>
      </c>
      <c r="D129" s="7" t="s">
        <v>117</v>
      </c>
      <c r="E129" s="17" t="n">
        <v>43892</v>
      </c>
      <c r="F129" s="17" t="n">
        <v>43893</v>
      </c>
      <c r="G129" s="18" t="n">
        <v>7823</v>
      </c>
      <c r="H129" s="17" t="n">
        <v>43900</v>
      </c>
      <c r="I129" s="18" t="n">
        <v>7341</v>
      </c>
      <c r="J129" s="18" t="n">
        <v>7025.4</v>
      </c>
      <c r="K129" s="12" t="n">
        <f aca="false">I129/G129*(1-0.0025)/(1+0.001)-1</f>
        <v>-0.0648942646258253</v>
      </c>
      <c r="L129" s="4" t="n">
        <v>5</v>
      </c>
      <c r="M129" s="4" t="s">
        <v>76</v>
      </c>
    </row>
    <row r="130" customFormat="false" ht="17.15" hidden="false" customHeight="false" outlineLevel="0" collapsed="false">
      <c r="A130" s="7" t="s">
        <v>206</v>
      </c>
      <c r="B130" s="4" t="s">
        <v>207</v>
      </c>
      <c r="C130" s="7" t="s">
        <v>49</v>
      </c>
      <c r="D130" s="7" t="s">
        <v>124</v>
      </c>
      <c r="E130" s="17" t="n">
        <v>43892</v>
      </c>
      <c r="F130" s="17" t="n">
        <v>43893</v>
      </c>
      <c r="G130" s="18" t="n">
        <v>17450</v>
      </c>
      <c r="H130" s="17" t="n">
        <v>43900</v>
      </c>
      <c r="I130" s="18" t="n">
        <v>15700</v>
      </c>
      <c r="J130" s="18" t="n">
        <v>15700</v>
      </c>
      <c r="K130" s="12" t="n">
        <f aca="false">I130/G130*(1-0.0025)/(1+0.001)-1</f>
        <v>-0.103432384234676</v>
      </c>
      <c r="L130" s="4" t="n">
        <v>5</v>
      </c>
      <c r="M130" s="4" t="s">
        <v>80</v>
      </c>
    </row>
    <row r="131" customFormat="false" ht="17.15" hidden="false" customHeight="false" outlineLevel="0" collapsed="false">
      <c r="A131" s="7" t="s">
        <v>254</v>
      </c>
      <c r="B131" s="4" t="s">
        <v>255</v>
      </c>
      <c r="C131" s="7" t="s">
        <v>49</v>
      </c>
      <c r="D131" s="7" t="s">
        <v>124</v>
      </c>
      <c r="E131" s="17" t="n">
        <v>43892</v>
      </c>
      <c r="F131" s="17" t="n">
        <v>43893</v>
      </c>
      <c r="G131" s="18" t="n">
        <v>19600</v>
      </c>
      <c r="H131" s="17" t="n">
        <v>43900</v>
      </c>
      <c r="I131" s="18" t="n">
        <v>18035</v>
      </c>
      <c r="J131" s="18" t="n">
        <v>18035</v>
      </c>
      <c r="K131" s="12" t="n">
        <f aca="false">I131/G131*(1-0.0025)/(1+0.001)-1</f>
        <v>-0.0830642571713999</v>
      </c>
      <c r="L131" s="4" t="n">
        <v>5</v>
      </c>
      <c r="M131" s="4" t="s">
        <v>80</v>
      </c>
    </row>
    <row r="132" customFormat="false" ht="17.15" hidden="false" customHeight="false" outlineLevel="0" collapsed="false">
      <c r="A132" s="7" t="s">
        <v>256</v>
      </c>
      <c r="B132" s="7" t="s">
        <v>257</v>
      </c>
      <c r="C132" s="7" t="s">
        <v>56</v>
      </c>
      <c r="D132" s="4" t="s">
        <v>90</v>
      </c>
      <c r="E132" s="17" t="n">
        <v>43899</v>
      </c>
      <c r="F132" s="17" t="n">
        <v>43900</v>
      </c>
      <c r="G132" s="18" t="n">
        <v>41366</v>
      </c>
      <c r="H132" s="17" t="n">
        <v>43901</v>
      </c>
      <c r="I132" s="18" t="n">
        <v>41833</v>
      </c>
      <c r="J132" s="18" t="n">
        <v>38931.8</v>
      </c>
      <c r="K132" s="12" t="n">
        <f aca="false">I132/G132*(1-0.0025)/(1+0.001)-1</f>
        <v>0.00775348762826411</v>
      </c>
      <c r="L132" s="4" t="n">
        <v>1</v>
      </c>
      <c r="M132" s="4" t="s">
        <v>76</v>
      </c>
    </row>
    <row r="133" customFormat="false" ht="17.15" hidden="false" customHeight="false" outlineLevel="0" collapsed="false">
      <c r="A133" s="7" t="s">
        <v>258</v>
      </c>
      <c r="B133" s="4" t="s">
        <v>259</v>
      </c>
      <c r="C133" s="7" t="s">
        <v>51</v>
      </c>
      <c r="D133" s="7" t="s">
        <v>117</v>
      </c>
      <c r="E133" s="17" t="n">
        <v>43892</v>
      </c>
      <c r="F133" s="17" t="n">
        <v>43893</v>
      </c>
      <c r="G133" s="18" t="n">
        <v>4266</v>
      </c>
      <c r="H133" s="17" t="n">
        <v>43902</v>
      </c>
      <c r="I133" s="18" t="n">
        <v>4052</v>
      </c>
      <c r="J133" s="18" t="n">
        <v>3779.3</v>
      </c>
      <c r="K133" s="12" t="n">
        <f aca="false">I133/G133*(1-0.0025)/(1+0.001)-1</f>
        <v>-0.0534851927256989</v>
      </c>
      <c r="L133" s="4" t="n">
        <v>7</v>
      </c>
      <c r="M133" s="4" t="s">
        <v>76</v>
      </c>
    </row>
    <row r="134" customFormat="false" ht="17.15" hidden="false" customHeight="false" outlineLevel="0" collapsed="false">
      <c r="A134" s="7" t="s">
        <v>260</v>
      </c>
      <c r="B134" s="7" t="s">
        <v>261</v>
      </c>
      <c r="C134" s="7" t="s">
        <v>56</v>
      </c>
      <c r="D134" s="4" t="s">
        <v>90</v>
      </c>
      <c r="E134" s="17" t="n">
        <v>43892</v>
      </c>
      <c r="F134" s="17" t="n">
        <v>43893</v>
      </c>
      <c r="G134" s="18" t="n">
        <v>5600</v>
      </c>
      <c r="H134" s="17" t="n">
        <v>43902</v>
      </c>
      <c r="I134" s="18" t="n">
        <v>5054</v>
      </c>
      <c r="J134" s="18" t="n">
        <v>5054</v>
      </c>
      <c r="K134" s="12" t="n">
        <f aca="false">I134/G134*(1-0.0025)/(1+0.001)-1</f>
        <v>-0.100655594405594</v>
      </c>
      <c r="L134" s="4" t="n">
        <v>7</v>
      </c>
      <c r="M134" s="4" t="s">
        <v>80</v>
      </c>
    </row>
    <row r="135" customFormat="false" ht="17.15" hidden="false" customHeight="false" outlineLevel="0" collapsed="false">
      <c r="A135" s="7" t="s">
        <v>200</v>
      </c>
      <c r="B135" s="4" t="s">
        <v>201</v>
      </c>
      <c r="C135" s="7" t="s">
        <v>49</v>
      </c>
      <c r="D135" s="7" t="s">
        <v>124</v>
      </c>
      <c r="E135" s="17" t="n">
        <v>43892</v>
      </c>
      <c r="F135" s="17" t="n">
        <v>43893</v>
      </c>
      <c r="G135" s="18" t="n">
        <v>33410</v>
      </c>
      <c r="H135" s="17" t="n">
        <v>43902</v>
      </c>
      <c r="I135" s="18" t="n">
        <v>30768.3</v>
      </c>
      <c r="J135" s="18" t="n">
        <v>30768.3</v>
      </c>
      <c r="K135" s="12" t="n">
        <f aca="false">I135/G135*(1-0.0025)/(1+0.001)-1</f>
        <v>-0.0822891789443718</v>
      </c>
      <c r="L135" s="4" t="n">
        <v>7</v>
      </c>
      <c r="M135" s="4" t="s">
        <v>80</v>
      </c>
    </row>
    <row r="136" customFormat="false" ht="17.15" hidden="false" customHeight="false" outlineLevel="0" collapsed="false">
      <c r="A136" s="7" t="s">
        <v>196</v>
      </c>
      <c r="B136" s="4" t="s">
        <v>197</v>
      </c>
      <c r="C136" s="7" t="s">
        <v>51</v>
      </c>
      <c r="D136" s="7" t="s">
        <v>117</v>
      </c>
      <c r="E136" s="17" t="n">
        <v>43899</v>
      </c>
      <c r="F136" s="17" t="n">
        <v>43900</v>
      </c>
      <c r="G136" s="18" t="n">
        <v>43450</v>
      </c>
      <c r="H136" s="17" t="n">
        <v>43903</v>
      </c>
      <c r="I136" s="18" t="n">
        <v>41850</v>
      </c>
      <c r="J136" s="18" t="n">
        <v>38950</v>
      </c>
      <c r="K136" s="12" t="n">
        <f aca="false">I136/G136*(1-0.0025)/(1+0.001)-1</f>
        <v>-0.0401916840351823</v>
      </c>
      <c r="L136" s="4" t="n">
        <v>3</v>
      </c>
      <c r="M136" s="4" t="s">
        <v>76</v>
      </c>
    </row>
    <row r="137" customFormat="false" ht="17.15" hidden="false" customHeight="false" outlineLevel="0" collapsed="false">
      <c r="A137" s="7" t="s">
        <v>236</v>
      </c>
      <c r="B137" s="4" t="s">
        <v>237</v>
      </c>
      <c r="C137" s="7" t="s">
        <v>56</v>
      </c>
      <c r="D137" s="4" t="s">
        <v>93</v>
      </c>
      <c r="E137" s="17" t="n">
        <v>43900</v>
      </c>
      <c r="F137" s="17" t="n">
        <v>43901</v>
      </c>
      <c r="G137" s="18" t="n">
        <v>12000</v>
      </c>
      <c r="H137" s="17" t="n">
        <v>43903</v>
      </c>
      <c r="I137" s="18" t="n">
        <v>10400</v>
      </c>
      <c r="J137" s="18" t="n">
        <v>10900</v>
      </c>
      <c r="K137" s="12" t="n">
        <f aca="false">I137/G137*(1-0.0025)/(1+0.001)-1</f>
        <v>-0.136363636363636</v>
      </c>
      <c r="L137" s="4" t="n">
        <v>2</v>
      </c>
      <c r="M137" s="4" t="s">
        <v>76</v>
      </c>
    </row>
    <row r="138" customFormat="false" ht="17.15" hidden="false" customHeight="false" outlineLevel="0" collapsed="false">
      <c r="A138" s="7" t="s">
        <v>112</v>
      </c>
      <c r="B138" s="4" t="s">
        <v>113</v>
      </c>
      <c r="C138" s="7" t="s">
        <v>49</v>
      </c>
      <c r="D138" s="7" t="s">
        <v>124</v>
      </c>
      <c r="E138" s="17" t="n">
        <v>43900</v>
      </c>
      <c r="F138" s="17" t="n">
        <v>43901</v>
      </c>
      <c r="G138" s="18" t="n">
        <v>3670</v>
      </c>
      <c r="H138" s="17" t="n">
        <v>43903</v>
      </c>
      <c r="I138" s="18" t="n">
        <v>3295.5</v>
      </c>
      <c r="J138" s="18" t="n">
        <v>3295.5</v>
      </c>
      <c r="K138" s="12" t="n">
        <f aca="false">I138/G138*(1-0.0025)/(1+0.001)-1</f>
        <v>-0.105183304433985</v>
      </c>
      <c r="L138" s="4" t="n">
        <v>2</v>
      </c>
      <c r="M138" s="4" t="s">
        <v>80</v>
      </c>
    </row>
    <row r="139" customFormat="false" ht="17.15" hidden="false" customHeight="false" outlineLevel="0" collapsed="false">
      <c r="A139" s="7" t="s">
        <v>88</v>
      </c>
      <c r="B139" s="4" t="s">
        <v>89</v>
      </c>
      <c r="C139" s="7" t="s">
        <v>48</v>
      </c>
      <c r="D139" s="7" t="s">
        <v>75</v>
      </c>
      <c r="E139" s="17" t="n">
        <v>43766</v>
      </c>
      <c r="F139" s="17" t="n">
        <v>43767</v>
      </c>
      <c r="G139" s="18" t="n">
        <v>9351</v>
      </c>
      <c r="H139" s="17" t="n">
        <v>43906</v>
      </c>
      <c r="I139" s="18" t="n">
        <v>15407</v>
      </c>
      <c r="J139" s="18" t="n">
        <v>8471</v>
      </c>
      <c r="K139" s="12" t="n">
        <f aca="false">I139/G139*(1-0.0025)/(1+0.001)-1</f>
        <v>0.641870320888608</v>
      </c>
      <c r="L139" s="4" t="n">
        <v>94</v>
      </c>
      <c r="M139" s="4" t="s">
        <v>76</v>
      </c>
    </row>
    <row r="140" customFormat="false" ht="17.15" hidden="false" customHeight="false" outlineLevel="0" collapsed="false">
      <c r="A140" s="7" t="s">
        <v>159</v>
      </c>
      <c r="B140" s="4" t="s">
        <v>160</v>
      </c>
      <c r="C140" s="7" t="s">
        <v>54</v>
      </c>
      <c r="D140" s="7" t="s">
        <v>85</v>
      </c>
      <c r="E140" s="17" t="n">
        <v>43888</v>
      </c>
      <c r="F140" s="17" t="n">
        <v>43889</v>
      </c>
      <c r="G140" s="18" t="n">
        <v>7680</v>
      </c>
      <c r="H140" s="17" t="n">
        <v>43909</v>
      </c>
      <c r="I140" s="18" t="n">
        <v>6979</v>
      </c>
      <c r="J140" s="18" t="n">
        <v>6979</v>
      </c>
      <c r="K140" s="12" t="n">
        <f aca="false">I140/G140*(1-0.0025)/(1+0.001)-1</f>
        <v>-0.0944533981643356</v>
      </c>
      <c r="L140" s="4" t="n">
        <v>14</v>
      </c>
      <c r="M140" s="4" t="s">
        <v>80</v>
      </c>
    </row>
    <row r="141" customFormat="false" ht="17.15" hidden="false" customHeight="false" outlineLevel="0" collapsed="false">
      <c r="A141" s="7" t="s">
        <v>262</v>
      </c>
      <c r="B141" s="4" t="s">
        <v>263</v>
      </c>
      <c r="C141" s="7" t="s">
        <v>52</v>
      </c>
      <c r="D141" s="7" t="s">
        <v>79</v>
      </c>
      <c r="E141" s="17" t="n">
        <v>43998</v>
      </c>
      <c r="F141" s="17" t="n">
        <v>43999</v>
      </c>
      <c r="G141" s="18" t="n">
        <v>65400</v>
      </c>
      <c r="H141" s="17" t="n">
        <v>44001</v>
      </c>
      <c r="I141" s="18" t="n">
        <v>58291.8</v>
      </c>
      <c r="J141" s="18" t="n">
        <v>58291.8</v>
      </c>
      <c r="K141" s="12" t="n">
        <f aca="false">I141/G141*(1-0.0025)/(1+0.001)-1</f>
        <v>-0.111804548662347</v>
      </c>
      <c r="L141" s="4" t="n">
        <v>2</v>
      </c>
      <c r="M141" s="4" t="s">
        <v>80</v>
      </c>
    </row>
    <row r="142" customFormat="false" ht="17.15" hidden="false" customHeight="false" outlineLevel="0" collapsed="false">
      <c r="A142" s="7" t="s">
        <v>118</v>
      </c>
      <c r="B142" s="4" t="s">
        <v>119</v>
      </c>
      <c r="C142" s="7" t="s">
        <v>49</v>
      </c>
      <c r="D142" s="7" t="s">
        <v>124</v>
      </c>
      <c r="E142" s="17" t="n">
        <v>43998</v>
      </c>
      <c r="F142" s="17" t="n">
        <v>43999</v>
      </c>
      <c r="G142" s="18" t="n">
        <v>86300</v>
      </c>
      <c r="H142" s="17" t="n">
        <v>44008</v>
      </c>
      <c r="I142" s="18" t="n">
        <v>81900</v>
      </c>
      <c r="J142" s="18" t="n">
        <v>76590</v>
      </c>
      <c r="K142" s="12" t="n">
        <f aca="false">I142/G142*(1-0.0025)/(1+0.001)-1</f>
        <v>-0.0543031707574001</v>
      </c>
      <c r="L142" s="4" t="n">
        <v>7</v>
      </c>
      <c r="M142" s="4" t="s">
        <v>76</v>
      </c>
    </row>
    <row r="143" customFormat="false" ht="17.15" hidden="false" customHeight="false" outlineLevel="0" collapsed="false">
      <c r="A143" s="7" t="s">
        <v>264</v>
      </c>
      <c r="B143" s="4" t="s">
        <v>265</v>
      </c>
      <c r="C143" s="7" t="s">
        <v>56</v>
      </c>
      <c r="D143" s="4" t="s">
        <v>114</v>
      </c>
      <c r="E143" s="17" t="n">
        <v>43998</v>
      </c>
      <c r="F143" s="17" t="n">
        <v>43999</v>
      </c>
      <c r="G143" s="18" t="n">
        <v>30750</v>
      </c>
      <c r="H143" s="17" t="n">
        <v>44015</v>
      </c>
      <c r="I143" s="18" t="n">
        <v>25065</v>
      </c>
      <c r="J143" s="18" t="n">
        <v>25065</v>
      </c>
      <c r="K143" s="12" t="n">
        <f aca="false">I143/G143*(1-0.0025)/(1+0.001)-1</f>
        <v>-0.187728125533003</v>
      </c>
      <c r="L143" s="4" t="n">
        <v>12</v>
      </c>
      <c r="M143" s="4" t="s">
        <v>80</v>
      </c>
    </row>
    <row r="144" customFormat="false" ht="17.15" hidden="false" customHeight="false" outlineLevel="0" collapsed="false">
      <c r="A144" s="7" t="s">
        <v>103</v>
      </c>
      <c r="B144" s="4" t="s">
        <v>104</v>
      </c>
      <c r="C144" s="7" t="s">
        <v>49</v>
      </c>
      <c r="D144" s="7" t="s">
        <v>124</v>
      </c>
      <c r="E144" s="17" t="n">
        <v>44014</v>
      </c>
      <c r="F144" s="17" t="n">
        <v>44015</v>
      </c>
      <c r="G144" s="18" t="n">
        <v>100253</v>
      </c>
      <c r="H144" s="17" t="n">
        <v>44054</v>
      </c>
      <c r="I144" s="18" t="n">
        <v>97420</v>
      </c>
      <c r="J144" s="18" t="n">
        <v>86383</v>
      </c>
      <c r="K144" s="12" t="n">
        <f aca="false">I144/G144*(1-0.0025)/(1+0.001)-1</f>
        <v>-0.0316562035114096</v>
      </c>
      <c r="L144" s="4" t="n">
        <v>27</v>
      </c>
      <c r="M144" s="4" t="s">
        <v>76</v>
      </c>
    </row>
    <row r="145" customFormat="false" ht="17.15" hidden="false" customHeight="false" outlineLevel="0" collapsed="false">
      <c r="A145" s="7" t="s">
        <v>266</v>
      </c>
      <c r="B145" s="4" t="s">
        <v>267</v>
      </c>
      <c r="C145" s="7" t="s">
        <v>52</v>
      </c>
      <c r="D145" s="7" t="s">
        <v>79</v>
      </c>
      <c r="E145" s="17" t="n">
        <v>43998</v>
      </c>
      <c r="F145" s="17" t="n">
        <v>43999</v>
      </c>
      <c r="G145" s="18" t="n">
        <v>25903</v>
      </c>
      <c r="H145" s="17" t="n">
        <v>44056</v>
      </c>
      <c r="I145" s="18" t="n">
        <v>23249</v>
      </c>
      <c r="J145" s="18" t="n">
        <v>19343.3</v>
      </c>
      <c r="K145" s="12" t="n">
        <f aca="false">I145/G145*(1-0.0025)/(1+0.001)-1</f>
        <v>-0.105597429247199</v>
      </c>
      <c r="L145" s="4" t="n">
        <v>41</v>
      </c>
      <c r="M145" s="4" t="s">
        <v>76</v>
      </c>
    </row>
    <row r="146" customFormat="false" ht="17.15" hidden="false" customHeight="false" outlineLevel="0" collapsed="false">
      <c r="A146" s="7" t="s">
        <v>264</v>
      </c>
      <c r="B146" s="4" t="s">
        <v>265</v>
      </c>
      <c r="C146" s="7" t="s">
        <v>52</v>
      </c>
      <c r="D146" s="7" t="s">
        <v>79</v>
      </c>
      <c r="E146" s="17" t="n">
        <v>44053</v>
      </c>
      <c r="F146" s="17" t="n">
        <v>44054</v>
      </c>
      <c r="G146" s="18" t="n">
        <v>36800</v>
      </c>
      <c r="H146" s="17" t="n">
        <v>44064</v>
      </c>
      <c r="I146" s="18" t="n">
        <v>32215</v>
      </c>
      <c r="J146" s="18" t="n">
        <v>32215</v>
      </c>
      <c r="K146" s="12" t="n">
        <f aca="false">I146/G146*(1-0.0025)/(1+0.001)-1</f>
        <v>-0.127653257069018</v>
      </c>
      <c r="L146" s="4" t="n">
        <v>7</v>
      </c>
      <c r="M146" s="4" t="s">
        <v>80</v>
      </c>
    </row>
    <row r="147" customFormat="false" ht="17.15" hidden="false" customHeight="false" outlineLevel="0" collapsed="false">
      <c r="A147" s="7" t="s">
        <v>101</v>
      </c>
      <c r="B147" s="4" t="s">
        <v>102</v>
      </c>
      <c r="C147" s="7" t="s">
        <v>56</v>
      </c>
      <c r="D147" s="4" t="s">
        <v>114</v>
      </c>
      <c r="E147" s="17" t="n">
        <v>44063</v>
      </c>
      <c r="F147" s="17" t="n">
        <v>44064</v>
      </c>
      <c r="G147" s="18" t="n">
        <v>19293</v>
      </c>
      <c r="H147" s="17" t="n">
        <v>44067</v>
      </c>
      <c r="I147" s="18" t="n">
        <v>19016</v>
      </c>
      <c r="J147" s="18" t="n">
        <v>17101</v>
      </c>
      <c r="K147" s="12" t="n">
        <f aca="false">I147/G147*(1-0.0025)/(1+0.001)-1</f>
        <v>-0.0178038413149592</v>
      </c>
      <c r="L147" s="4" t="n">
        <v>1</v>
      </c>
      <c r="M147" s="4" t="s">
        <v>76</v>
      </c>
    </row>
    <row r="148" customFormat="false" ht="17.15" hidden="false" customHeight="false" outlineLevel="0" collapsed="false">
      <c r="A148" s="7" t="s">
        <v>268</v>
      </c>
      <c r="B148" s="4" t="s">
        <v>269</v>
      </c>
      <c r="C148" s="7" t="s">
        <v>52</v>
      </c>
      <c r="D148" s="7" t="s">
        <v>79</v>
      </c>
      <c r="E148" s="17" t="n">
        <v>44000</v>
      </c>
      <c r="F148" s="17" t="n">
        <v>44001</v>
      </c>
      <c r="G148" s="18" t="n">
        <v>14539</v>
      </c>
      <c r="H148" s="17" t="n">
        <v>44082</v>
      </c>
      <c r="I148" s="18" t="n">
        <v>17242</v>
      </c>
      <c r="J148" s="18" t="n">
        <v>12498.2</v>
      </c>
      <c r="K148" s="12" t="n">
        <f aca="false">I148/G148*(1-0.0025)/(1+0.001)-1</f>
        <v>0.181767197655498</v>
      </c>
      <c r="L148" s="4" t="n">
        <v>56</v>
      </c>
      <c r="M148" s="4" t="s">
        <v>76</v>
      </c>
    </row>
    <row r="149" customFormat="false" ht="17.15" hidden="false" customHeight="false" outlineLevel="0" collapsed="false">
      <c r="A149" s="7" t="s">
        <v>206</v>
      </c>
      <c r="B149" s="4" t="s">
        <v>207</v>
      </c>
      <c r="C149" s="7" t="s">
        <v>56</v>
      </c>
      <c r="D149" s="4" t="s">
        <v>93</v>
      </c>
      <c r="E149" s="17" t="n">
        <v>43998</v>
      </c>
      <c r="F149" s="17" t="n">
        <v>43999</v>
      </c>
      <c r="G149" s="18" t="n">
        <v>32200</v>
      </c>
      <c r="H149" s="17" t="n">
        <v>44084</v>
      </c>
      <c r="I149" s="18" t="n">
        <v>40900</v>
      </c>
      <c r="J149" s="18" t="n">
        <v>26765</v>
      </c>
      <c r="K149" s="12" t="n">
        <f aca="false">I149/G149*(1-0.0025)/(1+0.001)-1</f>
        <v>0.265745124440777</v>
      </c>
      <c r="L149" s="4" t="n">
        <v>60</v>
      </c>
      <c r="M149" s="4" t="s">
        <v>76</v>
      </c>
    </row>
    <row r="150" customFormat="false" ht="17.15" hidden="false" customHeight="false" outlineLevel="0" collapsed="false">
      <c r="A150" s="7" t="s">
        <v>91</v>
      </c>
      <c r="B150" s="4" t="s">
        <v>92</v>
      </c>
      <c r="C150" s="7" t="s">
        <v>56</v>
      </c>
      <c r="D150" s="4" t="s">
        <v>93</v>
      </c>
      <c r="E150" s="17" t="n">
        <v>44055</v>
      </c>
      <c r="F150" s="17" t="n">
        <v>44056</v>
      </c>
      <c r="G150" s="18" t="n">
        <v>19100</v>
      </c>
      <c r="H150" s="17" t="n">
        <v>44092</v>
      </c>
      <c r="I150" s="18" t="n">
        <v>16130</v>
      </c>
      <c r="J150" s="18" t="n">
        <v>16130</v>
      </c>
      <c r="K150" s="12" t="n">
        <f aca="false">I150/G150*(1-0.0025)/(1+0.001)-1</f>
        <v>-0.158450188554901</v>
      </c>
      <c r="L150" s="4" t="n">
        <v>25</v>
      </c>
      <c r="M150" s="4" t="s">
        <v>80</v>
      </c>
    </row>
    <row r="151" customFormat="false" ht="17.15" hidden="false" customHeight="false" outlineLevel="0" collapsed="false">
      <c r="A151" s="7" t="s">
        <v>73</v>
      </c>
      <c r="B151" s="4" t="s">
        <v>74</v>
      </c>
      <c r="C151" s="7" t="s">
        <v>49</v>
      </c>
      <c r="D151" s="7" t="s">
        <v>124</v>
      </c>
      <c r="E151" s="17" t="n">
        <v>44064</v>
      </c>
      <c r="F151" s="17" t="n">
        <v>44067</v>
      </c>
      <c r="G151" s="18" t="n">
        <v>34000</v>
      </c>
      <c r="H151" s="17" t="n">
        <v>44095</v>
      </c>
      <c r="I151" s="18" t="n">
        <v>31300</v>
      </c>
      <c r="J151" s="18" t="n">
        <v>29385</v>
      </c>
      <c r="K151" s="12" t="n">
        <f aca="false">I151/G151*(1-0.0025)/(1+0.001)-1</f>
        <v>-0.0826306046894282</v>
      </c>
      <c r="L151" s="4" t="n">
        <v>20</v>
      </c>
      <c r="M151" s="4" t="s">
        <v>76</v>
      </c>
    </row>
    <row r="152" customFormat="false" ht="17.15" hidden="false" customHeight="false" outlineLevel="0" collapsed="false">
      <c r="A152" s="7" t="s">
        <v>270</v>
      </c>
      <c r="B152" s="4" t="s">
        <v>271</v>
      </c>
      <c r="C152" s="7" t="s">
        <v>56</v>
      </c>
      <c r="D152" s="4" t="s">
        <v>90</v>
      </c>
      <c r="E152" s="17" t="n">
        <v>44081</v>
      </c>
      <c r="F152" s="17" t="n">
        <v>44082</v>
      </c>
      <c r="G152" s="18" t="n">
        <v>22364</v>
      </c>
      <c r="H152" s="17" t="n">
        <v>44095</v>
      </c>
      <c r="I152" s="18" t="n">
        <v>18359.7</v>
      </c>
      <c r="J152" s="18" t="n">
        <v>18359.7</v>
      </c>
      <c r="K152" s="12" t="n">
        <f aca="false">I152/G152*(1-0.0025)/(1+0.001)-1</f>
        <v>-0.181921604151527</v>
      </c>
      <c r="L152" s="4" t="n">
        <v>9</v>
      </c>
      <c r="M152" s="4" t="s">
        <v>80</v>
      </c>
    </row>
    <row r="153" customFormat="false" ht="17.15" hidden="false" customHeight="false" outlineLevel="0" collapsed="false">
      <c r="A153" s="7" t="s">
        <v>210</v>
      </c>
      <c r="B153" s="7" t="s">
        <v>211</v>
      </c>
      <c r="C153" s="7" t="s">
        <v>49</v>
      </c>
      <c r="D153" s="7" t="s">
        <v>124</v>
      </c>
      <c r="E153" s="17" t="n">
        <v>43998</v>
      </c>
      <c r="F153" s="17" t="n">
        <v>43999</v>
      </c>
      <c r="G153" s="18" t="n">
        <v>29476</v>
      </c>
      <c r="H153" s="17" t="n">
        <v>44097</v>
      </c>
      <c r="I153" s="18" t="n">
        <v>36070</v>
      </c>
      <c r="J153" s="18" t="n">
        <v>25036.5</v>
      </c>
      <c r="K153" s="12" t="n">
        <f aca="false">I153/G153*(1-0.0025)/(1+0.001)-1</f>
        <v>0.219428725705018</v>
      </c>
      <c r="L153" s="4" t="n">
        <v>69</v>
      </c>
      <c r="M153" s="4" t="s">
        <v>76</v>
      </c>
    </row>
    <row r="154" customFormat="false" ht="17.15" hidden="false" customHeight="false" outlineLevel="0" collapsed="false">
      <c r="A154" s="7" t="s">
        <v>272</v>
      </c>
      <c r="B154" s="4" t="s">
        <v>273</v>
      </c>
      <c r="C154" s="7" t="s">
        <v>56</v>
      </c>
      <c r="D154" s="4" t="s">
        <v>114</v>
      </c>
      <c r="E154" s="17" t="n">
        <v>44083</v>
      </c>
      <c r="F154" s="17" t="n">
        <v>44084</v>
      </c>
      <c r="G154" s="18" t="n">
        <v>54330</v>
      </c>
      <c r="H154" s="17" t="n">
        <v>44097</v>
      </c>
      <c r="I154" s="18" t="n">
        <v>46424.4</v>
      </c>
      <c r="J154" s="18" t="n">
        <v>46424.4</v>
      </c>
      <c r="K154" s="12" t="n">
        <f aca="false">I154/G154*(1-0.0025)/(1+0.001)-1</f>
        <v>-0.1484984921208</v>
      </c>
      <c r="L154" s="4" t="n">
        <v>9</v>
      </c>
      <c r="M154" s="4" t="s">
        <v>80</v>
      </c>
    </row>
    <row r="155" customFormat="false" ht="17.15" hidden="false" customHeight="false" outlineLevel="0" collapsed="false">
      <c r="A155" s="7" t="s">
        <v>274</v>
      </c>
      <c r="B155" s="4" t="s">
        <v>275</v>
      </c>
      <c r="C155" s="7" t="s">
        <v>56</v>
      </c>
      <c r="D155" s="4" t="s">
        <v>93</v>
      </c>
      <c r="E155" s="17" t="n">
        <v>44092</v>
      </c>
      <c r="F155" s="17" t="n">
        <v>44095</v>
      </c>
      <c r="G155" s="18" t="n">
        <v>48900</v>
      </c>
      <c r="H155" s="17" t="n">
        <v>44097</v>
      </c>
      <c r="I155" s="18" t="n">
        <v>45915</v>
      </c>
      <c r="J155" s="18" t="n">
        <v>45915</v>
      </c>
      <c r="K155" s="12" t="n">
        <f aca="false">I155/G155*(1-0.0025)/(1+0.001)-1</f>
        <v>-0.0643260114119008</v>
      </c>
      <c r="L155" s="4" t="n">
        <v>2</v>
      </c>
      <c r="M155" s="4" t="s">
        <v>80</v>
      </c>
    </row>
    <row r="156" customFormat="false" ht="17.15" hidden="false" customHeight="false" outlineLevel="0" collapsed="false">
      <c r="A156" s="7" t="s">
        <v>268</v>
      </c>
      <c r="B156" s="4" t="s">
        <v>269</v>
      </c>
      <c r="C156" s="7" t="s">
        <v>56</v>
      </c>
      <c r="D156" s="4" t="s">
        <v>93</v>
      </c>
      <c r="E156" s="17" t="n">
        <v>44096</v>
      </c>
      <c r="F156" s="17" t="n">
        <v>44097</v>
      </c>
      <c r="G156" s="18" t="n">
        <v>17303</v>
      </c>
      <c r="H156" s="17" t="n">
        <v>44098</v>
      </c>
      <c r="I156" s="18" t="n">
        <v>16020</v>
      </c>
      <c r="J156" s="18" t="n">
        <v>16643.4</v>
      </c>
      <c r="K156" s="12" t="n">
        <f aca="false">I156/G156*(1-0.0025)/(1+0.001)-1</f>
        <v>-0.0773862327928094</v>
      </c>
      <c r="L156" s="4" t="n">
        <v>1</v>
      </c>
      <c r="M156" s="4" t="s">
        <v>76</v>
      </c>
    </row>
    <row r="157" customFormat="false" ht="17.15" hidden="false" customHeight="false" outlineLevel="0" collapsed="false">
      <c r="A157" s="7" t="s">
        <v>276</v>
      </c>
      <c r="B157" s="4" t="s">
        <v>277</v>
      </c>
      <c r="C157" s="7" t="s">
        <v>57</v>
      </c>
      <c r="D157" s="4" t="s">
        <v>140</v>
      </c>
      <c r="E157" s="17" t="n">
        <v>44096</v>
      </c>
      <c r="F157" s="17" t="n">
        <v>44097</v>
      </c>
      <c r="G157" s="18" t="n">
        <v>16650</v>
      </c>
      <c r="H157" s="17" t="n">
        <v>44098</v>
      </c>
      <c r="I157" s="18" t="n">
        <v>16150</v>
      </c>
      <c r="J157" s="18" t="n">
        <v>16150</v>
      </c>
      <c r="K157" s="12" t="n">
        <f aca="false">I157/G157*(1-0.0025)/(1+0.001)-1</f>
        <v>-0.0334215334215332</v>
      </c>
      <c r="L157" s="4" t="n">
        <v>1</v>
      </c>
      <c r="M157" s="4" t="s">
        <v>80</v>
      </c>
    </row>
    <row r="158" customFormat="false" ht="17.15" hidden="false" customHeight="false" outlineLevel="0" collapsed="false">
      <c r="A158" s="7" t="s">
        <v>88</v>
      </c>
      <c r="B158" s="4" t="s">
        <v>89</v>
      </c>
      <c r="C158" s="7" t="s">
        <v>56</v>
      </c>
      <c r="D158" s="4" t="s">
        <v>93</v>
      </c>
      <c r="E158" s="17" t="n">
        <v>43998</v>
      </c>
      <c r="F158" s="17" t="n">
        <v>43999</v>
      </c>
      <c r="G158" s="18" t="n">
        <v>50655</v>
      </c>
      <c r="H158" s="17" t="n">
        <v>44099</v>
      </c>
      <c r="I158" s="18" t="n">
        <v>71027</v>
      </c>
      <c r="J158" s="18" t="n">
        <v>40277.1</v>
      </c>
      <c r="K158" s="12" t="n">
        <f aca="false">I158/G158*(1-0.0025)/(1+0.001)-1</f>
        <v>0.397268854923578</v>
      </c>
      <c r="L158" s="4" t="n">
        <v>71</v>
      </c>
      <c r="M158" s="4" t="s">
        <v>76</v>
      </c>
    </row>
    <row r="159" customFormat="false" ht="17.15" hidden="false" customHeight="false" outlineLevel="0" collapsed="false">
      <c r="A159" s="7" t="s">
        <v>256</v>
      </c>
      <c r="B159" s="7" t="s">
        <v>257</v>
      </c>
      <c r="C159" s="7" t="s">
        <v>55</v>
      </c>
      <c r="D159" s="7" t="s">
        <v>96</v>
      </c>
      <c r="E159" s="17" t="n">
        <v>44007</v>
      </c>
      <c r="F159" s="17" t="n">
        <v>44008</v>
      </c>
      <c r="G159" s="18" t="n">
        <v>74059</v>
      </c>
      <c r="H159" s="17" t="n">
        <v>44099</v>
      </c>
      <c r="I159" s="18" t="n">
        <v>188150</v>
      </c>
      <c r="J159" s="18" t="n">
        <v>69335.4</v>
      </c>
      <c r="K159" s="12" t="n">
        <f aca="false">I159/G159*(1-0.0025)/(1+0.001)-1</f>
        <v>1.53165898631001</v>
      </c>
      <c r="L159" s="4" t="n">
        <v>64</v>
      </c>
      <c r="M159" s="4" t="s">
        <v>76</v>
      </c>
    </row>
    <row r="160" customFormat="false" ht="17.15" hidden="false" customHeight="false" outlineLevel="0" collapsed="false">
      <c r="A160" s="7" t="s">
        <v>81</v>
      </c>
      <c r="B160" s="4" t="s">
        <v>82</v>
      </c>
      <c r="C160" s="7" t="s">
        <v>50</v>
      </c>
      <c r="D160" s="7" t="s">
        <v>105</v>
      </c>
      <c r="E160" s="17" t="n">
        <v>44091</v>
      </c>
      <c r="F160" s="17" t="n">
        <v>44092</v>
      </c>
      <c r="G160" s="18" t="n">
        <v>43953</v>
      </c>
      <c r="H160" s="17" t="n">
        <v>44099</v>
      </c>
      <c r="I160" s="18" t="n">
        <v>38471</v>
      </c>
      <c r="J160" s="18" t="n">
        <v>36451.5</v>
      </c>
      <c r="K160" s="12" t="n">
        <f aca="false">I160/G160*(1-0.0025)/(1+0.001)-1</f>
        <v>-0.12778454226137</v>
      </c>
      <c r="L160" s="4" t="n">
        <v>5</v>
      </c>
      <c r="M160" s="4" t="s">
        <v>76</v>
      </c>
    </row>
    <row r="161" customFormat="false" ht="17.15" hidden="false" customHeight="false" outlineLevel="0" collapsed="false">
      <c r="A161" s="7" t="s">
        <v>270</v>
      </c>
      <c r="B161" s="4" t="s">
        <v>271</v>
      </c>
      <c r="C161" s="7" t="s">
        <v>51</v>
      </c>
      <c r="D161" s="7" t="s">
        <v>117</v>
      </c>
      <c r="E161" s="17" t="n">
        <v>44097</v>
      </c>
      <c r="F161" s="17" t="n">
        <v>44098</v>
      </c>
      <c r="G161" s="18" t="n">
        <v>16891</v>
      </c>
      <c r="H161" s="17" t="n">
        <v>44099</v>
      </c>
      <c r="I161" s="18" t="n">
        <v>17287</v>
      </c>
      <c r="J161" s="18" t="n">
        <v>15868.9</v>
      </c>
      <c r="K161" s="12" t="n">
        <f aca="false">I161/G161*(1-0.0025)/(1+0.001)-1</f>
        <v>0.0198659608108429</v>
      </c>
      <c r="L161" s="4" t="n">
        <v>1</v>
      </c>
      <c r="M161" s="4" t="s">
        <v>76</v>
      </c>
    </row>
    <row r="162" customFormat="false" ht="17.15" hidden="false" customHeight="false" outlineLevel="0" collapsed="false">
      <c r="A162" s="7" t="s">
        <v>278</v>
      </c>
      <c r="B162" s="4" t="s">
        <v>279</v>
      </c>
      <c r="C162" s="7" t="s">
        <v>56</v>
      </c>
      <c r="D162" s="4" t="s">
        <v>93</v>
      </c>
      <c r="E162" s="17" t="n">
        <v>44097</v>
      </c>
      <c r="F162" s="17" t="n">
        <v>44098</v>
      </c>
      <c r="G162" s="18" t="n">
        <v>32100</v>
      </c>
      <c r="H162" s="17" t="n">
        <v>44099</v>
      </c>
      <c r="I162" s="18" t="n">
        <v>32750</v>
      </c>
      <c r="J162" s="18" t="n">
        <v>31040</v>
      </c>
      <c r="K162" s="12" t="n">
        <f aca="false">I162/G162*(1-0.0025)/(1+0.001)-1</f>
        <v>0.0166819162146266</v>
      </c>
      <c r="L162" s="4" t="n">
        <v>1</v>
      </c>
      <c r="M162" s="4" t="s">
        <v>76</v>
      </c>
    </row>
    <row r="163" customFormat="false" ht="17.15" hidden="false" customHeight="false" outlineLevel="0" collapsed="false">
      <c r="A163" s="7" t="s">
        <v>280</v>
      </c>
      <c r="B163" s="4" t="s">
        <v>281</v>
      </c>
      <c r="C163" s="7" t="s">
        <v>56</v>
      </c>
      <c r="D163" s="4" t="s">
        <v>90</v>
      </c>
      <c r="E163" s="17" t="n">
        <v>44098</v>
      </c>
      <c r="F163" s="17" t="n">
        <v>44099</v>
      </c>
      <c r="G163" s="18" t="n">
        <v>6540</v>
      </c>
      <c r="H163" s="17" t="n">
        <v>44102</v>
      </c>
      <c r="I163" s="18" t="n">
        <v>6185.5</v>
      </c>
      <c r="J163" s="18" t="n">
        <v>6185.5</v>
      </c>
      <c r="K163" s="12" t="n">
        <f aca="false">I163/G163*(1-0.0025)/(1+0.001)-1</f>
        <v>-0.0575118688650798</v>
      </c>
      <c r="L163" s="4" t="n">
        <v>1</v>
      </c>
      <c r="M163" s="4" t="s">
        <v>80</v>
      </c>
    </row>
    <row r="164" customFormat="false" ht="17.15" hidden="false" customHeight="false" outlineLevel="0" collapsed="false">
      <c r="A164" s="7" t="s">
        <v>256</v>
      </c>
      <c r="B164" s="7" t="s">
        <v>257</v>
      </c>
      <c r="C164" s="7" t="s">
        <v>51</v>
      </c>
      <c r="D164" s="7" t="s">
        <v>117</v>
      </c>
      <c r="E164" s="17" t="n">
        <v>44099</v>
      </c>
      <c r="F164" s="17" t="n">
        <v>44102</v>
      </c>
      <c r="G164" s="18" t="n">
        <v>192821</v>
      </c>
      <c r="H164" s="17" t="n">
        <v>44103</v>
      </c>
      <c r="I164" s="18" t="n">
        <v>194488</v>
      </c>
      <c r="J164" s="18" t="n">
        <v>166165.9</v>
      </c>
      <c r="K164" s="12" t="n">
        <f aca="false">I164/G164*(1-0.0025)/(1+0.001)-1</f>
        <v>0.00511859199968923</v>
      </c>
      <c r="L164" s="4" t="n">
        <v>1</v>
      </c>
      <c r="M164" s="4" t="s">
        <v>76</v>
      </c>
    </row>
    <row r="165" customFormat="false" ht="17.15" hidden="false" customHeight="false" outlineLevel="0" collapsed="false">
      <c r="A165" s="7" t="s">
        <v>282</v>
      </c>
      <c r="B165" s="4" t="s">
        <v>283</v>
      </c>
      <c r="C165" s="7" t="s">
        <v>56</v>
      </c>
      <c r="D165" s="4" t="s">
        <v>93</v>
      </c>
      <c r="E165" s="17" t="n">
        <v>44096</v>
      </c>
      <c r="F165" s="17" t="n">
        <v>44097</v>
      </c>
      <c r="G165" s="18" t="n">
        <v>44131</v>
      </c>
      <c r="H165" s="17" t="n">
        <v>44126</v>
      </c>
      <c r="I165" s="18" t="n">
        <v>41258</v>
      </c>
      <c r="J165" s="18" t="n">
        <v>39963.7</v>
      </c>
      <c r="K165" s="12" t="n">
        <f aca="false">I165/G165*(1-0.0025)/(1+0.001)-1</f>
        <v>-0.0683705046624535</v>
      </c>
      <c r="L165" s="4" t="n">
        <v>17</v>
      </c>
      <c r="M165" s="4" t="s">
        <v>76</v>
      </c>
    </row>
    <row r="166" customFormat="false" ht="17.15" hidden="false" customHeight="false" outlineLevel="0" collapsed="false">
      <c r="A166" s="7" t="s">
        <v>236</v>
      </c>
      <c r="B166" s="4" t="s">
        <v>237</v>
      </c>
      <c r="C166" s="7" t="s">
        <v>49</v>
      </c>
      <c r="D166" s="7" t="s">
        <v>124</v>
      </c>
      <c r="E166" s="17" t="n">
        <v>44098</v>
      </c>
      <c r="F166" s="17" t="n">
        <v>44099</v>
      </c>
      <c r="G166" s="18" t="n">
        <v>14100</v>
      </c>
      <c r="H166" s="17" t="n">
        <v>44127</v>
      </c>
      <c r="I166" s="18" t="n">
        <v>13500</v>
      </c>
      <c r="J166" s="18" t="n">
        <v>12500</v>
      </c>
      <c r="K166" s="12" t="n">
        <f aca="false">I166/G166*(1-0.0025)/(1+0.001)-1</f>
        <v>-0.045900907603035</v>
      </c>
      <c r="L166" s="4" t="n">
        <v>16</v>
      </c>
      <c r="M166" s="4" t="s">
        <v>76</v>
      </c>
    </row>
    <row r="167" customFormat="false" ht="17.15" hidden="false" customHeight="false" outlineLevel="0" collapsed="false">
      <c r="A167" s="7" t="s">
        <v>284</v>
      </c>
      <c r="B167" s="4" t="s">
        <v>285</v>
      </c>
      <c r="C167" s="7" t="s">
        <v>56</v>
      </c>
      <c r="D167" s="4" t="s">
        <v>114</v>
      </c>
      <c r="E167" s="17" t="n">
        <v>43885</v>
      </c>
      <c r="F167" s="17" t="n">
        <v>43886</v>
      </c>
      <c r="G167" s="18" t="n">
        <v>16710</v>
      </c>
      <c r="H167" s="17" t="n">
        <v>44131</v>
      </c>
      <c r="I167" s="18" t="n">
        <v>122474</v>
      </c>
      <c r="J167" s="18" t="n">
        <v>13865.6</v>
      </c>
      <c r="K167" s="12" t="n">
        <f aca="false">I167/G167*(1-0.0025)/(1+0.001)-1</f>
        <v>6.30375638723933</v>
      </c>
      <c r="L167" s="4" t="n">
        <v>166</v>
      </c>
      <c r="M167" s="4" t="s">
        <v>76</v>
      </c>
    </row>
    <row r="168" customFormat="false" ht="17.15" hidden="false" customHeight="false" outlineLevel="0" collapsed="false">
      <c r="A168" s="7" t="s">
        <v>286</v>
      </c>
      <c r="B168" s="4" t="s">
        <v>287</v>
      </c>
      <c r="C168" s="7" t="s">
        <v>56</v>
      </c>
      <c r="D168" s="4" t="s">
        <v>114</v>
      </c>
      <c r="E168" s="17" t="n">
        <v>44125</v>
      </c>
      <c r="F168" s="17" t="n">
        <v>44126</v>
      </c>
      <c r="G168" s="18" t="n">
        <v>59700</v>
      </c>
      <c r="H168" s="17" t="n">
        <v>44131</v>
      </c>
      <c r="I168" s="18" t="n">
        <v>53290</v>
      </c>
      <c r="J168" s="18" t="n">
        <v>53290</v>
      </c>
      <c r="K168" s="12" t="n">
        <f aca="false">I168/G168*(1-0.0025)/(1+0.001)-1</f>
        <v>-0.110491267526443</v>
      </c>
      <c r="L168" s="4" t="n">
        <v>3</v>
      </c>
      <c r="M168" s="4" t="s">
        <v>80</v>
      </c>
    </row>
    <row r="169" customFormat="false" ht="17.15" hidden="false" customHeight="false" outlineLevel="0" collapsed="false">
      <c r="A169" s="7" t="s">
        <v>256</v>
      </c>
      <c r="B169" s="7" t="s">
        <v>257</v>
      </c>
      <c r="C169" s="7" t="s">
        <v>56</v>
      </c>
      <c r="D169" s="4" t="s">
        <v>93</v>
      </c>
      <c r="E169" s="17" t="n">
        <v>44130</v>
      </c>
      <c r="F169" s="17" t="n">
        <v>44131</v>
      </c>
      <c r="G169" s="18" t="n">
        <v>227849</v>
      </c>
      <c r="H169" s="17" t="n">
        <v>44132</v>
      </c>
      <c r="I169" s="18" t="n">
        <v>232185</v>
      </c>
      <c r="J169" s="18" t="n">
        <v>191920.4</v>
      </c>
      <c r="K169" s="12" t="n">
        <f aca="false">I169/G169*(1-0.0025)/(1+0.001)-1</f>
        <v>0.0154671046862807</v>
      </c>
      <c r="L169" s="4" t="n">
        <v>1</v>
      </c>
      <c r="M169" s="4" t="s">
        <v>76</v>
      </c>
    </row>
    <row r="170" customFormat="false" ht="17.15" hidden="false" customHeight="false" outlineLevel="0" collapsed="false">
      <c r="A170" s="7" t="s">
        <v>120</v>
      </c>
      <c r="B170" s="4" t="s">
        <v>121</v>
      </c>
      <c r="C170" s="7" t="s">
        <v>50</v>
      </c>
      <c r="D170" s="7" t="s">
        <v>105</v>
      </c>
      <c r="E170" s="17" t="n">
        <v>44130</v>
      </c>
      <c r="F170" s="17" t="n">
        <v>44131</v>
      </c>
      <c r="G170" s="18" t="n">
        <v>53300</v>
      </c>
      <c r="H170" s="17" t="n">
        <v>44132</v>
      </c>
      <c r="I170" s="18" t="n">
        <v>53000</v>
      </c>
      <c r="J170" s="18" t="n">
        <v>47245</v>
      </c>
      <c r="K170" s="12" t="n">
        <f aca="false">I170/G170*(1-0.0025)/(1+0.001)-1</f>
        <v>-0.00910534118789264</v>
      </c>
      <c r="L170" s="4" t="n">
        <v>1</v>
      </c>
      <c r="M170" s="4" t="s">
        <v>76</v>
      </c>
    </row>
    <row r="171" customFormat="false" ht="17.15" hidden="false" customHeight="false" outlineLevel="0" collapsed="false">
      <c r="A171" s="7" t="s">
        <v>288</v>
      </c>
      <c r="B171" s="7" t="s">
        <v>289</v>
      </c>
      <c r="C171" s="7" t="s">
        <v>48</v>
      </c>
      <c r="D171" s="7" t="s">
        <v>75</v>
      </c>
      <c r="E171" s="17" t="n">
        <v>44130</v>
      </c>
      <c r="F171" s="17" t="n">
        <v>44131</v>
      </c>
      <c r="G171" s="18" t="n">
        <v>632000</v>
      </c>
      <c r="H171" s="17" t="n">
        <v>44132</v>
      </c>
      <c r="I171" s="18" t="n">
        <v>647000</v>
      </c>
      <c r="J171" s="18" t="n">
        <v>596900</v>
      </c>
      <c r="K171" s="12" t="n">
        <f aca="false">I171/G171*(1-0.0025)/(1+0.001)-1</f>
        <v>0.0201546870850668</v>
      </c>
      <c r="L171" s="4" t="n">
        <v>1</v>
      </c>
      <c r="M171" s="4" t="s">
        <v>76</v>
      </c>
    </row>
    <row r="172" customFormat="false" ht="17.15" hidden="false" customHeight="false" outlineLevel="0" collapsed="false">
      <c r="A172" s="7" t="s">
        <v>284</v>
      </c>
      <c r="B172" s="4" t="s">
        <v>285</v>
      </c>
      <c r="C172" s="7" t="s">
        <v>56</v>
      </c>
      <c r="D172" s="4" t="s">
        <v>90</v>
      </c>
      <c r="E172" s="17" t="n">
        <v>44131</v>
      </c>
      <c r="F172" s="17" t="n">
        <v>44132</v>
      </c>
      <c r="G172" s="18" t="n">
        <v>129812</v>
      </c>
      <c r="H172" s="17" t="n">
        <v>44133</v>
      </c>
      <c r="I172" s="18" t="n">
        <v>130465</v>
      </c>
      <c r="J172" s="18" t="n">
        <v>114272.8</v>
      </c>
      <c r="K172" s="12" t="n">
        <f aca="false">I172/G172*(1-0.0025)/(1+0.001)-1</f>
        <v>0.00151625944695932</v>
      </c>
      <c r="L172" s="4" t="n">
        <v>1</v>
      </c>
      <c r="M172" s="4" t="s">
        <v>76</v>
      </c>
    </row>
    <row r="173" customFormat="false" ht="17.15" hidden="false" customHeight="false" outlineLevel="0" collapsed="false">
      <c r="A173" s="7" t="s">
        <v>178</v>
      </c>
      <c r="B173" s="4" t="s">
        <v>179</v>
      </c>
      <c r="C173" s="7" t="s">
        <v>58</v>
      </c>
      <c r="D173" s="7" t="s">
        <v>175</v>
      </c>
      <c r="E173" s="17" t="n">
        <v>44131</v>
      </c>
      <c r="F173" s="17" t="n">
        <v>44132</v>
      </c>
      <c r="G173" s="18" t="n">
        <v>29300</v>
      </c>
      <c r="H173" s="17" t="n">
        <v>44133</v>
      </c>
      <c r="I173" s="18" t="n">
        <v>28550</v>
      </c>
      <c r="J173" s="18" t="n">
        <v>24550</v>
      </c>
      <c r="K173" s="12" t="n">
        <f aca="false">I173/G173*(1-0.0025)/(1+0.001)-1</f>
        <v>-0.0290042721783335</v>
      </c>
      <c r="L173" s="4" t="n">
        <v>1</v>
      </c>
      <c r="M173" s="4" t="s">
        <v>76</v>
      </c>
    </row>
    <row r="174" customFormat="false" ht="17.15" hidden="false" customHeight="false" outlineLevel="0" collapsed="false">
      <c r="A174" s="7" t="s">
        <v>272</v>
      </c>
      <c r="B174" s="4" t="s">
        <v>273</v>
      </c>
      <c r="C174" s="7" t="s">
        <v>56</v>
      </c>
      <c r="D174" s="4" t="s">
        <v>90</v>
      </c>
      <c r="E174" s="17" t="n">
        <v>44132</v>
      </c>
      <c r="F174" s="17" t="n">
        <v>44133</v>
      </c>
      <c r="G174" s="18" t="n">
        <v>50059</v>
      </c>
      <c r="H174" s="17" t="n">
        <v>44140</v>
      </c>
      <c r="I174" s="18" t="n">
        <v>51007</v>
      </c>
      <c r="J174" s="18" t="n">
        <v>42514.2</v>
      </c>
      <c r="K174" s="12" t="n">
        <f aca="false">I174/G174*(1-0.0025)/(1+0.001)-1</f>
        <v>0.0153749345003666</v>
      </c>
      <c r="L174" s="4" t="n">
        <v>5</v>
      </c>
      <c r="M174" s="4" t="s">
        <v>76</v>
      </c>
    </row>
    <row r="175" customFormat="false" ht="17.15" hidden="false" customHeight="false" outlineLevel="0" collapsed="false">
      <c r="A175" s="7" t="s">
        <v>286</v>
      </c>
      <c r="B175" s="4" t="s">
        <v>287</v>
      </c>
      <c r="C175" s="7" t="s">
        <v>56</v>
      </c>
      <c r="D175" s="4" t="s">
        <v>90</v>
      </c>
      <c r="E175" s="17" t="n">
        <v>44132</v>
      </c>
      <c r="F175" s="17" t="n">
        <v>44133</v>
      </c>
      <c r="G175" s="18" t="n">
        <v>61700</v>
      </c>
      <c r="H175" s="17" t="n">
        <v>44169</v>
      </c>
      <c r="I175" s="18" t="n">
        <v>61900</v>
      </c>
      <c r="J175" s="18" t="n">
        <v>52940</v>
      </c>
      <c r="K175" s="12" t="n">
        <f aca="false">I175/G175*(1-0.0025)/(1+0.001)-1</f>
        <v>-0.00026634629551936</v>
      </c>
      <c r="L175" s="4" t="n">
        <v>26</v>
      </c>
      <c r="M175" s="4" t="s">
        <v>76</v>
      </c>
    </row>
    <row r="176" customFormat="false" ht="17.15" hidden="false" customHeight="false" outlineLevel="0" collapsed="false">
      <c r="A176" s="7" t="s">
        <v>290</v>
      </c>
      <c r="B176" s="4" t="s">
        <v>291</v>
      </c>
      <c r="C176" s="7" t="s">
        <v>56</v>
      </c>
      <c r="D176" s="4" t="s">
        <v>93</v>
      </c>
      <c r="E176" s="17" t="n">
        <v>44131</v>
      </c>
      <c r="F176" s="17" t="n">
        <v>44132</v>
      </c>
      <c r="G176" s="18" t="n">
        <v>52469</v>
      </c>
      <c r="H176" s="17" t="n">
        <v>44172</v>
      </c>
      <c r="I176" s="18" t="n">
        <v>51443</v>
      </c>
      <c r="J176" s="18" t="n">
        <v>43497.5</v>
      </c>
      <c r="K176" s="12" t="n">
        <f aca="false">I176/G176*(1-0.0025)/(1+0.001)-1</f>
        <v>-0.0229825350086836</v>
      </c>
      <c r="L176" s="4" t="n">
        <v>28</v>
      </c>
      <c r="M176" s="4" t="s">
        <v>76</v>
      </c>
    </row>
    <row r="177" customFormat="false" ht="17.15" hidden="false" customHeight="false" outlineLevel="0" collapsed="false">
      <c r="A177" s="7" t="s">
        <v>280</v>
      </c>
      <c r="B177" s="4" t="s">
        <v>281</v>
      </c>
      <c r="C177" s="7" t="s">
        <v>49</v>
      </c>
      <c r="D177" s="7" t="s">
        <v>124</v>
      </c>
      <c r="E177" s="17" t="n">
        <v>44131</v>
      </c>
      <c r="F177" s="17" t="n">
        <v>44132</v>
      </c>
      <c r="G177" s="18" t="n">
        <v>5960</v>
      </c>
      <c r="H177" s="17" t="n">
        <v>44181</v>
      </c>
      <c r="I177" s="18" t="n">
        <v>6240</v>
      </c>
      <c r="J177" s="18" t="n">
        <v>4874</v>
      </c>
      <c r="K177" s="12" t="n">
        <f aca="false">I177/G177*(1-0.0025)/(1+0.001)-1</f>
        <v>0.0433190970103723</v>
      </c>
      <c r="L177" s="4" t="n">
        <v>35</v>
      </c>
      <c r="M177" s="4" t="s">
        <v>76</v>
      </c>
    </row>
    <row r="178" customFormat="false" ht="17.15" hidden="false" customHeight="false" outlineLevel="0" collapsed="false">
      <c r="A178" s="7" t="s">
        <v>292</v>
      </c>
      <c r="B178" s="4" t="s">
        <v>293</v>
      </c>
      <c r="C178" s="7" t="s">
        <v>49</v>
      </c>
      <c r="D178" s="7" t="s">
        <v>124</v>
      </c>
      <c r="E178" s="17" t="n">
        <v>44102</v>
      </c>
      <c r="F178" s="17" t="n">
        <v>44103</v>
      </c>
      <c r="G178" s="18" t="n">
        <v>11792</v>
      </c>
      <c r="H178" s="17" t="n">
        <v>44182</v>
      </c>
      <c r="I178" s="18" t="n">
        <v>13367</v>
      </c>
      <c r="J178" s="18" t="n">
        <v>9406.9</v>
      </c>
      <c r="K178" s="12" t="n">
        <f aca="false">I178/G178*(1-0.0025)/(1+0.001)-1</f>
        <v>0.129601614464233</v>
      </c>
      <c r="L178" s="4" t="n">
        <v>53</v>
      </c>
      <c r="M178" s="4" t="s">
        <v>76</v>
      </c>
    </row>
    <row r="179" customFormat="false" ht="17.15" hidden="false" customHeight="false" outlineLevel="0" collapsed="false">
      <c r="A179" s="7" t="s">
        <v>136</v>
      </c>
      <c r="B179" s="4" t="s">
        <v>137</v>
      </c>
      <c r="C179" s="7" t="s">
        <v>56</v>
      </c>
      <c r="D179" s="4" t="s">
        <v>90</v>
      </c>
      <c r="E179" s="17" t="n">
        <v>44098</v>
      </c>
      <c r="F179" s="17" t="n">
        <v>44099</v>
      </c>
      <c r="G179" s="18" t="n">
        <v>1415</v>
      </c>
      <c r="H179" s="17" t="n">
        <v>44188</v>
      </c>
      <c r="I179" s="18" t="n">
        <v>1310</v>
      </c>
      <c r="J179" s="18" t="n">
        <v>909</v>
      </c>
      <c r="K179" s="12" t="n">
        <f aca="false">I179/G179*(1-0.0025)/(1+0.001)-1</f>
        <v>-0.0774419926363387</v>
      </c>
      <c r="L179" s="4" t="n">
        <v>59</v>
      </c>
      <c r="M179" s="4" t="s">
        <v>76</v>
      </c>
    </row>
    <row r="180" customFormat="false" ht="17.15" hidden="false" customHeight="false" outlineLevel="0" collapsed="false">
      <c r="A180" s="7" t="s">
        <v>238</v>
      </c>
      <c r="B180" s="4" t="s">
        <v>239</v>
      </c>
      <c r="C180" s="7" t="s">
        <v>52</v>
      </c>
      <c r="D180" s="7" t="s">
        <v>79</v>
      </c>
      <c r="E180" s="17" t="n">
        <v>44169</v>
      </c>
      <c r="F180" s="17" t="n">
        <v>44172</v>
      </c>
      <c r="G180" s="18" t="n">
        <v>109400</v>
      </c>
      <c r="H180" s="17" t="n">
        <v>44188</v>
      </c>
      <c r="I180" s="18" t="n">
        <v>93700</v>
      </c>
      <c r="J180" s="18" t="n">
        <v>93700</v>
      </c>
      <c r="K180" s="12" t="n">
        <f aca="false">I180/G180*(1-0.0025)/(1+0.001)-1</f>
        <v>-0.146504774932563</v>
      </c>
      <c r="L180" s="4" t="n">
        <v>12</v>
      </c>
      <c r="M180" s="4" t="s">
        <v>80</v>
      </c>
    </row>
    <row r="181" customFormat="false" ht="17.15" hidden="false" customHeight="false" outlineLevel="0" collapsed="false">
      <c r="A181" s="7" t="s">
        <v>112</v>
      </c>
      <c r="B181" s="4" t="s">
        <v>113</v>
      </c>
      <c r="C181" s="7" t="s">
        <v>52</v>
      </c>
      <c r="D181" s="7" t="s">
        <v>79</v>
      </c>
      <c r="E181" s="17" t="n">
        <v>44187</v>
      </c>
      <c r="F181" s="17" t="n">
        <v>44188</v>
      </c>
      <c r="G181" s="18" t="n">
        <v>9150</v>
      </c>
      <c r="H181" s="17" t="n">
        <v>44189</v>
      </c>
      <c r="I181" s="18" t="n">
        <v>8940</v>
      </c>
      <c r="J181" s="18" t="n">
        <v>8940</v>
      </c>
      <c r="K181" s="12" t="n">
        <f aca="false">I181/G181*(1-0.0025)/(1+0.001)-1</f>
        <v>-0.0263670755474034</v>
      </c>
      <c r="L181" s="4" t="n">
        <v>1</v>
      </c>
      <c r="M181" s="4" t="s">
        <v>80</v>
      </c>
    </row>
    <row r="182" customFormat="false" ht="17.15" hidden="false" customHeight="false" outlineLevel="0" collapsed="false">
      <c r="A182" s="7" t="s">
        <v>290</v>
      </c>
      <c r="B182" s="4" t="s">
        <v>291</v>
      </c>
      <c r="C182" s="7" t="s">
        <v>51</v>
      </c>
      <c r="D182" s="7" t="s">
        <v>117</v>
      </c>
      <c r="E182" s="17" t="n">
        <v>44188</v>
      </c>
      <c r="F182" s="17" t="n">
        <v>44189</v>
      </c>
      <c r="G182" s="18" t="n">
        <v>52070</v>
      </c>
      <c r="H182" s="17" t="n">
        <v>44193</v>
      </c>
      <c r="I182" s="18" t="n">
        <v>52355</v>
      </c>
      <c r="J182" s="18" t="n">
        <v>49310.2</v>
      </c>
      <c r="K182" s="12" t="n">
        <f aca="false">I182/G182*(1-0.0025)/(1+0.001)-1</f>
        <v>0.00195775992780045</v>
      </c>
      <c r="L182" s="4" t="n">
        <v>1</v>
      </c>
      <c r="M182" s="4" t="s">
        <v>76</v>
      </c>
    </row>
    <row r="183" customFormat="false" ht="17.15" hidden="false" customHeight="false" outlineLevel="0" collapsed="false">
      <c r="A183" s="7" t="s">
        <v>292</v>
      </c>
      <c r="B183" s="4" t="s">
        <v>293</v>
      </c>
      <c r="C183" s="7" t="s">
        <v>56</v>
      </c>
      <c r="D183" s="4" t="s">
        <v>90</v>
      </c>
      <c r="E183" s="17" t="n">
        <v>44189</v>
      </c>
      <c r="F183" s="17" t="n">
        <v>44193</v>
      </c>
      <c r="G183" s="18" t="n">
        <v>12403</v>
      </c>
      <c r="H183" s="17" t="n">
        <v>44194</v>
      </c>
      <c r="I183" s="18" t="n">
        <v>12402</v>
      </c>
      <c r="J183" s="18" t="n">
        <v>11340.3</v>
      </c>
      <c r="K183" s="12" t="n">
        <f aca="false">I183/G183*(1-0.0025)/(1+0.001)-1</f>
        <v>-0.00357684724370189</v>
      </c>
      <c r="L183" s="4" t="n">
        <v>1</v>
      </c>
      <c r="M183" s="4" t="s">
        <v>76</v>
      </c>
    </row>
    <row r="184" customFormat="false" ht="17.15" hidden="false" customHeight="false" outlineLevel="0" collapsed="false">
      <c r="A184" s="7" t="s">
        <v>256</v>
      </c>
      <c r="B184" s="7" t="s">
        <v>257</v>
      </c>
      <c r="C184" s="7" t="s">
        <v>53</v>
      </c>
      <c r="D184" s="7" t="s">
        <v>131</v>
      </c>
      <c r="E184" s="17" t="n">
        <v>44139</v>
      </c>
      <c r="F184" s="17" t="n">
        <v>44140</v>
      </c>
      <c r="G184" s="18" t="n">
        <v>259874</v>
      </c>
      <c r="H184" s="17" t="n">
        <v>44207</v>
      </c>
      <c r="I184" s="18" t="n">
        <v>254203</v>
      </c>
      <c r="J184" s="18" t="n">
        <v>232485.5</v>
      </c>
      <c r="K184" s="12" t="n">
        <f aca="false">I184/G184*(1-0.0025)/(1+0.001)-1</f>
        <v>-0.0252423161929305</v>
      </c>
      <c r="L184" s="4" t="n">
        <v>44</v>
      </c>
      <c r="M184" s="4" t="s">
        <v>76</v>
      </c>
    </row>
    <row r="185" customFormat="false" ht="17.15" hidden="false" customHeight="false" outlineLevel="0" collapsed="false">
      <c r="A185" s="7" t="s">
        <v>294</v>
      </c>
      <c r="B185" s="4" t="s">
        <v>295</v>
      </c>
      <c r="C185" s="7" t="s">
        <v>52</v>
      </c>
      <c r="D185" s="7" t="s">
        <v>79</v>
      </c>
      <c r="E185" s="17" t="n">
        <v>44204</v>
      </c>
      <c r="F185" s="17" t="n">
        <v>44207</v>
      </c>
      <c r="G185" s="18" t="n">
        <v>6820</v>
      </c>
      <c r="H185" s="17" t="n">
        <v>44214</v>
      </c>
      <c r="I185" s="18" t="n">
        <v>6320</v>
      </c>
      <c r="J185" s="18" t="n">
        <v>6366.5</v>
      </c>
      <c r="K185" s="12" t="n">
        <f aca="false">I185/G185*(1-0.0025)/(1+0.001)-1</f>
        <v>-0.0765539445891351</v>
      </c>
      <c r="L185" s="4" t="n">
        <v>5</v>
      </c>
      <c r="M185" s="4" t="s">
        <v>80</v>
      </c>
    </row>
    <row r="186" customFormat="false" ht="17.15" hidden="false" customHeight="false" outlineLevel="0" collapsed="false">
      <c r="A186" s="7" t="s">
        <v>238</v>
      </c>
      <c r="B186" s="4" t="s">
        <v>239</v>
      </c>
      <c r="C186" s="7" t="s">
        <v>49</v>
      </c>
      <c r="D186" s="7" t="s">
        <v>124</v>
      </c>
      <c r="E186" s="17" t="n">
        <v>44189</v>
      </c>
      <c r="F186" s="17" t="n">
        <v>44193</v>
      </c>
      <c r="G186" s="18" t="n">
        <v>93500</v>
      </c>
      <c r="H186" s="17" t="n">
        <v>44216</v>
      </c>
      <c r="I186" s="18" t="n">
        <v>81900</v>
      </c>
      <c r="J186" s="18" t="n">
        <v>77600</v>
      </c>
      <c r="K186" s="12" t="n">
        <f aca="false">I186/G186*(1-0.0025)/(1+0.001)-1</f>
        <v>-0.127126883811376</v>
      </c>
      <c r="L186" s="4" t="n">
        <v>15</v>
      </c>
      <c r="M186" s="4" t="s">
        <v>76</v>
      </c>
    </row>
    <row r="187" customFormat="false" ht="17.15" hidden="false" customHeight="false" outlineLevel="0" collapsed="false">
      <c r="A187" s="7" t="s">
        <v>112</v>
      </c>
      <c r="B187" s="4" t="s">
        <v>113</v>
      </c>
      <c r="C187" s="7" t="s">
        <v>52</v>
      </c>
      <c r="D187" s="7" t="s">
        <v>79</v>
      </c>
      <c r="E187" s="17" t="n">
        <v>44214</v>
      </c>
      <c r="F187" s="17" t="n">
        <v>44215</v>
      </c>
      <c r="G187" s="18" t="n">
        <v>15850</v>
      </c>
      <c r="H187" s="17" t="n">
        <v>44216</v>
      </c>
      <c r="I187" s="18" t="n">
        <v>14803</v>
      </c>
      <c r="J187" s="18" t="n">
        <v>14803</v>
      </c>
      <c r="K187" s="12" t="n">
        <f aca="false">I187/G187*(1-0.0025)/(1+0.001)-1</f>
        <v>-0.0693223180604883</v>
      </c>
      <c r="L187" s="4" t="n">
        <v>1</v>
      </c>
      <c r="M187" s="4" t="s">
        <v>80</v>
      </c>
    </row>
    <row r="188" customFormat="false" ht="17.15" hidden="false" customHeight="false" outlineLevel="0" collapsed="false">
      <c r="A188" s="7" t="s">
        <v>296</v>
      </c>
      <c r="B188" s="4" t="s">
        <v>297</v>
      </c>
      <c r="C188" s="7" t="s">
        <v>48</v>
      </c>
      <c r="D188" s="7" t="s">
        <v>75</v>
      </c>
      <c r="E188" s="17" t="n">
        <v>44130</v>
      </c>
      <c r="F188" s="17" t="n">
        <v>44131</v>
      </c>
      <c r="G188" s="18" t="n">
        <v>29350</v>
      </c>
      <c r="H188" s="17" t="n">
        <v>44223</v>
      </c>
      <c r="I188" s="18" t="n">
        <v>30950</v>
      </c>
      <c r="J188" s="18" t="n">
        <v>27950</v>
      </c>
      <c r="K188" s="12" t="n">
        <f aca="false">I188/G188*(1-0.0025)/(1+0.001)-1</f>
        <v>0.0508273668409958</v>
      </c>
      <c r="L188" s="4" t="n">
        <v>63</v>
      </c>
      <c r="M188" s="4" t="s">
        <v>76</v>
      </c>
    </row>
    <row r="189" customFormat="false" ht="17.15" hidden="false" customHeight="false" outlineLevel="0" collapsed="false">
      <c r="A189" s="7" t="s">
        <v>298</v>
      </c>
      <c r="B189" s="4" t="s">
        <v>299</v>
      </c>
      <c r="C189" s="7" t="s">
        <v>56</v>
      </c>
      <c r="D189" s="4" t="s">
        <v>114</v>
      </c>
      <c r="E189" s="17" t="n">
        <v>44098</v>
      </c>
      <c r="F189" s="17" t="n">
        <v>44099</v>
      </c>
      <c r="G189" s="18" t="n">
        <v>6876</v>
      </c>
      <c r="H189" s="17" t="n">
        <v>44224</v>
      </c>
      <c r="I189" s="18" t="n">
        <v>10445</v>
      </c>
      <c r="J189" s="18" t="n">
        <v>5743.6</v>
      </c>
      <c r="K189" s="12" t="n">
        <f aca="false">I189/G189*(1-0.0025)/(1+0.001)-1</f>
        <v>0.513740404447211</v>
      </c>
      <c r="L189" s="4" t="n">
        <v>82</v>
      </c>
      <c r="M189" s="4" t="s">
        <v>76</v>
      </c>
    </row>
    <row r="190" customFormat="false" ht="17.15" hidden="false" customHeight="false" outlineLevel="0" collapsed="false">
      <c r="A190" s="7" t="s">
        <v>300</v>
      </c>
      <c r="B190" s="7" t="s">
        <v>301</v>
      </c>
      <c r="C190" s="7" t="s">
        <v>50</v>
      </c>
      <c r="D190" s="7" t="s">
        <v>105</v>
      </c>
      <c r="E190" s="17" t="n">
        <v>44126</v>
      </c>
      <c r="F190" s="17" t="n">
        <v>44127</v>
      </c>
      <c r="G190" s="18" t="n">
        <v>8070</v>
      </c>
      <c r="H190" s="17" t="n">
        <v>44232</v>
      </c>
      <c r="I190" s="18" t="n">
        <v>13800</v>
      </c>
      <c r="J190" s="18" t="n">
        <v>7048</v>
      </c>
      <c r="K190" s="12" t="n">
        <f aca="false">I190/G190*(1-0.0025)/(1+0.001)-1</f>
        <v>0.704058023760626</v>
      </c>
      <c r="L190" s="4" t="n">
        <v>72</v>
      </c>
      <c r="M190" s="4" t="s">
        <v>76</v>
      </c>
    </row>
    <row r="191" customFormat="false" ht="17.15" hidden="false" customHeight="false" outlineLevel="0" collapsed="false">
      <c r="A191" s="7" t="s">
        <v>272</v>
      </c>
      <c r="B191" s="4" t="s">
        <v>273</v>
      </c>
      <c r="C191" s="7" t="s">
        <v>52</v>
      </c>
      <c r="D191" s="7" t="s">
        <v>79</v>
      </c>
      <c r="E191" s="17" t="n">
        <v>44181</v>
      </c>
      <c r="F191" s="17" t="n">
        <v>44182</v>
      </c>
      <c r="G191" s="18" t="n">
        <v>84222</v>
      </c>
      <c r="H191" s="17" t="n">
        <v>44250</v>
      </c>
      <c r="I191" s="18" t="n">
        <v>75100</v>
      </c>
      <c r="J191" s="18" t="n">
        <v>72407.4</v>
      </c>
      <c r="K191" s="12" t="n">
        <f aca="false">I191/G191*(1-0.0025)/(1+0.001)-1</f>
        <v>-0.111426793623844</v>
      </c>
      <c r="L191" s="4" t="n">
        <v>43</v>
      </c>
      <c r="M191" s="4" t="s">
        <v>76</v>
      </c>
    </row>
    <row r="192" customFormat="false" ht="17.15" hidden="false" customHeight="false" outlineLevel="0" collapsed="false">
      <c r="A192" s="7" t="s">
        <v>270</v>
      </c>
      <c r="B192" s="4" t="s">
        <v>271</v>
      </c>
      <c r="C192" s="7" t="s">
        <v>54</v>
      </c>
      <c r="D192" s="7" t="s">
        <v>85</v>
      </c>
      <c r="E192" s="17" t="n">
        <v>44180</v>
      </c>
      <c r="F192" s="17" t="n">
        <v>44181</v>
      </c>
      <c r="G192" s="18" t="n">
        <v>27043</v>
      </c>
      <c r="H192" s="17" t="n">
        <v>44251</v>
      </c>
      <c r="I192" s="18" t="n">
        <v>27360</v>
      </c>
      <c r="J192" s="18" t="n">
        <v>20976.8</v>
      </c>
      <c r="K192" s="12" t="n">
        <f aca="false">I192/G192*(1-0.0025)/(1+0.001)-1</f>
        <v>0.00818458249216691</v>
      </c>
      <c r="L192" s="4" t="n">
        <v>45</v>
      </c>
      <c r="M192" s="4" t="s">
        <v>76</v>
      </c>
    </row>
    <row r="193" customFormat="false" ht="17.15" hidden="false" customHeight="false" outlineLevel="0" collapsed="false">
      <c r="A193" s="7" t="s">
        <v>302</v>
      </c>
      <c r="B193" s="7" t="s">
        <v>303</v>
      </c>
      <c r="C193" s="7" t="s">
        <v>48</v>
      </c>
      <c r="D193" s="7" t="s">
        <v>75</v>
      </c>
      <c r="E193" s="17" t="n">
        <v>44193</v>
      </c>
      <c r="F193" s="17" t="n">
        <v>44194</v>
      </c>
      <c r="G193" s="18" t="n">
        <v>58900</v>
      </c>
      <c r="H193" s="17" t="n">
        <v>44252</v>
      </c>
      <c r="I193" s="18" t="n">
        <v>64200</v>
      </c>
      <c r="J193" s="18" t="n">
        <v>52835</v>
      </c>
      <c r="K193" s="12" t="n">
        <f aca="false">I193/G193*(1-0.0025)/(1+0.001)-1</f>
        <v>0.0861718926235058</v>
      </c>
      <c r="L193" s="4" t="n">
        <v>38</v>
      </c>
      <c r="M193" s="4" t="s">
        <v>76</v>
      </c>
    </row>
    <row r="194" customFormat="false" ht="17.15" hidden="false" customHeight="false" outlineLevel="0" collapsed="false">
      <c r="A194" s="7" t="s">
        <v>304</v>
      </c>
      <c r="B194" s="4" t="s">
        <v>305</v>
      </c>
      <c r="C194" s="7" t="s">
        <v>52</v>
      </c>
      <c r="D194" s="7" t="s">
        <v>79</v>
      </c>
      <c r="E194" s="17" t="n">
        <v>44215</v>
      </c>
      <c r="F194" s="17" t="n">
        <v>44216</v>
      </c>
      <c r="G194" s="18" t="n">
        <v>99000</v>
      </c>
      <c r="H194" s="17" t="n">
        <v>44260</v>
      </c>
      <c r="I194" s="18" t="n">
        <v>81610</v>
      </c>
      <c r="J194" s="18" t="n">
        <v>81610</v>
      </c>
      <c r="K194" s="12" t="n">
        <f aca="false">I194/G194*(1-0.0025)/(1+0.001)-1</f>
        <v>-0.178538885357067</v>
      </c>
      <c r="L194" s="4" t="n">
        <v>29</v>
      </c>
      <c r="M194" s="4" t="s">
        <v>80</v>
      </c>
    </row>
    <row r="195" customFormat="false" ht="17.15" hidden="false" customHeight="false" outlineLevel="0" collapsed="false">
      <c r="A195" s="7" t="s">
        <v>112</v>
      </c>
      <c r="B195" s="4" t="s">
        <v>113</v>
      </c>
      <c r="C195" s="7" t="s">
        <v>56</v>
      </c>
      <c r="D195" s="4" t="s">
        <v>90</v>
      </c>
      <c r="E195" s="17" t="n">
        <v>44223</v>
      </c>
      <c r="F195" s="17" t="n">
        <v>44224</v>
      </c>
      <c r="G195" s="18" t="n">
        <v>16950</v>
      </c>
      <c r="H195" s="17" t="n">
        <v>44260</v>
      </c>
      <c r="I195" s="18" t="n">
        <v>13690</v>
      </c>
      <c r="J195" s="18" t="n">
        <v>13690</v>
      </c>
      <c r="K195" s="12" t="n">
        <f aca="false">I195/G195*(1-0.0025)/(1+0.001)-1</f>
        <v>-0.195154403119005</v>
      </c>
      <c r="L195" s="4" t="n">
        <v>23</v>
      </c>
      <c r="M195" s="4" t="s">
        <v>80</v>
      </c>
    </row>
    <row r="196" customFormat="false" ht="17.15" hidden="false" customHeight="false" outlineLevel="0" collapsed="false">
      <c r="A196" s="7" t="s">
        <v>244</v>
      </c>
      <c r="B196" s="4" t="s">
        <v>245</v>
      </c>
      <c r="C196" s="7" t="s">
        <v>52</v>
      </c>
      <c r="D196" s="7" t="s">
        <v>79</v>
      </c>
      <c r="E196" s="17" t="n">
        <v>44231</v>
      </c>
      <c r="F196" s="17" t="n">
        <v>44232</v>
      </c>
      <c r="G196" s="18" t="n">
        <v>82647</v>
      </c>
      <c r="H196" s="17" t="n">
        <v>44260</v>
      </c>
      <c r="I196" s="18" t="n">
        <v>70972.5</v>
      </c>
      <c r="J196" s="18" t="n">
        <v>70972.5</v>
      </c>
      <c r="K196" s="12" t="n">
        <f aca="false">I196/G196*(1-0.0025)/(1+0.001)-1</f>
        <v>-0.144259992430525</v>
      </c>
      <c r="L196" s="4" t="n">
        <v>17</v>
      </c>
      <c r="M196" s="4" t="s">
        <v>80</v>
      </c>
    </row>
    <row r="197" customFormat="false" ht="17.15" hidden="false" customHeight="false" outlineLevel="0" collapsed="false">
      <c r="A197" s="7" t="s">
        <v>306</v>
      </c>
      <c r="B197" s="4" t="s">
        <v>307</v>
      </c>
      <c r="C197" s="7" t="s">
        <v>52</v>
      </c>
      <c r="D197" s="7" t="s">
        <v>79</v>
      </c>
      <c r="E197" s="17" t="n">
        <v>44168</v>
      </c>
      <c r="F197" s="17" t="n">
        <v>44169</v>
      </c>
      <c r="G197" s="18" t="n">
        <v>92200</v>
      </c>
      <c r="H197" s="17" t="n">
        <v>44263</v>
      </c>
      <c r="I197" s="18" t="n">
        <v>122500</v>
      </c>
      <c r="J197" s="18" t="n">
        <v>83900</v>
      </c>
      <c r="K197" s="12" t="n">
        <f aca="false">I197/G197*(1-0.0025)/(1+0.001)-1</f>
        <v>0.323987834291522</v>
      </c>
      <c r="L197" s="4" t="n">
        <v>60</v>
      </c>
      <c r="M197" s="4" t="s">
        <v>76</v>
      </c>
    </row>
    <row r="198" customFormat="false" ht="17.15" hidden="false" customHeight="false" outlineLevel="0" collapsed="false">
      <c r="A198" s="7" t="s">
        <v>308</v>
      </c>
      <c r="B198" s="4" t="s">
        <v>309</v>
      </c>
      <c r="C198" s="7" t="s">
        <v>56</v>
      </c>
      <c r="D198" s="4" t="s">
        <v>114</v>
      </c>
      <c r="E198" s="17" t="n">
        <v>44260</v>
      </c>
      <c r="F198" s="17" t="n">
        <v>44263</v>
      </c>
      <c r="G198" s="18" t="n">
        <v>7640</v>
      </c>
      <c r="H198" s="17" t="n">
        <v>44264</v>
      </c>
      <c r="I198" s="18" t="n">
        <v>7600</v>
      </c>
      <c r="J198" s="18" t="n">
        <v>7320</v>
      </c>
      <c r="K198" s="12" t="n">
        <f aca="false">I198/G198*(1-0.0025)/(1+0.001)-1</f>
        <v>-0.00871379928971539</v>
      </c>
      <c r="L198" s="4" t="n">
        <v>1</v>
      </c>
      <c r="M198" s="4" t="s">
        <v>76</v>
      </c>
    </row>
    <row r="199" customFormat="false" ht="17.15" hidden="false" customHeight="false" outlineLevel="0" collapsed="false">
      <c r="A199" s="7" t="s">
        <v>310</v>
      </c>
      <c r="B199" s="7" t="s">
        <v>311</v>
      </c>
      <c r="C199" s="7" t="s">
        <v>52</v>
      </c>
      <c r="D199" s="7" t="s">
        <v>79</v>
      </c>
      <c r="E199" s="17" t="n">
        <v>44260</v>
      </c>
      <c r="F199" s="17" t="n">
        <v>44263</v>
      </c>
      <c r="G199" s="18" t="n">
        <v>99332</v>
      </c>
      <c r="H199" s="17" t="n">
        <v>44264</v>
      </c>
      <c r="I199" s="18" t="n">
        <v>95120.4</v>
      </c>
      <c r="J199" s="18" t="n">
        <v>95120.4</v>
      </c>
      <c r="K199" s="12" t="n">
        <f aca="false">I199/G199*(1-0.0025)/(1+0.001)-1</f>
        <v>-0.0457474812868844</v>
      </c>
      <c r="L199" s="4" t="n">
        <v>1</v>
      </c>
      <c r="M199" s="4" t="s">
        <v>80</v>
      </c>
    </row>
    <row r="200" customFormat="false" ht="17.15" hidden="false" customHeight="false" outlineLevel="0" collapsed="false">
      <c r="A200" s="7" t="s">
        <v>312</v>
      </c>
      <c r="B200" s="4" t="s">
        <v>313</v>
      </c>
      <c r="C200" s="7" t="s">
        <v>52</v>
      </c>
      <c r="D200" s="7" t="s">
        <v>79</v>
      </c>
      <c r="E200" s="17" t="n">
        <v>44260</v>
      </c>
      <c r="F200" s="17" t="n">
        <v>44263</v>
      </c>
      <c r="G200" s="18" t="n">
        <v>6480</v>
      </c>
      <c r="H200" s="17" t="n">
        <v>44264</v>
      </c>
      <c r="I200" s="18" t="n">
        <v>5769</v>
      </c>
      <c r="J200" s="18" t="n">
        <v>5769</v>
      </c>
      <c r="K200" s="12" t="n">
        <f aca="false">I200/G200*(1-0.0025)/(1+0.001)-1</f>
        <v>-0.112835081585081</v>
      </c>
      <c r="L200" s="4" t="n">
        <v>1</v>
      </c>
      <c r="M200" s="4" t="s">
        <v>80</v>
      </c>
    </row>
    <row r="201" customFormat="false" ht="17.15" hidden="false" customHeight="false" outlineLevel="0" collapsed="false">
      <c r="A201" s="7" t="s">
        <v>314</v>
      </c>
      <c r="B201" s="4" t="s">
        <v>315</v>
      </c>
      <c r="C201" s="7" t="s">
        <v>48</v>
      </c>
      <c r="D201" s="7" t="s">
        <v>75</v>
      </c>
      <c r="E201" s="17" t="n">
        <v>44263</v>
      </c>
      <c r="F201" s="17" t="n">
        <v>44264</v>
      </c>
      <c r="G201" s="18" t="n">
        <v>3310</v>
      </c>
      <c r="H201" s="17" t="n">
        <v>44279</v>
      </c>
      <c r="I201" s="18" t="n">
        <v>2956</v>
      </c>
      <c r="J201" s="18" t="n">
        <v>2956</v>
      </c>
      <c r="K201" s="12" t="n">
        <f aca="false">I201/G201*(1-0.0025)/(1+0.001)-1</f>
        <v>-0.110071197684491</v>
      </c>
      <c r="L201" s="4" t="n">
        <v>11</v>
      </c>
      <c r="M201" s="4" t="s">
        <v>80</v>
      </c>
    </row>
    <row r="202" customFormat="false" ht="17.15" hidden="false" customHeight="false" outlineLevel="0" collapsed="false">
      <c r="A202" s="7" t="s">
        <v>122</v>
      </c>
      <c r="B202" s="4" t="s">
        <v>123</v>
      </c>
      <c r="C202" s="7" t="s">
        <v>56</v>
      </c>
      <c r="D202" s="4" t="s">
        <v>93</v>
      </c>
      <c r="E202" s="17" t="n">
        <v>44264</v>
      </c>
      <c r="F202" s="17" t="n">
        <v>44265</v>
      </c>
      <c r="G202" s="18" t="n">
        <v>21500</v>
      </c>
      <c r="H202" s="17" t="n">
        <v>44292</v>
      </c>
      <c r="I202" s="18" t="n">
        <v>19950</v>
      </c>
      <c r="J202" s="18" t="n">
        <v>18840</v>
      </c>
      <c r="K202" s="12" t="n">
        <f aca="false">I202/G202*(1-0.0025)/(1+0.001)-1</f>
        <v>-0.0753374532444299</v>
      </c>
      <c r="L202" s="4" t="n">
        <v>19</v>
      </c>
      <c r="M202" s="4" t="s">
        <v>76</v>
      </c>
    </row>
    <row r="203" customFormat="false" ht="17.15" hidden="false" customHeight="false" outlineLevel="0" collapsed="false">
      <c r="A203" s="7" t="s">
        <v>316</v>
      </c>
      <c r="B203" s="4" t="s">
        <v>317</v>
      </c>
      <c r="C203" s="7" t="s">
        <v>49</v>
      </c>
      <c r="D203" s="7" t="s">
        <v>124</v>
      </c>
      <c r="E203" s="17" t="n">
        <v>44130</v>
      </c>
      <c r="F203" s="17" t="n">
        <v>44131</v>
      </c>
      <c r="G203" s="18" t="n">
        <v>52900</v>
      </c>
      <c r="H203" s="17" t="n">
        <v>44308</v>
      </c>
      <c r="I203" s="18" t="n">
        <v>84500</v>
      </c>
      <c r="J203" s="18" t="n">
        <v>44080</v>
      </c>
      <c r="K203" s="12" t="n">
        <f aca="false">I203/G203*(1-0.0025)/(1+0.001)-1</f>
        <v>0.591768345076474</v>
      </c>
      <c r="L203" s="4" t="n">
        <v>121</v>
      </c>
      <c r="M203" s="4" t="s">
        <v>76</v>
      </c>
    </row>
    <row r="204" customFormat="false" ht="17.15" hidden="false" customHeight="false" outlineLevel="0" collapsed="false">
      <c r="A204" s="7" t="s">
        <v>194</v>
      </c>
      <c r="B204" s="4" t="s">
        <v>195</v>
      </c>
      <c r="C204" s="7" t="s">
        <v>53</v>
      </c>
      <c r="D204" s="7" t="s">
        <v>131</v>
      </c>
      <c r="E204" s="17" t="n">
        <v>44250</v>
      </c>
      <c r="F204" s="17" t="n">
        <v>44251</v>
      </c>
      <c r="G204" s="18" t="n">
        <v>18847</v>
      </c>
      <c r="H204" s="17" t="n">
        <v>44316</v>
      </c>
      <c r="I204" s="18" t="n">
        <v>20377</v>
      </c>
      <c r="J204" s="18" t="n">
        <v>16997.7</v>
      </c>
      <c r="K204" s="12" t="n">
        <f aca="false">I204/G204*(1-0.0025)/(1+0.001)-1</f>
        <v>0.0773996789012443</v>
      </c>
      <c r="L204" s="4" t="n">
        <v>46</v>
      </c>
      <c r="M204" s="4" t="s">
        <v>76</v>
      </c>
    </row>
    <row r="205" customFormat="false" ht="17.15" hidden="false" customHeight="false" outlineLevel="0" collapsed="false">
      <c r="A205" s="7" t="s">
        <v>318</v>
      </c>
      <c r="B205" s="4" t="s">
        <v>319</v>
      </c>
      <c r="C205" s="7" t="s">
        <v>52</v>
      </c>
      <c r="D205" s="7" t="s">
        <v>79</v>
      </c>
      <c r="E205" s="17" t="n">
        <v>44315</v>
      </c>
      <c r="F205" s="17" t="n">
        <v>44316</v>
      </c>
      <c r="G205" s="18" t="n">
        <v>7390</v>
      </c>
      <c r="H205" s="17" t="n">
        <v>44319</v>
      </c>
      <c r="I205" s="18" t="n">
        <v>7133</v>
      </c>
      <c r="J205" s="18" t="n">
        <v>7133</v>
      </c>
      <c r="K205" s="12" t="n">
        <f aca="false">I205/G205*(1-0.0025)/(1+0.001)-1</f>
        <v>-0.0381516318593448</v>
      </c>
      <c r="L205" s="4" t="n">
        <v>1</v>
      </c>
      <c r="M205" s="4" t="s">
        <v>80</v>
      </c>
    </row>
    <row r="206" customFormat="false" ht="17.15" hidden="false" customHeight="false" outlineLevel="0" collapsed="false">
      <c r="A206" s="7" t="s">
        <v>149</v>
      </c>
      <c r="B206" s="4" t="s">
        <v>150</v>
      </c>
      <c r="C206" s="7" t="s">
        <v>52</v>
      </c>
      <c r="D206" s="7" t="s">
        <v>79</v>
      </c>
      <c r="E206" s="17" t="n">
        <v>44319</v>
      </c>
      <c r="F206" s="17" t="n">
        <v>44320</v>
      </c>
      <c r="G206" s="18" t="n">
        <v>8864</v>
      </c>
      <c r="H206" s="17" t="n">
        <v>44326</v>
      </c>
      <c r="I206" s="18" t="n">
        <v>8307.8</v>
      </c>
      <c r="J206" s="18" t="n">
        <v>8307.8</v>
      </c>
      <c r="K206" s="12" t="n">
        <f aca="false">I206/G206*(1-0.0025)/(1+0.001)-1</f>
        <v>-0.0660252991593244</v>
      </c>
      <c r="L206" s="4" t="n">
        <v>3</v>
      </c>
      <c r="M206" s="4" t="s">
        <v>80</v>
      </c>
    </row>
    <row r="207" customFormat="false" ht="17.15" hidden="false" customHeight="false" outlineLevel="0" collapsed="false">
      <c r="A207" s="7" t="s">
        <v>320</v>
      </c>
      <c r="B207" s="4" t="s">
        <v>321</v>
      </c>
      <c r="C207" s="7" t="s">
        <v>52</v>
      </c>
      <c r="D207" s="7" t="s">
        <v>79</v>
      </c>
      <c r="E207" s="17" t="n">
        <v>44222</v>
      </c>
      <c r="F207" s="17" t="n">
        <v>44223</v>
      </c>
      <c r="G207" s="18" t="n">
        <v>225000</v>
      </c>
      <c r="H207" s="17" t="n">
        <v>44330</v>
      </c>
      <c r="I207" s="18" t="n">
        <v>238500</v>
      </c>
      <c r="J207" s="18" t="n">
        <v>195850</v>
      </c>
      <c r="K207" s="12" t="n">
        <f aca="false">I207/G207*(1-0.0025)/(1+0.001)-1</f>
        <v>0.0562937062937063</v>
      </c>
      <c r="L207" s="4" t="n">
        <v>73</v>
      </c>
      <c r="M207" s="4" t="s">
        <v>76</v>
      </c>
    </row>
    <row r="208" customFormat="false" ht="17.15" hidden="false" customHeight="false" outlineLevel="0" collapsed="false">
      <c r="A208" s="7" t="s">
        <v>322</v>
      </c>
      <c r="B208" s="7" t="s">
        <v>323</v>
      </c>
      <c r="C208" s="7" t="s">
        <v>52</v>
      </c>
      <c r="D208" s="7" t="s">
        <v>79</v>
      </c>
      <c r="E208" s="17" t="n">
        <v>44279</v>
      </c>
      <c r="F208" s="17" t="n">
        <v>44280</v>
      </c>
      <c r="G208" s="18" t="n">
        <v>381000</v>
      </c>
      <c r="H208" s="17" t="n">
        <v>44333</v>
      </c>
      <c r="I208" s="18" t="n">
        <v>360000</v>
      </c>
      <c r="J208" s="18" t="n">
        <v>340300</v>
      </c>
      <c r="K208" s="12" t="n">
        <f aca="false">I208/G208*(1-0.0025)/(1+0.001)-1</f>
        <v>-0.0584218930675622</v>
      </c>
      <c r="L208" s="4" t="n">
        <v>36</v>
      </c>
      <c r="M208" s="4" t="s">
        <v>76</v>
      </c>
    </row>
    <row r="209" customFormat="false" ht="17.15" hidden="false" customHeight="false" outlineLevel="0" collapsed="false">
      <c r="A209" s="7" t="s">
        <v>194</v>
      </c>
      <c r="B209" s="4" t="s">
        <v>195</v>
      </c>
      <c r="C209" s="7" t="s">
        <v>58</v>
      </c>
      <c r="D209" s="7" t="s">
        <v>175</v>
      </c>
      <c r="E209" s="17" t="n">
        <v>44329</v>
      </c>
      <c r="F209" s="17" t="n">
        <v>44330</v>
      </c>
      <c r="G209" s="18" t="n">
        <v>18540</v>
      </c>
      <c r="H209" s="17" t="n">
        <v>44333</v>
      </c>
      <c r="I209" s="18" t="n">
        <v>18539</v>
      </c>
      <c r="J209" s="18" t="n">
        <v>15291.7</v>
      </c>
      <c r="K209" s="12" t="n">
        <f aca="false">I209/G209*(1-0.0025)/(1+0.001)-1</f>
        <v>-0.00355025233665995</v>
      </c>
      <c r="L209" s="4" t="n">
        <v>1</v>
      </c>
      <c r="M209" s="4" t="s">
        <v>76</v>
      </c>
    </row>
    <row r="210" customFormat="false" ht="17.15" hidden="false" customHeight="false" outlineLevel="0" collapsed="false">
      <c r="A210" s="7" t="s">
        <v>97</v>
      </c>
      <c r="B210" s="4" t="s">
        <v>98</v>
      </c>
      <c r="C210" s="7" t="s">
        <v>56</v>
      </c>
      <c r="D210" s="4" t="s">
        <v>90</v>
      </c>
      <c r="E210" s="17" t="n">
        <v>44307</v>
      </c>
      <c r="F210" s="17" t="n">
        <v>44308</v>
      </c>
      <c r="G210" s="18" t="n">
        <v>11100</v>
      </c>
      <c r="H210" s="17" t="n">
        <v>44336</v>
      </c>
      <c r="I210" s="18" t="n">
        <v>9325</v>
      </c>
      <c r="J210" s="18" t="n">
        <v>9325</v>
      </c>
      <c r="K210" s="12" t="n">
        <f aca="false">I210/G210*(1-0.0025)/(1+0.001)-1</f>
        <v>-0.162847287847288</v>
      </c>
      <c r="L210" s="4" t="n">
        <v>18</v>
      </c>
      <c r="M210" s="4" t="s">
        <v>80</v>
      </c>
    </row>
    <row r="211" customFormat="false" ht="17.15" hidden="false" customHeight="false" outlineLevel="0" collapsed="false">
      <c r="A211" s="7" t="s">
        <v>194</v>
      </c>
      <c r="B211" s="4" t="s">
        <v>195</v>
      </c>
      <c r="C211" s="7" t="s">
        <v>56</v>
      </c>
      <c r="D211" s="4" t="s">
        <v>90</v>
      </c>
      <c r="E211" s="17" t="n">
        <v>44336</v>
      </c>
      <c r="F211" s="17" t="n">
        <v>44337</v>
      </c>
      <c r="G211" s="18" t="n">
        <v>17881</v>
      </c>
      <c r="H211" s="17" t="n">
        <v>44340</v>
      </c>
      <c r="I211" s="18" t="n">
        <v>18657</v>
      </c>
      <c r="J211" s="18" t="n">
        <v>15316.2</v>
      </c>
      <c r="K211" s="12" t="n">
        <f aca="false">I211/G211*(1-0.0025)/(1+0.001)-1</f>
        <v>0.0397497754189216</v>
      </c>
      <c r="L211" s="4" t="n">
        <v>1</v>
      </c>
      <c r="M211" s="4" t="s">
        <v>76</v>
      </c>
    </row>
    <row r="212" customFormat="false" ht="17.15" hidden="false" customHeight="false" outlineLevel="0" collapsed="false">
      <c r="A212" s="7" t="s">
        <v>324</v>
      </c>
      <c r="B212" s="4" t="s">
        <v>325</v>
      </c>
      <c r="C212" s="7" t="s">
        <v>56</v>
      </c>
      <c r="D212" s="4" t="s">
        <v>90</v>
      </c>
      <c r="E212" s="17" t="n">
        <v>44260</v>
      </c>
      <c r="F212" s="17" t="n">
        <v>44263</v>
      </c>
      <c r="G212" s="18" t="n">
        <v>60200</v>
      </c>
      <c r="H212" s="17" t="n">
        <v>44354</v>
      </c>
      <c r="I212" s="18" t="n">
        <v>106900</v>
      </c>
      <c r="J212" s="18" t="n">
        <v>49140</v>
      </c>
      <c r="K212" s="12" t="n">
        <f aca="false">I212/G212*(1-0.0025)/(1+0.001)-1</f>
        <v>0.76953860093395</v>
      </c>
      <c r="L212" s="4" t="n">
        <v>63</v>
      </c>
      <c r="M212" s="4" t="s">
        <v>76</v>
      </c>
    </row>
    <row r="213" customFormat="false" ht="17.15" hidden="false" customHeight="false" outlineLevel="0" collapsed="false">
      <c r="A213" s="7" t="s">
        <v>294</v>
      </c>
      <c r="B213" s="4" t="s">
        <v>295</v>
      </c>
      <c r="C213" s="7" t="s">
        <v>54</v>
      </c>
      <c r="D213" s="7" t="s">
        <v>85</v>
      </c>
      <c r="E213" s="17" t="n">
        <v>44351</v>
      </c>
      <c r="F213" s="17" t="n">
        <v>44354</v>
      </c>
      <c r="G213" s="18" t="n">
        <v>7800</v>
      </c>
      <c r="H213" s="17" t="n">
        <v>44361</v>
      </c>
      <c r="I213" s="18" t="n">
        <v>7109</v>
      </c>
      <c r="J213" s="18" t="n">
        <v>7109</v>
      </c>
      <c r="K213" s="12" t="n">
        <f aca="false">I213/G213*(1-0.0025)/(1+0.001)-1</f>
        <v>-0.091776492738031</v>
      </c>
      <c r="L213" s="4" t="n">
        <v>5</v>
      </c>
      <c r="M213" s="4" t="s">
        <v>80</v>
      </c>
    </row>
    <row r="214" customFormat="false" ht="17.15" hidden="false" customHeight="false" outlineLevel="0" collapsed="false">
      <c r="A214" s="7" t="s">
        <v>310</v>
      </c>
      <c r="B214" s="7" t="s">
        <v>311</v>
      </c>
      <c r="C214" s="7" t="s">
        <v>56</v>
      </c>
      <c r="D214" s="4" t="s">
        <v>90</v>
      </c>
      <c r="E214" s="17" t="n">
        <v>44361</v>
      </c>
      <c r="F214" s="17" t="n">
        <v>44362</v>
      </c>
      <c r="G214" s="18" t="n">
        <v>95359</v>
      </c>
      <c r="H214" s="17" t="n">
        <v>44363</v>
      </c>
      <c r="I214" s="18" t="n">
        <v>94961</v>
      </c>
      <c r="J214" s="18" t="n">
        <v>88048.3</v>
      </c>
      <c r="K214" s="12" t="n">
        <f aca="false">I214/G214*(1-0.0025)/(1+0.001)-1</f>
        <v>-0.00765561162062778</v>
      </c>
      <c r="L214" s="4" t="n">
        <v>1</v>
      </c>
      <c r="M214" s="4" t="s">
        <v>76</v>
      </c>
    </row>
    <row r="215" customFormat="false" ht="17.15" hidden="false" customHeight="false" outlineLevel="0" collapsed="false">
      <c r="A215" s="7" t="s">
        <v>322</v>
      </c>
      <c r="B215" s="7" t="s">
        <v>323</v>
      </c>
      <c r="C215" s="7" t="s">
        <v>51</v>
      </c>
      <c r="D215" s="7" t="s">
        <v>117</v>
      </c>
      <c r="E215" s="17" t="n">
        <v>44362</v>
      </c>
      <c r="F215" s="17" t="n">
        <v>44363</v>
      </c>
      <c r="G215" s="18" t="n">
        <v>383000</v>
      </c>
      <c r="H215" s="17" t="n">
        <v>44364</v>
      </c>
      <c r="I215" s="18" t="n">
        <v>380000</v>
      </c>
      <c r="J215" s="18" t="n">
        <v>359450</v>
      </c>
      <c r="K215" s="12" t="n">
        <f aca="false">I215/G215*(1-0.0025)/(1+0.001)-1</f>
        <v>-0.0113020139129798</v>
      </c>
      <c r="L215" s="4" t="n">
        <v>1</v>
      </c>
      <c r="M215" s="4" t="s">
        <v>76</v>
      </c>
    </row>
    <row r="216" customFormat="false" ht="17.15" hidden="false" customHeight="false" outlineLevel="0" collapsed="false">
      <c r="A216" s="7" t="s">
        <v>326</v>
      </c>
      <c r="B216" s="4" t="s">
        <v>327</v>
      </c>
      <c r="C216" s="7" t="s">
        <v>55</v>
      </c>
      <c r="D216" s="7" t="s">
        <v>96</v>
      </c>
      <c r="E216" s="17" t="n">
        <v>44264</v>
      </c>
      <c r="F216" s="17" t="n">
        <v>44265</v>
      </c>
      <c r="G216" s="18" t="n">
        <v>40700</v>
      </c>
      <c r="H216" s="17" t="n">
        <v>44385</v>
      </c>
      <c r="I216" s="18" t="n">
        <v>43700</v>
      </c>
      <c r="J216" s="18" t="n">
        <v>38245</v>
      </c>
      <c r="K216" s="12" t="n">
        <f aca="false">I216/G216*(1-0.0025)/(1+0.001)-1</f>
        <v>0.0699558426831157</v>
      </c>
      <c r="L216" s="4" t="n">
        <v>84</v>
      </c>
      <c r="M216" s="4" t="s">
        <v>76</v>
      </c>
    </row>
    <row r="217" customFormat="false" ht="17.15" hidden="false" customHeight="false" outlineLevel="0" collapsed="false">
      <c r="A217" s="7" t="s">
        <v>328</v>
      </c>
      <c r="B217" s="4" t="s">
        <v>329</v>
      </c>
      <c r="C217" s="7" t="s">
        <v>56</v>
      </c>
      <c r="D217" s="4" t="s">
        <v>93</v>
      </c>
      <c r="E217" s="17" t="n">
        <v>44251</v>
      </c>
      <c r="F217" s="17" t="n">
        <v>44252</v>
      </c>
      <c r="G217" s="18" t="n">
        <v>6950</v>
      </c>
      <c r="H217" s="17" t="n">
        <v>44389</v>
      </c>
      <c r="I217" s="18" t="n">
        <v>9110</v>
      </c>
      <c r="J217" s="18" t="n">
        <v>5744.5</v>
      </c>
      <c r="K217" s="12" t="n">
        <f aca="false">I217/G217*(1-0.0025)/(1+0.001)-1</f>
        <v>0.3062081803089</v>
      </c>
      <c r="L217" s="4" t="n">
        <v>94</v>
      </c>
      <c r="M217" s="4" t="s">
        <v>76</v>
      </c>
    </row>
    <row r="218" customFormat="false" ht="17.15" hidden="false" customHeight="false" outlineLevel="0" collapsed="false">
      <c r="A218" s="7" t="s">
        <v>300</v>
      </c>
      <c r="B218" s="7" t="s">
        <v>301</v>
      </c>
      <c r="C218" s="7" t="s">
        <v>52</v>
      </c>
      <c r="D218" s="7" t="s">
        <v>79</v>
      </c>
      <c r="E218" s="17" t="n">
        <v>44249</v>
      </c>
      <c r="F218" s="17" t="n">
        <v>44250</v>
      </c>
      <c r="G218" s="18" t="n">
        <v>17000</v>
      </c>
      <c r="H218" s="17" t="n">
        <v>44392</v>
      </c>
      <c r="I218" s="18" t="n">
        <v>42900</v>
      </c>
      <c r="J218" s="18" t="n">
        <v>15715</v>
      </c>
      <c r="K218" s="12" t="n">
        <f aca="false">I218/G218*(1-0.0025)/(1+0.001)-1</f>
        <v>1.51470588235294</v>
      </c>
      <c r="L218" s="4" t="n">
        <v>99</v>
      </c>
      <c r="M218" s="4" t="s">
        <v>76</v>
      </c>
    </row>
    <row r="219" customFormat="false" ht="17.15" hidden="false" customHeight="false" outlineLevel="0" collapsed="false">
      <c r="A219" s="7" t="s">
        <v>330</v>
      </c>
      <c r="B219" s="4" t="s">
        <v>331</v>
      </c>
      <c r="C219" s="7" t="s">
        <v>49</v>
      </c>
      <c r="D219" s="7" t="s">
        <v>124</v>
      </c>
      <c r="E219" s="17" t="n">
        <v>44330</v>
      </c>
      <c r="F219" s="17" t="n">
        <v>44333</v>
      </c>
      <c r="G219" s="18" t="n">
        <v>13700</v>
      </c>
      <c r="H219" s="17" t="n">
        <v>44392</v>
      </c>
      <c r="I219" s="18" t="n">
        <v>14200</v>
      </c>
      <c r="J219" s="18" t="n">
        <v>12185</v>
      </c>
      <c r="K219" s="12" t="n">
        <f aca="false">I219/G219*(1-0.0025)/(1+0.001)-1</f>
        <v>0.0328722372517996</v>
      </c>
      <c r="L219" s="4" t="n">
        <v>42</v>
      </c>
      <c r="M219" s="4" t="s">
        <v>76</v>
      </c>
    </row>
    <row r="220" customFormat="false" ht="17.15" hidden="false" customHeight="false" outlineLevel="0" collapsed="false">
      <c r="A220" s="7" t="s">
        <v>332</v>
      </c>
      <c r="B220" s="7" t="s">
        <v>333</v>
      </c>
      <c r="C220" s="7" t="s">
        <v>49</v>
      </c>
      <c r="D220" s="7" t="s">
        <v>124</v>
      </c>
      <c r="E220" s="17" t="n">
        <v>44363</v>
      </c>
      <c r="F220" s="17" t="n">
        <v>44364</v>
      </c>
      <c r="G220" s="18" t="n">
        <v>7060</v>
      </c>
      <c r="H220" s="17" t="n">
        <v>44397</v>
      </c>
      <c r="I220" s="18" t="n">
        <v>7150</v>
      </c>
      <c r="J220" s="18" t="n">
        <v>6375</v>
      </c>
      <c r="K220" s="12" t="n">
        <f aca="false">I220/G220*(1-0.0025)/(1+0.001)-1</f>
        <v>0.00920679886685583</v>
      </c>
      <c r="L220" s="4" t="n">
        <v>23</v>
      </c>
      <c r="M220" s="4" t="s">
        <v>76</v>
      </c>
    </row>
    <row r="221" customFormat="false" ht="17.15" hidden="false" customHeight="false" outlineLevel="0" collapsed="false">
      <c r="A221" s="7" t="s">
        <v>334</v>
      </c>
      <c r="B221" s="4" t="s">
        <v>335</v>
      </c>
      <c r="C221" s="7" t="s">
        <v>57</v>
      </c>
      <c r="D221" s="4" t="s">
        <v>140</v>
      </c>
      <c r="E221" s="17" t="n">
        <v>44391</v>
      </c>
      <c r="F221" s="17" t="n">
        <v>44392</v>
      </c>
      <c r="G221" s="18" t="n">
        <v>84000</v>
      </c>
      <c r="H221" s="17" t="n">
        <v>44397</v>
      </c>
      <c r="I221" s="18" t="n">
        <v>78130</v>
      </c>
      <c r="J221" s="18" t="n">
        <v>78130</v>
      </c>
      <c r="K221" s="12" t="n">
        <f aca="false">I221/G221*(1-0.0025)/(1+0.001)-1</f>
        <v>-0.0731331168831167</v>
      </c>
      <c r="L221" s="4" t="n">
        <v>3</v>
      </c>
      <c r="M221" s="4" t="s">
        <v>80</v>
      </c>
    </row>
    <row r="222" customFormat="false" ht="17.15" hidden="false" customHeight="false" outlineLevel="0" collapsed="false">
      <c r="A222" s="7" t="s">
        <v>336</v>
      </c>
      <c r="B222" s="4" t="s">
        <v>337</v>
      </c>
      <c r="C222" s="7" t="s">
        <v>51</v>
      </c>
      <c r="D222" s="7" t="s">
        <v>117</v>
      </c>
      <c r="E222" s="17" t="n">
        <v>44397</v>
      </c>
      <c r="F222" s="17" t="n">
        <v>44398</v>
      </c>
      <c r="G222" s="18" t="n">
        <v>43300</v>
      </c>
      <c r="H222" s="17" t="n">
        <v>44399</v>
      </c>
      <c r="I222" s="18" t="n">
        <v>43250</v>
      </c>
      <c r="J222" s="18" t="n">
        <v>40740</v>
      </c>
      <c r="K222" s="12" t="n">
        <f aca="false">I222/G222*(1-0.0025)/(1+0.001)-1</f>
        <v>-0.00464720037468303</v>
      </c>
      <c r="L222" s="4" t="n">
        <v>1</v>
      </c>
      <c r="M222" s="4" t="s">
        <v>76</v>
      </c>
    </row>
    <row r="223" customFormat="false" ht="17.15" hidden="false" customHeight="false" outlineLevel="0" collapsed="false">
      <c r="A223" s="7" t="s">
        <v>292</v>
      </c>
      <c r="B223" s="4" t="s">
        <v>293</v>
      </c>
      <c r="C223" s="7" t="s">
        <v>56</v>
      </c>
      <c r="D223" s="4" t="s">
        <v>114</v>
      </c>
      <c r="E223" s="17" t="n">
        <v>44386</v>
      </c>
      <c r="F223" s="17" t="n">
        <v>44389</v>
      </c>
      <c r="G223" s="18" t="n">
        <v>24613</v>
      </c>
      <c r="H223" s="17" t="n">
        <v>44400</v>
      </c>
      <c r="I223" s="18" t="n">
        <v>22446</v>
      </c>
      <c r="J223" s="18" t="n">
        <v>22446</v>
      </c>
      <c r="K223" s="12" t="n">
        <f aca="false">I223/G223*(1-0.0025)/(1+0.001)-1</f>
        <v>-0.0912315653306185</v>
      </c>
      <c r="L223" s="4" t="n">
        <v>9</v>
      </c>
      <c r="M223" s="4" t="s">
        <v>80</v>
      </c>
    </row>
    <row r="224" customFormat="false" ht="17.15" hidden="false" customHeight="false" outlineLevel="0" collapsed="false">
      <c r="A224" s="7" t="s">
        <v>99</v>
      </c>
      <c r="B224" s="4" t="s">
        <v>100</v>
      </c>
      <c r="C224" s="7" t="s">
        <v>57</v>
      </c>
      <c r="D224" s="4" t="s">
        <v>140</v>
      </c>
      <c r="E224" s="17" t="n">
        <v>44398</v>
      </c>
      <c r="F224" s="17" t="n">
        <v>44399</v>
      </c>
      <c r="G224" s="18" t="n">
        <v>40950</v>
      </c>
      <c r="H224" s="17" t="n">
        <v>44400</v>
      </c>
      <c r="I224" s="18" t="n">
        <v>33590</v>
      </c>
      <c r="J224" s="18" t="n">
        <v>33590</v>
      </c>
      <c r="K224" s="12" t="n">
        <f aca="false">I224/G224*(1-0.0025)/(1+0.001)-1</f>
        <v>-0.182599451830221</v>
      </c>
      <c r="L224" s="4" t="n">
        <v>1</v>
      </c>
      <c r="M224" s="4" t="s">
        <v>80</v>
      </c>
    </row>
    <row r="225" customFormat="false" ht="17.15" hidden="false" customHeight="false" outlineLevel="0" collapsed="false">
      <c r="A225" s="7" t="s">
        <v>338</v>
      </c>
      <c r="B225" s="4" t="s">
        <v>339</v>
      </c>
      <c r="C225" s="7" t="s">
        <v>50</v>
      </c>
      <c r="D225" s="7" t="s">
        <v>105</v>
      </c>
      <c r="E225" s="17" t="n">
        <v>44337</v>
      </c>
      <c r="F225" s="17" t="n">
        <v>44340</v>
      </c>
      <c r="G225" s="18" t="n">
        <v>5350</v>
      </c>
      <c r="H225" s="17" t="n">
        <v>44407</v>
      </c>
      <c r="I225" s="18" t="n">
        <v>5380</v>
      </c>
      <c r="J225" s="18" t="n">
        <v>4509.5</v>
      </c>
      <c r="K225" s="12" t="n">
        <f aca="false">I225/G225*(1-0.0025)/(1+0.001)-1</f>
        <v>0.00209136657734832</v>
      </c>
      <c r="L225" s="4" t="n">
        <v>49</v>
      </c>
      <c r="M225" s="4" t="s">
        <v>76</v>
      </c>
    </row>
    <row r="226" customFormat="false" ht="17.15" hidden="false" customHeight="false" outlineLevel="0" collapsed="false">
      <c r="A226" s="7" t="s">
        <v>340</v>
      </c>
      <c r="B226" s="4" t="s">
        <v>341</v>
      </c>
      <c r="C226" s="7" t="s">
        <v>48</v>
      </c>
      <c r="D226" s="7" t="s">
        <v>75</v>
      </c>
      <c r="E226" s="17" t="n">
        <v>44391</v>
      </c>
      <c r="F226" s="17" t="n">
        <v>44392</v>
      </c>
      <c r="G226" s="18" t="n">
        <v>64400</v>
      </c>
      <c r="H226" s="17" t="n">
        <v>44407</v>
      </c>
      <c r="I226" s="18" t="n">
        <v>58930</v>
      </c>
      <c r="J226" s="18" t="n">
        <v>58930</v>
      </c>
      <c r="K226" s="12" t="n">
        <f aca="false">I226/G226*(1-0.0025)/(1+0.001)-1</f>
        <v>-0.0881374060721886</v>
      </c>
      <c r="L226" s="4" t="n">
        <v>11</v>
      </c>
      <c r="M226" s="4" t="s">
        <v>80</v>
      </c>
    </row>
    <row r="227" customFormat="false" ht="17.15" hidden="false" customHeight="false" outlineLevel="0" collapsed="false">
      <c r="A227" s="7" t="s">
        <v>312</v>
      </c>
      <c r="B227" s="4" t="s">
        <v>313</v>
      </c>
      <c r="C227" s="7" t="s">
        <v>49</v>
      </c>
      <c r="D227" s="7" t="s">
        <v>124</v>
      </c>
      <c r="E227" s="17" t="n">
        <v>44406</v>
      </c>
      <c r="F227" s="17" t="n">
        <v>44407</v>
      </c>
      <c r="G227" s="18" t="n">
        <v>7550</v>
      </c>
      <c r="H227" s="17" t="n">
        <v>44411</v>
      </c>
      <c r="I227" s="18" t="n">
        <v>7290</v>
      </c>
      <c r="J227" s="18" t="n">
        <v>7096</v>
      </c>
      <c r="K227" s="12" t="n">
        <f aca="false">I227/G227*(1-0.0025)/(1+0.001)-1</f>
        <v>-0.0378131801972861</v>
      </c>
      <c r="L227" s="4" t="n">
        <v>2</v>
      </c>
      <c r="M227" s="4" t="s">
        <v>76</v>
      </c>
    </row>
    <row r="228" customFormat="false" ht="17.15" hidden="false" customHeight="false" outlineLevel="0" collapsed="false">
      <c r="A228" s="7" t="s">
        <v>342</v>
      </c>
      <c r="B228" s="4" t="s">
        <v>343</v>
      </c>
      <c r="C228" s="7" t="s">
        <v>56</v>
      </c>
      <c r="D228" s="4" t="s">
        <v>90</v>
      </c>
      <c r="E228" s="17" t="n">
        <v>44407</v>
      </c>
      <c r="F228" s="17" t="n">
        <v>44410</v>
      </c>
      <c r="G228" s="18" t="n">
        <v>31100</v>
      </c>
      <c r="H228" s="17" t="n">
        <v>44411</v>
      </c>
      <c r="I228" s="18" t="n">
        <v>30950</v>
      </c>
      <c r="J228" s="18" t="n">
        <v>29420</v>
      </c>
      <c r="K228" s="12" t="n">
        <f aca="false">I228/G228*(1-0.0025)/(1+0.001)-1</f>
        <v>-0.008302790457131</v>
      </c>
      <c r="L228" s="4" t="n">
        <v>1</v>
      </c>
      <c r="M228" s="4" t="s">
        <v>76</v>
      </c>
    </row>
    <row r="229" customFormat="false" ht="17.15" hidden="false" customHeight="false" outlineLevel="0" collapsed="false">
      <c r="A229" s="7" t="s">
        <v>169</v>
      </c>
      <c r="B229" s="4" t="s">
        <v>170</v>
      </c>
      <c r="C229" s="7" t="s">
        <v>50</v>
      </c>
      <c r="D229" s="7" t="s">
        <v>105</v>
      </c>
      <c r="E229" s="17" t="n">
        <v>44330</v>
      </c>
      <c r="F229" s="17" t="n">
        <v>44333</v>
      </c>
      <c r="G229" s="18" t="n">
        <v>41950</v>
      </c>
      <c r="H229" s="17" t="n">
        <v>44412</v>
      </c>
      <c r="I229" s="18" t="n">
        <v>50800</v>
      </c>
      <c r="J229" s="18" t="n">
        <v>31900</v>
      </c>
      <c r="K229" s="12" t="n">
        <f aca="false">I229/G229*(1-0.0025)/(1+0.001)-1</f>
        <v>0.206731290163948</v>
      </c>
      <c r="L229" s="4" t="n">
        <v>56</v>
      </c>
      <c r="M229" s="4" t="s">
        <v>76</v>
      </c>
    </row>
    <row r="230" customFormat="false" ht="17.15" hidden="false" customHeight="false" outlineLevel="0" collapsed="false">
      <c r="A230" s="7" t="s">
        <v>344</v>
      </c>
      <c r="B230" s="7" t="s">
        <v>345</v>
      </c>
      <c r="C230" s="7" t="s">
        <v>48</v>
      </c>
      <c r="D230" s="7" t="s">
        <v>75</v>
      </c>
      <c r="E230" s="17" t="n">
        <v>44400</v>
      </c>
      <c r="F230" s="17" t="n">
        <v>44403</v>
      </c>
      <c r="G230" s="18" t="n">
        <v>322000</v>
      </c>
      <c r="H230" s="17" t="n">
        <v>44418</v>
      </c>
      <c r="I230" s="18" t="n">
        <v>326000</v>
      </c>
      <c r="J230" s="18" t="n">
        <v>314350</v>
      </c>
      <c r="K230" s="12" t="n">
        <f aca="false">I230/G230*(1-0.0025)/(1+0.001)-1</f>
        <v>0.00888242192590028</v>
      </c>
      <c r="L230" s="4" t="n">
        <v>11</v>
      </c>
      <c r="M230" s="4" t="s">
        <v>76</v>
      </c>
    </row>
    <row r="231" customFormat="false" ht="17.15" hidden="false" customHeight="false" outlineLevel="0" collapsed="false">
      <c r="A231" s="7" t="s">
        <v>346</v>
      </c>
      <c r="B231" s="4" t="s">
        <v>347</v>
      </c>
      <c r="C231" s="7" t="s">
        <v>52</v>
      </c>
      <c r="D231" s="7" t="s">
        <v>79</v>
      </c>
      <c r="E231" s="17" t="n">
        <v>44223</v>
      </c>
      <c r="F231" s="17" t="n">
        <v>44224</v>
      </c>
      <c r="G231" s="18" t="n">
        <v>315500</v>
      </c>
      <c r="H231" s="17" t="n">
        <v>44420</v>
      </c>
      <c r="I231" s="18" t="n">
        <v>800000</v>
      </c>
      <c r="J231" s="18" t="n">
        <v>264000</v>
      </c>
      <c r="K231" s="12" t="n">
        <f aca="false">I231/G231*(1-0.0025)/(1+0.001)-1</f>
        <v>1.52679175024658</v>
      </c>
      <c r="L231" s="4" t="n">
        <v>135</v>
      </c>
      <c r="M231" s="4" t="s">
        <v>76</v>
      </c>
    </row>
    <row r="232" customFormat="false" ht="17.15" hidden="false" customHeight="false" outlineLevel="0" collapsed="false">
      <c r="A232" s="7" t="s">
        <v>348</v>
      </c>
      <c r="B232" s="4" t="s">
        <v>349</v>
      </c>
      <c r="C232" s="7" t="s">
        <v>52</v>
      </c>
      <c r="D232" s="7" t="s">
        <v>79</v>
      </c>
      <c r="E232" s="17" t="n">
        <v>44291</v>
      </c>
      <c r="F232" s="17" t="n">
        <v>44292</v>
      </c>
      <c r="G232" s="18" t="n">
        <v>15350</v>
      </c>
      <c r="H232" s="17" t="n">
        <v>44425</v>
      </c>
      <c r="I232" s="18" t="n">
        <v>17100</v>
      </c>
      <c r="J232" s="18" t="n">
        <v>13335</v>
      </c>
      <c r="K232" s="12" t="n">
        <f aca="false">I232/G232*(1-0.0025)/(1+0.001)-1</f>
        <v>0.110111386984351</v>
      </c>
      <c r="L232" s="4" t="n">
        <v>92</v>
      </c>
      <c r="M232" s="4" t="s">
        <v>76</v>
      </c>
    </row>
    <row r="233" customFormat="false" ht="17.15" hidden="false" customHeight="false" outlineLevel="0" collapsed="false">
      <c r="A233" s="7" t="s">
        <v>350</v>
      </c>
      <c r="B233" s="4" t="s">
        <v>351</v>
      </c>
      <c r="C233" s="7" t="s">
        <v>50</v>
      </c>
      <c r="D233" s="7" t="s">
        <v>105</v>
      </c>
      <c r="E233" s="17" t="n">
        <v>44396</v>
      </c>
      <c r="F233" s="17" t="n">
        <v>44397</v>
      </c>
      <c r="G233" s="18" t="n">
        <v>46400</v>
      </c>
      <c r="H233" s="17" t="n">
        <v>44426</v>
      </c>
      <c r="I233" s="18" t="n">
        <v>45950</v>
      </c>
      <c r="J233" s="18" t="n">
        <v>43325</v>
      </c>
      <c r="K233" s="12" t="n">
        <f aca="false">I233/G233*(1-0.0025)/(1+0.001)-1</f>
        <v>-0.0131608693031104</v>
      </c>
      <c r="L233" s="4" t="n">
        <v>20</v>
      </c>
      <c r="M233" s="4" t="s">
        <v>76</v>
      </c>
    </row>
    <row r="234" customFormat="false" ht="17.15" hidden="false" customHeight="false" outlineLevel="0" collapsed="false">
      <c r="A234" s="7" t="s">
        <v>352</v>
      </c>
      <c r="B234" s="4" t="s">
        <v>353</v>
      </c>
      <c r="C234" s="7" t="s">
        <v>49</v>
      </c>
      <c r="D234" s="7" t="s">
        <v>124</v>
      </c>
      <c r="E234" s="17" t="n">
        <v>44400</v>
      </c>
      <c r="F234" s="17" t="n">
        <v>44403</v>
      </c>
      <c r="G234" s="18" t="n">
        <v>22900</v>
      </c>
      <c r="H234" s="17" t="n">
        <v>44426</v>
      </c>
      <c r="I234" s="18" t="n">
        <v>22000</v>
      </c>
      <c r="J234" s="18" t="n">
        <v>21710</v>
      </c>
      <c r="K234" s="12" t="n">
        <f aca="false">I234/G234*(1-0.0025)/(1+0.001)-1</f>
        <v>-0.0426603963721867</v>
      </c>
      <c r="L234" s="4" t="n">
        <v>16</v>
      </c>
      <c r="M234" s="4" t="s">
        <v>76</v>
      </c>
    </row>
    <row r="235" customFormat="false" ht="17.15" hidden="false" customHeight="false" outlineLevel="0" collapsed="false">
      <c r="A235" s="7" t="s">
        <v>354</v>
      </c>
      <c r="B235" s="4" t="s">
        <v>355</v>
      </c>
      <c r="C235" s="7" t="s">
        <v>50</v>
      </c>
      <c r="D235" s="7" t="s">
        <v>105</v>
      </c>
      <c r="E235" s="17" t="n">
        <v>44410</v>
      </c>
      <c r="F235" s="17" t="n">
        <v>44411</v>
      </c>
      <c r="G235" s="18" t="n">
        <v>145000</v>
      </c>
      <c r="H235" s="17" t="n">
        <v>44427</v>
      </c>
      <c r="I235" s="18" t="n">
        <v>134660</v>
      </c>
      <c r="J235" s="18" t="n">
        <v>134660</v>
      </c>
      <c r="K235" s="12" t="n">
        <f aca="false">I235/G235*(1-0.0025)/(1+0.001)-1</f>
        <v>-0.0745575114540631</v>
      </c>
      <c r="L235" s="4" t="n">
        <v>11</v>
      </c>
      <c r="M235" s="4" t="s">
        <v>80</v>
      </c>
    </row>
    <row r="236" customFormat="false" ht="17.15" hidden="false" customHeight="false" outlineLevel="0" collapsed="false">
      <c r="A236" s="7" t="s">
        <v>101</v>
      </c>
      <c r="B236" s="4" t="s">
        <v>102</v>
      </c>
      <c r="C236" s="7" t="s">
        <v>49</v>
      </c>
      <c r="D236" s="7" t="s">
        <v>124</v>
      </c>
      <c r="E236" s="17" t="n">
        <v>44421</v>
      </c>
      <c r="F236" s="17" t="n">
        <v>44425</v>
      </c>
      <c r="G236" s="18" t="n">
        <v>23217</v>
      </c>
      <c r="H236" s="17" t="n">
        <v>44428</v>
      </c>
      <c r="I236" s="18" t="n">
        <v>22709</v>
      </c>
      <c r="J236" s="18" t="n">
        <v>22288.8</v>
      </c>
      <c r="K236" s="12" t="n">
        <f aca="false">I236/G236*(1-0.0025)/(1+0.001)-1</f>
        <v>-0.025300516772283</v>
      </c>
      <c r="L236" s="4" t="n">
        <v>3</v>
      </c>
      <c r="M236" s="4" t="s">
        <v>76</v>
      </c>
    </row>
    <row r="237" customFormat="false" ht="17.15" hidden="false" customHeight="false" outlineLevel="0" collapsed="false">
      <c r="A237" s="7" t="s">
        <v>356</v>
      </c>
      <c r="B237" s="4" t="s">
        <v>357</v>
      </c>
      <c r="C237" s="7" t="s">
        <v>51</v>
      </c>
      <c r="D237" s="7" t="s">
        <v>117</v>
      </c>
      <c r="E237" s="17" t="n">
        <v>44425</v>
      </c>
      <c r="F237" s="17" t="n">
        <v>44426</v>
      </c>
      <c r="G237" s="18" t="n">
        <v>26700</v>
      </c>
      <c r="H237" s="17" t="n">
        <v>44428</v>
      </c>
      <c r="I237" s="18" t="n">
        <v>25850</v>
      </c>
      <c r="J237" s="18" t="n">
        <v>22205</v>
      </c>
      <c r="K237" s="12" t="n">
        <f aca="false">I237/G237*(1-0.0025)/(1+0.001)-1</f>
        <v>-0.0352203975799479</v>
      </c>
      <c r="L237" s="4" t="n">
        <v>2</v>
      </c>
      <c r="M237" s="4" t="s">
        <v>76</v>
      </c>
    </row>
    <row r="238" customFormat="false" ht="17.15" hidden="false" customHeight="false" outlineLevel="0" collapsed="false">
      <c r="A238" s="7" t="s">
        <v>358</v>
      </c>
      <c r="B238" s="4" t="s">
        <v>359</v>
      </c>
      <c r="C238" s="7" t="s">
        <v>51</v>
      </c>
      <c r="D238" s="7" t="s">
        <v>117</v>
      </c>
      <c r="E238" s="17" t="n">
        <v>44427</v>
      </c>
      <c r="F238" s="17" t="n">
        <v>44428</v>
      </c>
      <c r="G238" s="18" t="n">
        <v>144000</v>
      </c>
      <c r="H238" s="17" t="n">
        <v>44431</v>
      </c>
      <c r="I238" s="18" t="n">
        <v>146000</v>
      </c>
      <c r="J238" s="18" t="n">
        <v>138000</v>
      </c>
      <c r="K238" s="12" t="n">
        <f aca="false">I238/G238*(1-0.0025)/(1+0.001)-1</f>
        <v>0.0103438228438231</v>
      </c>
      <c r="L238" s="4" t="n">
        <v>1</v>
      </c>
      <c r="M238" s="4" t="s">
        <v>76</v>
      </c>
    </row>
    <row r="239" customFormat="false" ht="17.15" hidden="false" customHeight="false" outlineLevel="0" collapsed="false">
      <c r="A239" s="7" t="s">
        <v>360</v>
      </c>
      <c r="B239" s="4" t="s">
        <v>361</v>
      </c>
      <c r="C239" s="7" t="s">
        <v>52</v>
      </c>
      <c r="D239" s="7" t="s">
        <v>79</v>
      </c>
      <c r="E239" s="17" t="n">
        <v>44427</v>
      </c>
      <c r="F239" s="17" t="n">
        <v>44428</v>
      </c>
      <c r="G239" s="18" t="n">
        <v>20000</v>
      </c>
      <c r="H239" s="17" t="n">
        <v>44431</v>
      </c>
      <c r="I239" s="18" t="n">
        <v>19600</v>
      </c>
      <c r="J239" s="18" t="n">
        <v>21589.9</v>
      </c>
      <c r="K239" s="12" t="n">
        <f aca="false">I239/G239*(1-0.0025)/(1+0.001)-1</f>
        <v>-0.0234265734265733</v>
      </c>
      <c r="L239" s="4" t="n">
        <v>1</v>
      </c>
      <c r="M239" s="4" t="s">
        <v>80</v>
      </c>
    </row>
    <row r="240" customFormat="false" ht="17.15" hidden="false" customHeight="false" outlineLevel="0" collapsed="false">
      <c r="A240" s="7" t="s">
        <v>99</v>
      </c>
      <c r="B240" s="4" t="s">
        <v>100</v>
      </c>
      <c r="C240" s="7" t="s">
        <v>49</v>
      </c>
      <c r="D240" s="7" t="s">
        <v>124</v>
      </c>
      <c r="E240" s="17" t="n">
        <v>44411</v>
      </c>
      <c r="F240" s="17" t="n">
        <v>44412</v>
      </c>
      <c r="G240" s="18" t="n">
        <v>29600</v>
      </c>
      <c r="H240" s="17" t="n">
        <v>44432</v>
      </c>
      <c r="I240" s="18" t="n">
        <v>23170</v>
      </c>
      <c r="J240" s="18" t="n">
        <v>23170</v>
      </c>
      <c r="K240" s="12" t="n">
        <f aca="false">I240/G240*(1-0.0025)/(1+0.001)-1</f>
        <v>-0.219966688716689</v>
      </c>
      <c r="L240" s="4" t="n">
        <v>13</v>
      </c>
      <c r="M240" s="4" t="s">
        <v>80</v>
      </c>
    </row>
    <row r="241" customFormat="false" ht="17.15" hidden="false" customHeight="false" outlineLevel="0" collapsed="false">
      <c r="A241" s="7" t="s">
        <v>183</v>
      </c>
      <c r="B241" s="4" t="s">
        <v>184</v>
      </c>
      <c r="C241" s="7" t="s">
        <v>52</v>
      </c>
      <c r="D241" s="7" t="s">
        <v>79</v>
      </c>
      <c r="E241" s="17" t="n">
        <v>44425</v>
      </c>
      <c r="F241" s="17" t="n">
        <v>44426</v>
      </c>
      <c r="G241" s="18" t="n">
        <v>38493</v>
      </c>
      <c r="H241" s="17" t="n">
        <v>44435</v>
      </c>
      <c r="I241" s="18" t="n">
        <v>34174.7</v>
      </c>
      <c r="J241" s="18" t="n">
        <v>34174.7</v>
      </c>
      <c r="K241" s="12" t="n">
        <f aca="false">I241/G241*(1-0.0025)/(1+0.001)-1</f>
        <v>-0.115288285091886</v>
      </c>
      <c r="L241" s="4" t="n">
        <v>7</v>
      </c>
      <c r="M241" s="4" t="s">
        <v>80</v>
      </c>
    </row>
    <row r="242" customFormat="false" ht="17.15" hidden="false" customHeight="false" outlineLevel="0" collapsed="false">
      <c r="A242" s="7" t="s">
        <v>202</v>
      </c>
      <c r="B242" s="4" t="s">
        <v>203</v>
      </c>
      <c r="C242" s="7" t="s">
        <v>57</v>
      </c>
      <c r="D242" s="4" t="s">
        <v>140</v>
      </c>
      <c r="E242" s="17" t="n">
        <v>44427</v>
      </c>
      <c r="F242" s="17" t="n">
        <v>44428</v>
      </c>
      <c r="G242" s="18" t="n">
        <v>24350</v>
      </c>
      <c r="H242" s="17" t="n">
        <v>44438</v>
      </c>
      <c r="I242" s="18" t="n">
        <v>23120</v>
      </c>
      <c r="J242" s="18" t="n">
        <v>23120</v>
      </c>
      <c r="K242" s="12" t="n">
        <f aca="false">I242/G242*(1-0.0025)/(1+0.001)-1</f>
        <v>-0.053833230424606</v>
      </c>
      <c r="L242" s="4" t="n">
        <v>6</v>
      </c>
      <c r="M242" s="4" t="s">
        <v>80</v>
      </c>
    </row>
    <row r="243" customFormat="false" ht="17.15" hidden="false" customHeight="false" outlineLevel="0" collapsed="false">
      <c r="A243" s="7" t="s">
        <v>340</v>
      </c>
      <c r="B243" s="4" t="s">
        <v>341</v>
      </c>
      <c r="C243" s="7" t="s">
        <v>49</v>
      </c>
      <c r="D243" s="7" t="s">
        <v>124</v>
      </c>
      <c r="E243" s="17" t="n">
        <v>44410</v>
      </c>
      <c r="F243" s="17" t="n">
        <v>44411</v>
      </c>
      <c r="G243" s="18" t="n">
        <v>62700</v>
      </c>
      <c r="H243" s="17" t="n">
        <v>44449</v>
      </c>
      <c r="I243" s="18" t="n">
        <v>62600</v>
      </c>
      <c r="J243" s="18" t="n">
        <v>54130</v>
      </c>
      <c r="K243" s="12" t="n">
        <f aca="false">I243/G243*(1-0.0025)/(1+0.001)-1</f>
        <v>-0.00508582326764129</v>
      </c>
      <c r="L243" s="4" t="n">
        <v>27</v>
      </c>
      <c r="M243" s="4" t="s">
        <v>76</v>
      </c>
    </row>
    <row r="244" customFormat="false" ht="17.15" hidden="false" customHeight="false" outlineLevel="0" collapsed="false">
      <c r="A244" s="7" t="s">
        <v>220</v>
      </c>
      <c r="B244" s="4" t="s">
        <v>221</v>
      </c>
      <c r="C244" s="7" t="s">
        <v>52</v>
      </c>
      <c r="D244" s="7" t="s">
        <v>79</v>
      </c>
      <c r="E244" s="17" t="n">
        <v>44419</v>
      </c>
      <c r="F244" s="17" t="n">
        <v>44420</v>
      </c>
      <c r="G244" s="18" t="n">
        <v>70500</v>
      </c>
      <c r="H244" s="17" t="n">
        <v>44467</v>
      </c>
      <c r="I244" s="18" t="n">
        <v>65100</v>
      </c>
      <c r="J244" s="18" t="n">
        <v>65150</v>
      </c>
      <c r="K244" s="12" t="n">
        <f aca="false">I244/G244*(1-0.0025)/(1+0.001)-1</f>
        <v>-0.0798244308882605</v>
      </c>
      <c r="L244" s="4" t="n">
        <v>29</v>
      </c>
      <c r="M244" s="4" t="s">
        <v>80</v>
      </c>
    </row>
    <row r="245" customFormat="false" ht="17.15" hidden="false" customHeight="false" outlineLevel="0" collapsed="false">
      <c r="A245" s="7" t="s">
        <v>115</v>
      </c>
      <c r="B245" s="4" t="s">
        <v>116</v>
      </c>
      <c r="C245" s="7" t="s">
        <v>53</v>
      </c>
      <c r="D245" s="7" t="s">
        <v>131</v>
      </c>
      <c r="E245" s="17" t="n">
        <v>44417</v>
      </c>
      <c r="F245" s="17" t="n">
        <v>44418</v>
      </c>
      <c r="G245" s="18" t="n">
        <v>18221</v>
      </c>
      <c r="H245" s="17" t="n">
        <v>44498</v>
      </c>
      <c r="I245" s="18" t="n">
        <v>17603</v>
      </c>
      <c r="J245" s="18" t="n">
        <v>15544.5</v>
      </c>
      <c r="K245" s="12" t="n">
        <f aca="false">I245/G245*(1-0.0025)/(1+0.001)-1</f>
        <v>-0.0372948219663546</v>
      </c>
      <c r="L245" s="4" t="n">
        <v>52</v>
      </c>
      <c r="M245" s="4" t="s">
        <v>76</v>
      </c>
    </row>
    <row r="246" customFormat="false" ht="17.15" hidden="false" customHeight="false" outlineLevel="0" collapsed="false">
      <c r="A246" s="7" t="s">
        <v>322</v>
      </c>
      <c r="B246" s="7" t="s">
        <v>323</v>
      </c>
      <c r="C246" s="7" t="s">
        <v>52</v>
      </c>
      <c r="D246" s="7" t="s">
        <v>79</v>
      </c>
      <c r="E246" s="17" t="n">
        <v>44384</v>
      </c>
      <c r="F246" s="17" t="n">
        <v>44385</v>
      </c>
      <c r="G246" s="18" t="n">
        <v>491500</v>
      </c>
      <c r="H246" s="17" t="n">
        <v>44508</v>
      </c>
      <c r="I246" s="18" t="n">
        <v>647000</v>
      </c>
      <c r="J246" s="18" t="n">
        <v>446150</v>
      </c>
      <c r="K246" s="12" t="n">
        <f aca="false">I246/G246*(1-0.0025)/(1+0.001)-1</f>
        <v>0.311775711572253</v>
      </c>
      <c r="L246" s="4" t="n">
        <v>81</v>
      </c>
      <c r="M246" s="4" t="s">
        <v>76</v>
      </c>
    </row>
    <row r="247" customFormat="false" ht="17.15" hidden="false" customHeight="false" outlineLevel="0" collapsed="false">
      <c r="A247" s="7" t="s">
        <v>81</v>
      </c>
      <c r="B247" s="4" t="s">
        <v>82</v>
      </c>
      <c r="C247" s="7" t="s">
        <v>49</v>
      </c>
      <c r="D247" s="7" t="s">
        <v>124</v>
      </c>
      <c r="E247" s="17" t="n">
        <v>44326</v>
      </c>
      <c r="F247" s="17" t="n">
        <v>44327</v>
      </c>
      <c r="G247" s="18" t="n">
        <v>83194</v>
      </c>
      <c r="H247" s="17" t="n">
        <v>44545</v>
      </c>
      <c r="I247" s="18" t="n">
        <v>197700</v>
      </c>
      <c r="J247" s="18" t="n">
        <v>76375.3</v>
      </c>
      <c r="K247" s="12" t="n">
        <f aca="false">I247/G247*(1-0.0025)/(1+0.001)-1</f>
        <v>1.36806429861218</v>
      </c>
      <c r="L247" s="4" t="n">
        <v>149</v>
      </c>
      <c r="M247" s="4" t="s">
        <v>76</v>
      </c>
    </row>
    <row r="248" customFormat="false" ht="17.15" hidden="false" customHeight="false" outlineLevel="0" collapsed="false">
      <c r="A248" s="7" t="s">
        <v>288</v>
      </c>
      <c r="B248" s="7" t="s">
        <v>289</v>
      </c>
      <c r="C248" s="7" t="s">
        <v>56</v>
      </c>
      <c r="D248" s="4" t="s">
        <v>114</v>
      </c>
      <c r="E248" s="17" t="n">
        <v>44921</v>
      </c>
      <c r="F248" s="17" t="n">
        <v>44922</v>
      </c>
      <c r="G248" s="18" t="n">
        <v>628000</v>
      </c>
      <c r="H248" s="17" t="n">
        <v>44923</v>
      </c>
      <c r="I248" s="18" t="n">
        <v>614000</v>
      </c>
      <c r="J248" s="18" t="n">
        <v>576300</v>
      </c>
      <c r="K248" s="12" t="n">
        <f aca="false">I248/G248*(1-0.0025)/(1+0.001)-1</f>
        <v>-0.0257115495968998</v>
      </c>
      <c r="L248" s="4" t="n">
        <v>1</v>
      </c>
      <c r="M248" s="4" t="s">
        <v>76</v>
      </c>
    </row>
    <row r="249" customFormat="false" ht="17.15" hidden="false" customHeight="false" outlineLevel="0" collapsed="false">
      <c r="A249" s="7" t="s">
        <v>362</v>
      </c>
      <c r="B249" s="4" t="s">
        <v>363</v>
      </c>
      <c r="C249" s="7" t="s">
        <v>55</v>
      </c>
      <c r="D249" s="7" t="s">
        <v>96</v>
      </c>
      <c r="E249" s="17" t="n">
        <v>44921</v>
      </c>
      <c r="F249" s="17" t="n">
        <v>44922</v>
      </c>
      <c r="G249" s="18" t="n">
        <v>38450</v>
      </c>
      <c r="H249" s="17" t="n">
        <v>44923</v>
      </c>
      <c r="I249" s="18" t="n">
        <v>37400</v>
      </c>
      <c r="J249" s="18" t="n">
        <v>37825</v>
      </c>
      <c r="K249" s="12" t="n">
        <f aca="false">I249/G249*(1-0.0025)/(1+0.001)-1</f>
        <v>-0.030709212763829</v>
      </c>
      <c r="L249" s="4" t="n">
        <v>1</v>
      </c>
      <c r="M249" s="4" t="s">
        <v>80</v>
      </c>
    </row>
    <row r="250" customFormat="false" ht="17.15" hidden="false" customHeight="false" outlineLevel="0" collapsed="false">
      <c r="A250" s="7" t="s">
        <v>110</v>
      </c>
      <c r="B250" s="4" t="s">
        <v>111</v>
      </c>
      <c r="C250" s="7" t="s">
        <v>56</v>
      </c>
      <c r="D250" s="4" t="s">
        <v>93</v>
      </c>
      <c r="E250" s="17" t="n">
        <v>44922</v>
      </c>
      <c r="F250" s="17" t="n">
        <v>44923</v>
      </c>
      <c r="G250" s="18" t="n">
        <v>173507</v>
      </c>
      <c r="H250" s="17" t="n">
        <v>44924</v>
      </c>
      <c r="I250" s="18" t="n">
        <v>174476</v>
      </c>
      <c r="J250" s="18" t="n">
        <v>167739.7</v>
      </c>
      <c r="K250" s="12" t="n">
        <f aca="false">I250/G250*(1-0.0025)/(1+0.001)-1</f>
        <v>0.00206875835524833</v>
      </c>
      <c r="L250" s="4" t="n">
        <v>1</v>
      </c>
      <c r="M250" s="4" t="s">
        <v>76</v>
      </c>
    </row>
    <row r="251" customFormat="false" ht="17.15" hidden="false" customHeight="false" outlineLevel="0" collapsed="false">
      <c r="A251" s="7" t="s">
        <v>364</v>
      </c>
      <c r="B251" s="4" t="s">
        <v>365</v>
      </c>
      <c r="C251" s="7" t="s">
        <v>49</v>
      </c>
      <c r="D251" s="7" t="s">
        <v>124</v>
      </c>
      <c r="E251" s="17" t="n">
        <v>44921</v>
      </c>
      <c r="F251" s="17" t="n">
        <v>44922</v>
      </c>
      <c r="G251" s="18" t="n">
        <v>119500</v>
      </c>
      <c r="H251" s="17" t="n">
        <v>44924</v>
      </c>
      <c r="I251" s="18" t="n">
        <v>115350</v>
      </c>
      <c r="J251" s="18" t="n">
        <v>115350</v>
      </c>
      <c r="K251" s="12" t="n">
        <f aca="false">I251/G251*(1-0.0025)/(1+0.001)-1</f>
        <v>-0.0381031102788424</v>
      </c>
      <c r="L251" s="4" t="n">
        <v>2</v>
      </c>
      <c r="M251" s="4" t="s">
        <v>80</v>
      </c>
    </row>
    <row r="252" customFormat="false" ht="17.15" hidden="false" customHeight="false" outlineLevel="0" collapsed="false">
      <c r="A252" s="7" t="s">
        <v>366</v>
      </c>
      <c r="B252" s="4" t="s">
        <v>367</v>
      </c>
      <c r="C252" s="7" t="s">
        <v>49</v>
      </c>
      <c r="D252" s="7" t="s">
        <v>124</v>
      </c>
      <c r="E252" s="17" t="n">
        <v>44921</v>
      </c>
      <c r="F252" s="17" t="n">
        <v>44922</v>
      </c>
      <c r="G252" s="18" t="n">
        <v>33338</v>
      </c>
      <c r="H252" s="17" t="n">
        <v>44928</v>
      </c>
      <c r="I252" s="18" t="n">
        <v>30666.8</v>
      </c>
      <c r="J252" s="18" t="n">
        <v>30666.8</v>
      </c>
      <c r="K252" s="12" t="n">
        <f aca="false">I252/G252*(1-0.0025)/(1+0.001)-1</f>
        <v>-0.0833411294446749</v>
      </c>
      <c r="L252" s="4" t="n">
        <v>3</v>
      </c>
      <c r="M252" s="4" t="s">
        <v>80</v>
      </c>
    </row>
    <row r="253" customFormat="false" ht="17.15" hidden="false" customHeight="false" outlineLevel="0" collapsed="false">
      <c r="A253" s="7" t="s">
        <v>368</v>
      </c>
      <c r="B253" s="4" t="s">
        <v>369</v>
      </c>
      <c r="C253" s="7" t="s">
        <v>50</v>
      </c>
      <c r="D253" s="7" t="s">
        <v>105</v>
      </c>
      <c r="E253" s="17" t="n">
        <v>44921</v>
      </c>
      <c r="F253" s="17" t="n">
        <v>44922</v>
      </c>
      <c r="G253" s="18" t="n">
        <v>48950</v>
      </c>
      <c r="H253" s="17" t="n">
        <v>44928</v>
      </c>
      <c r="I253" s="18" t="n">
        <v>45745</v>
      </c>
      <c r="J253" s="18" t="n">
        <v>45745</v>
      </c>
      <c r="K253" s="12" t="n">
        <f aca="false">I253/G253*(1-0.0025)/(1+0.001)-1</f>
        <v>-0.0687425444830959</v>
      </c>
      <c r="L253" s="4" t="n">
        <v>3</v>
      </c>
      <c r="M253" s="4" t="s">
        <v>80</v>
      </c>
    </row>
    <row r="254" customFormat="false" ht="17.15" hidden="false" customHeight="false" outlineLevel="0" collapsed="false">
      <c r="A254" s="7" t="s">
        <v>370</v>
      </c>
      <c r="B254" s="4" t="s">
        <v>371</v>
      </c>
      <c r="C254" s="7" t="s">
        <v>55</v>
      </c>
      <c r="D254" s="7" t="s">
        <v>96</v>
      </c>
      <c r="E254" s="17" t="n">
        <v>44922</v>
      </c>
      <c r="F254" s="17" t="n">
        <v>44923</v>
      </c>
      <c r="G254" s="18" t="n">
        <v>172500</v>
      </c>
      <c r="H254" s="17" t="n">
        <v>44928</v>
      </c>
      <c r="I254" s="18" t="n">
        <v>162500</v>
      </c>
      <c r="J254" s="18" t="n">
        <v>162500</v>
      </c>
      <c r="K254" s="12" t="n">
        <f aca="false">I254/G254*(1-0.0025)/(1+0.001)-1</f>
        <v>-0.0612648221343872</v>
      </c>
      <c r="L254" s="4" t="n">
        <v>2</v>
      </c>
      <c r="M254" s="4" t="s">
        <v>80</v>
      </c>
    </row>
    <row r="255" customFormat="false" ht="17.15" hidden="false" customHeight="false" outlineLevel="0" collapsed="false">
      <c r="A255" s="7" t="s">
        <v>372</v>
      </c>
      <c r="B255" s="4" t="s">
        <v>373</v>
      </c>
      <c r="C255" s="7" t="s">
        <v>49</v>
      </c>
      <c r="D255" s="7" t="s">
        <v>124</v>
      </c>
      <c r="E255" s="17" t="n">
        <v>44921</v>
      </c>
      <c r="F255" s="17" t="n">
        <v>44922</v>
      </c>
      <c r="G255" s="18" t="n">
        <v>11850</v>
      </c>
      <c r="H255" s="17" t="n">
        <v>44929</v>
      </c>
      <c r="I255" s="18" t="n">
        <v>10600</v>
      </c>
      <c r="J255" s="18" t="n">
        <v>10275</v>
      </c>
      <c r="K255" s="12" t="n">
        <f aca="false">I255/G255*(1-0.0025)/(1+0.001)-1</f>
        <v>-0.10861290608126</v>
      </c>
      <c r="L255" s="4" t="n">
        <v>4</v>
      </c>
      <c r="M255" s="4" t="s">
        <v>76</v>
      </c>
    </row>
    <row r="256" customFormat="false" ht="17.15" hidden="false" customHeight="false" outlineLevel="0" collapsed="false">
      <c r="A256" s="7" t="s">
        <v>374</v>
      </c>
      <c r="B256" s="4" t="s">
        <v>375</v>
      </c>
      <c r="C256" s="7" t="s">
        <v>55</v>
      </c>
      <c r="D256" s="7" t="s">
        <v>96</v>
      </c>
      <c r="E256" s="17" t="n">
        <v>44922</v>
      </c>
      <c r="F256" s="17" t="n">
        <v>44923</v>
      </c>
      <c r="G256" s="18" t="n">
        <v>74259</v>
      </c>
      <c r="H256" s="17" t="n">
        <v>44929</v>
      </c>
      <c r="I256" s="18" t="n">
        <v>71580.7</v>
      </c>
      <c r="J256" s="18" t="n">
        <v>71580.7</v>
      </c>
      <c r="K256" s="12" t="n">
        <f aca="false">I256/G256*(1-0.0025)/(1+0.001)-1</f>
        <v>-0.0394374037871794</v>
      </c>
      <c r="L256" s="4" t="n">
        <v>3</v>
      </c>
      <c r="M256" s="4" t="s">
        <v>80</v>
      </c>
    </row>
    <row r="257" customFormat="false" ht="17.15" hidden="false" customHeight="false" outlineLevel="0" collapsed="false">
      <c r="A257" s="7" t="s">
        <v>376</v>
      </c>
      <c r="B257" s="4" t="s">
        <v>377</v>
      </c>
      <c r="C257" s="7" t="s">
        <v>55</v>
      </c>
      <c r="D257" s="7" t="s">
        <v>96</v>
      </c>
      <c r="E257" s="17" t="n">
        <v>44922</v>
      </c>
      <c r="F257" s="17" t="n">
        <v>44923</v>
      </c>
      <c r="G257" s="18" t="n">
        <v>34100</v>
      </c>
      <c r="H257" s="17" t="n">
        <v>44929</v>
      </c>
      <c r="I257" s="18" t="n">
        <v>31890</v>
      </c>
      <c r="J257" s="18" t="n">
        <v>31890</v>
      </c>
      <c r="K257" s="12" t="n">
        <f aca="false">I257/G257*(1-0.0025)/(1+0.001)-1</f>
        <v>-0.0680792814223898</v>
      </c>
      <c r="L257" s="4" t="n">
        <v>3</v>
      </c>
      <c r="M257" s="4" t="s">
        <v>80</v>
      </c>
    </row>
    <row r="258" customFormat="false" ht="17.15" hidden="false" customHeight="false" outlineLevel="0" collapsed="false">
      <c r="A258" s="7" t="s">
        <v>110</v>
      </c>
      <c r="B258" s="4" t="s">
        <v>111</v>
      </c>
      <c r="C258" s="7" t="s">
        <v>56</v>
      </c>
      <c r="D258" s="4" t="s">
        <v>93</v>
      </c>
      <c r="E258" s="17" t="n">
        <v>44928</v>
      </c>
      <c r="F258" s="17" t="n">
        <v>44929</v>
      </c>
      <c r="G258" s="18" t="n">
        <v>181746</v>
      </c>
      <c r="H258" s="17" t="n">
        <v>44930</v>
      </c>
      <c r="I258" s="18" t="n">
        <v>177868</v>
      </c>
      <c r="J258" s="18" t="n">
        <v>169290.5</v>
      </c>
      <c r="K258" s="12" t="n">
        <f aca="false">I258/G258*(1-0.0025)/(1+0.001)-1</f>
        <v>-0.0247593679306068</v>
      </c>
      <c r="L258" s="4" t="n">
        <v>1</v>
      </c>
      <c r="M258" s="4" t="s">
        <v>76</v>
      </c>
    </row>
    <row r="259" customFormat="false" ht="17.15" hidden="false" customHeight="false" outlineLevel="0" collapsed="false">
      <c r="A259" s="7" t="s">
        <v>141</v>
      </c>
      <c r="B259" s="4" t="s">
        <v>142</v>
      </c>
      <c r="C259" s="7" t="s">
        <v>56</v>
      </c>
      <c r="D259" s="4" t="s">
        <v>114</v>
      </c>
      <c r="E259" s="17" t="n">
        <v>44928</v>
      </c>
      <c r="F259" s="17" t="n">
        <v>44929</v>
      </c>
      <c r="G259" s="18" t="n">
        <v>592315</v>
      </c>
      <c r="H259" s="17" t="n">
        <v>44930</v>
      </c>
      <c r="I259" s="18" t="n">
        <v>583503</v>
      </c>
      <c r="J259" s="18" t="n">
        <v>546690.6</v>
      </c>
      <c r="K259" s="12" t="n">
        <f aca="false">I259/G259*(1-0.0025)/(1+0.001)-1</f>
        <v>-0.0183217042953836</v>
      </c>
      <c r="L259" s="4" t="n">
        <v>1</v>
      </c>
      <c r="M259" s="4" t="s">
        <v>76</v>
      </c>
    </row>
    <row r="260" customFormat="false" ht="17.15" hidden="false" customHeight="false" outlineLevel="0" collapsed="false">
      <c r="A260" s="7" t="s">
        <v>378</v>
      </c>
      <c r="B260" s="4" t="s">
        <v>379</v>
      </c>
      <c r="C260" s="7" t="s">
        <v>50</v>
      </c>
      <c r="D260" s="7" t="s">
        <v>105</v>
      </c>
      <c r="E260" s="17" t="n">
        <v>44928</v>
      </c>
      <c r="F260" s="17" t="n">
        <v>44929</v>
      </c>
      <c r="G260" s="18" t="n">
        <v>27000</v>
      </c>
      <c r="H260" s="17" t="n">
        <v>44931</v>
      </c>
      <c r="I260" s="18" t="n">
        <v>26600</v>
      </c>
      <c r="J260" s="18" t="n">
        <v>25770</v>
      </c>
      <c r="K260" s="12" t="n">
        <f aca="false">I260/G260*(1-0.0025)/(1+0.001)-1</f>
        <v>-0.0182595182595181</v>
      </c>
      <c r="L260" s="4" t="n">
        <v>2</v>
      </c>
      <c r="M260" s="4" t="s">
        <v>76</v>
      </c>
    </row>
    <row r="261" customFormat="false" ht="17.15" hidden="false" customHeight="false" outlineLevel="0" collapsed="false">
      <c r="A261" s="7" t="s">
        <v>220</v>
      </c>
      <c r="B261" s="4" t="s">
        <v>221</v>
      </c>
      <c r="C261" s="7" t="s">
        <v>48</v>
      </c>
      <c r="D261" s="7" t="s">
        <v>75</v>
      </c>
      <c r="E261" s="17" t="n">
        <v>44921</v>
      </c>
      <c r="F261" s="17" t="n">
        <v>44922</v>
      </c>
      <c r="G261" s="18" t="n">
        <v>41150</v>
      </c>
      <c r="H261" s="17" t="n">
        <v>44931</v>
      </c>
      <c r="I261" s="18" t="n">
        <v>37755</v>
      </c>
      <c r="J261" s="18" t="n">
        <v>37755</v>
      </c>
      <c r="K261" s="12" t="n">
        <f aca="false">I261/G261*(1-0.0025)/(1+0.001)-1</f>
        <v>-0.0857110690038999</v>
      </c>
      <c r="L261" s="4" t="n">
        <v>6</v>
      </c>
      <c r="M261" s="4" t="s">
        <v>80</v>
      </c>
    </row>
    <row r="262" customFormat="false" ht="17.15" hidden="false" customHeight="false" outlineLevel="0" collapsed="false">
      <c r="A262" s="7" t="s">
        <v>314</v>
      </c>
      <c r="B262" s="4" t="s">
        <v>315</v>
      </c>
      <c r="C262" s="7" t="s">
        <v>55</v>
      </c>
      <c r="D262" s="7" t="s">
        <v>96</v>
      </c>
      <c r="E262" s="17" t="n">
        <v>44931</v>
      </c>
      <c r="F262" s="17" t="n">
        <v>44932</v>
      </c>
      <c r="G262" s="18" t="n">
        <v>2845</v>
      </c>
      <c r="H262" s="17" t="n">
        <v>44959</v>
      </c>
      <c r="I262" s="18" t="n">
        <v>2682</v>
      </c>
      <c r="J262" s="18" t="n">
        <v>2682</v>
      </c>
      <c r="K262" s="12" t="n">
        <f aca="false">I262/G262*(1-0.0025)/(1+0.001)-1</f>
        <v>-0.0605896739464401</v>
      </c>
      <c r="L262" s="4" t="n">
        <v>17</v>
      </c>
      <c r="M262" s="4" t="s">
        <v>80</v>
      </c>
    </row>
    <row r="263" customFormat="false" ht="17.15" hidden="false" customHeight="false" outlineLevel="0" collapsed="false">
      <c r="A263" s="7" t="s">
        <v>370</v>
      </c>
      <c r="B263" s="4" t="s">
        <v>371</v>
      </c>
      <c r="C263" s="7" t="s">
        <v>48</v>
      </c>
      <c r="D263" s="7" t="s">
        <v>75</v>
      </c>
      <c r="E263" s="17" t="n">
        <v>44929</v>
      </c>
      <c r="F263" s="17" t="n">
        <v>44930</v>
      </c>
      <c r="G263" s="18" t="n">
        <v>165000</v>
      </c>
      <c r="H263" s="17" t="n">
        <v>44963</v>
      </c>
      <c r="I263" s="18" t="n">
        <v>162200</v>
      </c>
      <c r="J263" s="18" t="n">
        <v>157550</v>
      </c>
      <c r="K263" s="12" t="n">
        <f aca="false">I263/G263*(1-0.0025)/(1+0.001)-1</f>
        <v>-0.0204068658614112</v>
      </c>
      <c r="L263" s="4" t="n">
        <v>21</v>
      </c>
      <c r="M263" s="4" t="s">
        <v>76</v>
      </c>
    </row>
    <row r="264" customFormat="false" ht="17.15" hidden="false" customHeight="false" outlineLevel="0" collapsed="false">
      <c r="A264" s="7" t="s">
        <v>191</v>
      </c>
      <c r="B264" s="7" t="s">
        <v>192</v>
      </c>
      <c r="C264" s="7" t="s">
        <v>49</v>
      </c>
      <c r="D264" s="7" t="s">
        <v>124</v>
      </c>
      <c r="E264" s="17" t="n">
        <v>44929</v>
      </c>
      <c r="F264" s="17" t="n">
        <v>44930</v>
      </c>
      <c r="G264" s="18" t="n">
        <v>448500</v>
      </c>
      <c r="H264" s="17" t="n">
        <v>44967</v>
      </c>
      <c r="I264" s="18" t="n">
        <v>445000</v>
      </c>
      <c r="J264" s="18" t="n">
        <v>420750</v>
      </c>
      <c r="K264" s="12" t="n">
        <f aca="false">I264/G264*(1-0.0025)/(1+0.001)-1</f>
        <v>-0.0112730079285261</v>
      </c>
      <c r="L264" s="4" t="n">
        <v>25</v>
      </c>
      <c r="M264" s="4" t="s">
        <v>76</v>
      </c>
    </row>
    <row r="265" customFormat="false" ht="17.15" hidden="false" customHeight="false" outlineLevel="0" collapsed="false">
      <c r="A265" s="7" t="s">
        <v>332</v>
      </c>
      <c r="B265" s="7" t="s">
        <v>333</v>
      </c>
      <c r="C265" s="7" t="s">
        <v>56</v>
      </c>
      <c r="D265" s="4" t="s">
        <v>114</v>
      </c>
      <c r="E265" s="17" t="n">
        <v>44930</v>
      </c>
      <c r="F265" s="17" t="n">
        <v>44931</v>
      </c>
      <c r="G265" s="18" t="n">
        <v>6680</v>
      </c>
      <c r="H265" s="17" t="n">
        <v>44978</v>
      </c>
      <c r="I265" s="18" t="n">
        <v>6230</v>
      </c>
      <c r="J265" s="18" t="n">
        <v>5943.5</v>
      </c>
      <c r="K265" s="12" t="n">
        <f aca="false">I265/G265*(1-0.0025)/(1+0.001)-1</f>
        <v>-0.0706262300573676</v>
      </c>
      <c r="L265" s="4" t="n">
        <v>31</v>
      </c>
      <c r="M265" s="4" t="s">
        <v>76</v>
      </c>
    </row>
    <row r="266" customFormat="false" ht="17.15" hidden="false" customHeight="false" outlineLevel="0" collapsed="false">
      <c r="A266" s="7" t="s">
        <v>226</v>
      </c>
      <c r="B266" s="4" t="s">
        <v>227</v>
      </c>
      <c r="C266" s="7" t="s">
        <v>50</v>
      </c>
      <c r="D266" s="7" t="s">
        <v>105</v>
      </c>
      <c r="E266" s="17" t="n">
        <v>44929</v>
      </c>
      <c r="F266" s="17" t="n">
        <v>44930</v>
      </c>
      <c r="G266" s="18" t="n">
        <v>17600</v>
      </c>
      <c r="H266" s="17" t="n">
        <v>44979</v>
      </c>
      <c r="I266" s="18" t="n">
        <v>16840</v>
      </c>
      <c r="J266" s="18" t="n">
        <v>16340</v>
      </c>
      <c r="K266" s="12" t="n">
        <f aca="false">I266/G266*(1-0.0025)/(1+0.001)-1</f>
        <v>-0.0465273363000635</v>
      </c>
      <c r="L266" s="4" t="n">
        <v>33</v>
      </c>
      <c r="M266" s="4" t="s">
        <v>76</v>
      </c>
    </row>
    <row r="267" customFormat="false" ht="17.15" hidden="false" customHeight="false" outlineLevel="0" collapsed="false">
      <c r="A267" s="7" t="s">
        <v>372</v>
      </c>
      <c r="B267" s="4" t="s">
        <v>373</v>
      </c>
      <c r="C267" s="7" t="s">
        <v>56</v>
      </c>
      <c r="D267" s="4" t="s">
        <v>90</v>
      </c>
      <c r="E267" s="17" t="n">
        <v>44977</v>
      </c>
      <c r="F267" s="17" t="n">
        <v>44978</v>
      </c>
      <c r="G267" s="18" t="n">
        <v>10760</v>
      </c>
      <c r="H267" s="17" t="n">
        <v>44979</v>
      </c>
      <c r="I267" s="18" t="n">
        <v>10610</v>
      </c>
      <c r="J267" s="18" t="n">
        <v>9715</v>
      </c>
      <c r="K267" s="12" t="n">
        <f aca="false">I267/G267*(1-0.0025)/(1+0.001)-1</f>
        <v>-0.0173882808641171</v>
      </c>
      <c r="L267" s="4" t="n">
        <v>1</v>
      </c>
      <c r="M267" s="4" t="s">
        <v>76</v>
      </c>
    </row>
    <row r="268" customFormat="false" ht="17.15" hidden="false" customHeight="false" outlineLevel="0" collapsed="false">
      <c r="A268" s="7" t="s">
        <v>380</v>
      </c>
      <c r="B268" s="4" t="s">
        <v>381</v>
      </c>
      <c r="C268" s="7" t="s">
        <v>49</v>
      </c>
      <c r="D268" s="7" t="s">
        <v>124</v>
      </c>
      <c r="E268" s="17" t="n">
        <v>44978</v>
      </c>
      <c r="F268" s="17" t="n">
        <v>44979</v>
      </c>
      <c r="G268" s="18" t="n">
        <v>41150</v>
      </c>
      <c r="H268" s="17" t="n">
        <v>44980</v>
      </c>
      <c r="I268" s="18" t="n">
        <v>41050</v>
      </c>
      <c r="J268" s="18" t="n">
        <v>40110</v>
      </c>
      <c r="K268" s="12" t="n">
        <f aca="false">I268/G268*(1-0.0025)/(1+0.001)-1</f>
        <v>-0.0059181401830245</v>
      </c>
      <c r="L268" s="4" t="n">
        <v>1</v>
      </c>
      <c r="M268" s="4" t="s">
        <v>76</v>
      </c>
    </row>
    <row r="269" customFormat="false" ht="17.15" hidden="false" customHeight="false" outlineLevel="0" collapsed="false">
      <c r="A269" s="7" t="s">
        <v>370</v>
      </c>
      <c r="B269" s="4" t="s">
        <v>371</v>
      </c>
      <c r="C269" s="7" t="s">
        <v>52</v>
      </c>
      <c r="D269" s="7" t="s">
        <v>382</v>
      </c>
      <c r="E269" s="17" t="n">
        <v>44979</v>
      </c>
      <c r="F269" s="17" t="n">
        <v>44980</v>
      </c>
      <c r="G269" s="18" t="n">
        <v>189900</v>
      </c>
      <c r="H269" s="17" t="n">
        <v>44984</v>
      </c>
      <c r="I269" s="18" t="n">
        <v>177830</v>
      </c>
      <c r="J269" s="18" t="n">
        <v>177830</v>
      </c>
      <c r="K269" s="12" t="n">
        <f aca="false">I269/G269*(1-0.0025)/(1+0.001)-1</f>
        <v>-0.0668340348435134</v>
      </c>
      <c r="L269" s="4" t="n">
        <v>2</v>
      </c>
      <c r="M269" s="4" t="s">
        <v>80</v>
      </c>
    </row>
    <row r="270" customFormat="false" ht="17.15" hidden="false" customHeight="false" outlineLevel="0" collapsed="false">
      <c r="A270" s="7" t="s">
        <v>324</v>
      </c>
      <c r="B270" s="4" t="s">
        <v>325</v>
      </c>
      <c r="C270" s="7" t="s">
        <v>49</v>
      </c>
      <c r="D270" s="7" t="s">
        <v>124</v>
      </c>
      <c r="E270" s="17" t="n">
        <v>44960</v>
      </c>
      <c r="F270" s="17" t="n">
        <v>44963</v>
      </c>
      <c r="G270" s="18" t="n">
        <v>57000</v>
      </c>
      <c r="H270" s="17" t="n">
        <v>44987</v>
      </c>
      <c r="I270" s="18" t="n">
        <v>53430</v>
      </c>
      <c r="J270" s="18" t="n">
        <v>53430</v>
      </c>
      <c r="K270" s="12" t="n">
        <f aca="false">I270/G270*(1-0.0025)/(1+0.001)-1</f>
        <v>-0.0659090909090907</v>
      </c>
      <c r="L270" s="4" t="n">
        <v>17</v>
      </c>
      <c r="M270" s="4" t="s">
        <v>80</v>
      </c>
    </row>
    <row r="271" customFormat="false" ht="17.15" hidden="false" customHeight="false" outlineLevel="0" collapsed="false">
      <c r="A271" s="7" t="s">
        <v>383</v>
      </c>
      <c r="B271" s="4" t="s">
        <v>384</v>
      </c>
      <c r="C271" s="7" t="s">
        <v>52</v>
      </c>
      <c r="D271" s="7" t="s">
        <v>79</v>
      </c>
      <c r="E271" s="17" t="n">
        <v>44987</v>
      </c>
      <c r="F271" s="17" t="n">
        <v>44988</v>
      </c>
      <c r="G271" s="18" t="n">
        <v>226500</v>
      </c>
      <c r="H271" s="17" t="n">
        <v>44992</v>
      </c>
      <c r="I271" s="18" t="n">
        <v>217280</v>
      </c>
      <c r="J271" s="18" t="n">
        <v>217280</v>
      </c>
      <c r="K271" s="12" t="n">
        <f aca="false">I271/G271*(1-0.0025)/(1+0.001)-1</f>
        <v>-0.0440605751864028</v>
      </c>
      <c r="L271" s="4" t="n">
        <v>2</v>
      </c>
      <c r="M271" s="4" t="s">
        <v>80</v>
      </c>
    </row>
    <row r="272" customFormat="false" ht="17.15" hidden="false" customHeight="false" outlineLevel="0" collapsed="false">
      <c r="A272" s="7" t="s">
        <v>385</v>
      </c>
      <c r="B272" s="7" t="s">
        <v>386</v>
      </c>
      <c r="C272" s="7" t="s">
        <v>48</v>
      </c>
      <c r="D272" s="7" t="s">
        <v>75</v>
      </c>
      <c r="E272" s="17" t="n">
        <v>44924</v>
      </c>
      <c r="F272" s="17" t="n">
        <v>44928</v>
      </c>
      <c r="G272" s="18" t="n">
        <v>18750</v>
      </c>
      <c r="H272" s="17" t="n">
        <v>44993</v>
      </c>
      <c r="I272" s="18" t="n">
        <v>19340</v>
      </c>
      <c r="J272" s="18" t="n">
        <v>17625</v>
      </c>
      <c r="K272" s="12" t="n">
        <f aca="false">I272/G272*(1-0.0025)/(1+0.001)-1</f>
        <v>0.0278601398601401</v>
      </c>
      <c r="L272" s="4" t="n">
        <v>44</v>
      </c>
      <c r="M272" s="4" t="s">
        <v>76</v>
      </c>
    </row>
    <row r="273" customFormat="false" ht="17.15" hidden="false" customHeight="false" outlineLevel="0" collapsed="false">
      <c r="A273" s="7" t="s">
        <v>346</v>
      </c>
      <c r="B273" s="4" t="s">
        <v>347</v>
      </c>
      <c r="C273" s="7" t="s">
        <v>57</v>
      </c>
      <c r="D273" s="4" t="s">
        <v>140</v>
      </c>
      <c r="E273" s="17" t="n">
        <v>44978</v>
      </c>
      <c r="F273" s="17" t="n">
        <v>44979</v>
      </c>
      <c r="G273" s="18" t="n">
        <v>467000</v>
      </c>
      <c r="H273" s="17" t="n">
        <v>44993</v>
      </c>
      <c r="I273" s="18" t="n">
        <v>434900</v>
      </c>
      <c r="J273" s="18" t="n">
        <v>434900</v>
      </c>
      <c r="K273" s="12" t="n">
        <f aca="false">I273/G273*(1-0.0025)/(1+0.001)-1</f>
        <v>-0.0719927823782212</v>
      </c>
      <c r="L273" s="4" t="n">
        <v>9</v>
      </c>
      <c r="M273" s="4" t="s">
        <v>80</v>
      </c>
    </row>
    <row r="274" customFormat="false" ht="17.15" hidden="false" customHeight="false" outlineLevel="0" collapsed="false">
      <c r="A274" s="7" t="s">
        <v>328</v>
      </c>
      <c r="B274" s="4" t="s">
        <v>329</v>
      </c>
      <c r="C274" s="7" t="s">
        <v>52</v>
      </c>
      <c r="D274" s="7" t="s">
        <v>79</v>
      </c>
      <c r="E274" s="17" t="n">
        <v>44992</v>
      </c>
      <c r="F274" s="17" t="n">
        <v>44993</v>
      </c>
      <c r="G274" s="18" t="n">
        <v>12450</v>
      </c>
      <c r="H274" s="17" t="n">
        <v>44994</v>
      </c>
      <c r="I274" s="18" t="n">
        <v>11296</v>
      </c>
      <c r="J274" s="18" t="n">
        <v>11296</v>
      </c>
      <c r="K274" s="12" t="n">
        <f aca="false">I274/G274*(1-0.0025)/(1+0.001)-1</f>
        <v>-0.0958631729716065</v>
      </c>
      <c r="L274" s="4" t="n">
        <v>1</v>
      </c>
      <c r="M274" s="4" t="s">
        <v>80</v>
      </c>
    </row>
    <row r="275" customFormat="false" ht="17.15" hidden="false" customHeight="false" outlineLevel="0" collapsed="false">
      <c r="A275" s="7" t="s">
        <v>129</v>
      </c>
      <c r="B275" s="4" t="s">
        <v>130</v>
      </c>
      <c r="C275" s="7" t="s">
        <v>52</v>
      </c>
      <c r="D275" s="7" t="s">
        <v>79</v>
      </c>
      <c r="E275" s="17" t="n">
        <v>44993</v>
      </c>
      <c r="F275" s="17" t="n">
        <v>44994</v>
      </c>
      <c r="G275" s="18" t="n">
        <v>44081</v>
      </c>
      <c r="H275" s="17" t="n">
        <v>44995</v>
      </c>
      <c r="I275" s="18" t="n">
        <v>41572</v>
      </c>
      <c r="J275" s="18" t="n">
        <v>44627.5</v>
      </c>
      <c r="K275" s="12" t="n">
        <f aca="false">I275/G275*(1-0.0025)/(1+0.001)-1</f>
        <v>-0.0602154362050915</v>
      </c>
      <c r="L275" s="4" t="n">
        <v>1</v>
      </c>
      <c r="M275" s="4" t="s">
        <v>80</v>
      </c>
    </row>
    <row r="276" customFormat="false" ht="17.15" hidden="false" customHeight="false" outlineLevel="0" collapsed="false">
      <c r="A276" s="7" t="s">
        <v>387</v>
      </c>
      <c r="B276" s="4" t="s">
        <v>388</v>
      </c>
      <c r="C276" s="7" t="s">
        <v>52</v>
      </c>
      <c r="D276" s="7" t="s">
        <v>79</v>
      </c>
      <c r="E276" s="17" t="n">
        <v>44984</v>
      </c>
      <c r="F276" s="17" t="n">
        <v>44985</v>
      </c>
      <c r="G276" s="18" t="n">
        <v>38368</v>
      </c>
      <c r="H276" s="17" t="n">
        <v>44998</v>
      </c>
      <c r="I276" s="18" t="n">
        <v>34283.4</v>
      </c>
      <c r="J276" s="18" t="n">
        <v>34283.4</v>
      </c>
      <c r="K276" s="12" t="n">
        <f aca="false">I276/G276*(1-0.0025)/(1+0.001)-1</f>
        <v>-0.109582778043474</v>
      </c>
      <c r="L276" s="4" t="n">
        <v>8</v>
      </c>
      <c r="M276" s="4" t="s">
        <v>80</v>
      </c>
    </row>
    <row r="277" customFormat="false" ht="17.15" hidden="false" customHeight="false" outlineLevel="0" collapsed="false">
      <c r="A277" s="7" t="s">
        <v>340</v>
      </c>
      <c r="B277" s="4" t="s">
        <v>341</v>
      </c>
      <c r="C277" s="7" t="s">
        <v>52</v>
      </c>
      <c r="D277" s="7" t="s">
        <v>79</v>
      </c>
      <c r="E277" s="17" t="n">
        <v>44992</v>
      </c>
      <c r="F277" s="17" t="n">
        <v>44993</v>
      </c>
      <c r="G277" s="18" t="n">
        <v>158500</v>
      </c>
      <c r="H277" s="17" t="n">
        <v>44998</v>
      </c>
      <c r="I277" s="18" t="n">
        <v>131850</v>
      </c>
      <c r="J277" s="18" t="n">
        <v>131850</v>
      </c>
      <c r="K277" s="12" t="n">
        <f aca="false">I277/G277*(1-0.0025)/(1+0.001)-1</f>
        <v>-0.171047406851823</v>
      </c>
      <c r="L277" s="4" t="n">
        <v>3</v>
      </c>
      <c r="M277" s="4" t="s">
        <v>80</v>
      </c>
    </row>
    <row r="278" customFormat="false" ht="17.15" hidden="false" customHeight="false" outlineLevel="0" collapsed="false">
      <c r="A278" s="7" t="s">
        <v>389</v>
      </c>
      <c r="B278" s="4" t="s">
        <v>390</v>
      </c>
      <c r="C278" s="7" t="s">
        <v>54</v>
      </c>
      <c r="D278" s="7" t="s">
        <v>85</v>
      </c>
      <c r="E278" s="17" t="n">
        <v>44994</v>
      </c>
      <c r="F278" s="17" t="n">
        <v>44995</v>
      </c>
      <c r="G278" s="18" t="n">
        <v>5950</v>
      </c>
      <c r="H278" s="17" t="n">
        <v>44999</v>
      </c>
      <c r="I278" s="18" t="n">
        <v>5546.5</v>
      </c>
      <c r="J278" s="18" t="n">
        <v>5546.5</v>
      </c>
      <c r="K278" s="12" t="n">
        <f aca="false">I278/G278*(1-0.0025)/(1+0.001)-1</f>
        <v>-0.0710745137215724</v>
      </c>
      <c r="L278" s="4" t="n">
        <v>2</v>
      </c>
      <c r="M278" s="4" t="s">
        <v>80</v>
      </c>
    </row>
    <row r="279" customFormat="false" ht="17.15" hidden="false" customHeight="false" outlineLevel="0" collapsed="false">
      <c r="A279" s="7" t="s">
        <v>391</v>
      </c>
      <c r="B279" s="7" t="s">
        <v>392</v>
      </c>
      <c r="C279" s="7" t="s">
        <v>50</v>
      </c>
      <c r="D279" s="7" t="s">
        <v>105</v>
      </c>
      <c r="E279" s="17" t="n">
        <v>44995</v>
      </c>
      <c r="F279" s="17" t="n">
        <v>44998</v>
      </c>
      <c r="G279" s="18" t="n">
        <v>9400</v>
      </c>
      <c r="H279" s="17" t="n">
        <v>44999</v>
      </c>
      <c r="I279" s="18" t="n">
        <v>9015</v>
      </c>
      <c r="J279" s="18" t="n">
        <v>9015</v>
      </c>
      <c r="K279" s="12" t="n">
        <f aca="false">I279/G279*(1-0.0025)/(1+0.001)-1</f>
        <v>-0.0443107424490402</v>
      </c>
      <c r="L279" s="4" t="n">
        <v>1</v>
      </c>
      <c r="M279" s="4" t="s">
        <v>80</v>
      </c>
    </row>
    <row r="280" customFormat="false" ht="17.15" hidden="false" customHeight="false" outlineLevel="0" collapsed="false">
      <c r="A280" s="7" t="s">
        <v>393</v>
      </c>
      <c r="B280" s="4" t="s">
        <v>394</v>
      </c>
      <c r="C280" s="7" t="s">
        <v>48</v>
      </c>
      <c r="D280" s="7" t="s">
        <v>75</v>
      </c>
      <c r="E280" s="17" t="n">
        <v>44923</v>
      </c>
      <c r="F280" s="17" t="n">
        <v>44924</v>
      </c>
      <c r="G280" s="18" t="n">
        <v>36450</v>
      </c>
      <c r="H280" s="17" t="n">
        <v>45000</v>
      </c>
      <c r="I280" s="18" t="n">
        <v>41250</v>
      </c>
      <c r="J280" s="18" t="n">
        <v>33500</v>
      </c>
      <c r="K280" s="12" t="n">
        <f aca="false">I280/G280*(1-0.0025)/(1+0.001)-1</f>
        <v>0.127730294396961</v>
      </c>
      <c r="L280" s="4" t="n">
        <v>50</v>
      </c>
      <c r="M280" s="4" t="s">
        <v>76</v>
      </c>
    </row>
    <row r="281" customFormat="false" ht="17.15" hidden="false" customHeight="false" outlineLevel="0" collapsed="false">
      <c r="A281" s="7" t="s">
        <v>395</v>
      </c>
      <c r="B281" s="4" t="s">
        <v>396</v>
      </c>
      <c r="C281" s="7" t="s">
        <v>56</v>
      </c>
      <c r="D281" s="4" t="s">
        <v>90</v>
      </c>
      <c r="E281" s="17" t="n">
        <v>44959</v>
      </c>
      <c r="F281" s="17" t="n">
        <v>44960</v>
      </c>
      <c r="G281" s="18" t="n">
        <v>23700</v>
      </c>
      <c r="H281" s="17" t="n">
        <v>45026</v>
      </c>
      <c r="I281" s="18" t="n">
        <v>27600</v>
      </c>
      <c r="J281" s="18" t="n">
        <v>19195</v>
      </c>
      <c r="K281" s="12" t="n">
        <f aca="false">I281/G281*(1-0.0025)/(1+0.001)-1</f>
        <v>0.160485084535718</v>
      </c>
      <c r="L281" s="4" t="n">
        <v>45</v>
      </c>
      <c r="M281" s="4" t="s">
        <v>76</v>
      </c>
    </row>
    <row r="282" customFormat="false" ht="17.15" hidden="false" customHeight="false" outlineLevel="0" collapsed="false">
      <c r="A282" s="7" t="s">
        <v>397</v>
      </c>
      <c r="B282" s="4" t="s">
        <v>398</v>
      </c>
      <c r="C282" s="7" t="s">
        <v>57</v>
      </c>
      <c r="D282" s="4" t="s">
        <v>140</v>
      </c>
      <c r="E282" s="17" t="n">
        <v>44923</v>
      </c>
      <c r="F282" s="17" t="n">
        <v>44924</v>
      </c>
      <c r="G282" s="18" t="n">
        <v>30950</v>
      </c>
      <c r="H282" s="17" t="n">
        <v>45037</v>
      </c>
      <c r="I282" s="18" t="n">
        <v>46750</v>
      </c>
      <c r="J282" s="18" t="n">
        <v>29030</v>
      </c>
      <c r="K282" s="12" t="n">
        <f aca="false">I282/G282*(1-0.0025)/(1+0.001)-1</f>
        <v>0.505219336398658</v>
      </c>
      <c r="L282" s="4" t="n">
        <v>77</v>
      </c>
      <c r="M282" s="4" t="s">
        <v>76</v>
      </c>
    </row>
    <row r="283" customFormat="false" ht="17.15" hidden="false" customHeight="false" outlineLevel="0" collapsed="false">
      <c r="A283" s="7" t="s">
        <v>129</v>
      </c>
      <c r="B283" s="4" t="s">
        <v>130</v>
      </c>
      <c r="C283" s="7" t="s">
        <v>52</v>
      </c>
      <c r="D283" s="7" t="s">
        <v>79</v>
      </c>
      <c r="E283" s="17" t="n">
        <v>45023</v>
      </c>
      <c r="F283" s="17" t="n">
        <v>45026</v>
      </c>
      <c r="G283" s="18" t="n">
        <v>87966</v>
      </c>
      <c r="H283" s="17" t="n">
        <v>45040</v>
      </c>
      <c r="I283" s="18" t="n">
        <v>63789.8</v>
      </c>
      <c r="J283" s="18" t="n">
        <v>63789.8</v>
      </c>
      <c r="K283" s="12" t="n">
        <f aca="false">I283/G283*(1-0.0025)/(1+0.001)-1</f>
        <v>-0.277371271386004</v>
      </c>
      <c r="L283" s="4" t="n">
        <v>10</v>
      </c>
      <c r="M283" s="4" t="s">
        <v>80</v>
      </c>
    </row>
    <row r="284" customFormat="false" ht="17.15" hidden="false" customHeight="false" outlineLevel="0" collapsed="false">
      <c r="A284" s="7" t="s">
        <v>266</v>
      </c>
      <c r="B284" s="4" t="s">
        <v>267</v>
      </c>
      <c r="C284" s="7" t="s">
        <v>56</v>
      </c>
      <c r="D284" s="4" t="s">
        <v>114</v>
      </c>
      <c r="E284" s="17" t="n">
        <v>44998</v>
      </c>
      <c r="F284" s="17" t="n">
        <v>44999</v>
      </c>
      <c r="G284" s="18" t="n">
        <v>18933</v>
      </c>
      <c r="H284" s="17" t="n">
        <v>45042</v>
      </c>
      <c r="I284" s="18" t="n">
        <v>22020</v>
      </c>
      <c r="J284" s="18" t="n">
        <v>17355.9</v>
      </c>
      <c r="K284" s="12" t="n">
        <f aca="false">I284/G284*(1-0.0025)/(1+0.001)-1</f>
        <v>0.158982041568003</v>
      </c>
      <c r="L284" s="4" t="n">
        <v>31</v>
      </c>
      <c r="M284" s="4" t="s">
        <v>76</v>
      </c>
    </row>
    <row r="285" customFormat="false" ht="17.15" hidden="false" customHeight="false" outlineLevel="0" collapsed="false">
      <c r="A285" s="7" t="s">
        <v>356</v>
      </c>
      <c r="B285" s="4" t="s">
        <v>357</v>
      </c>
      <c r="C285" s="7" t="s">
        <v>56</v>
      </c>
      <c r="D285" s="4" t="s">
        <v>90</v>
      </c>
      <c r="E285" s="17" t="n">
        <v>45040</v>
      </c>
      <c r="F285" s="17" t="n">
        <v>45041</v>
      </c>
      <c r="G285" s="18" t="n">
        <v>36000</v>
      </c>
      <c r="H285" s="17" t="n">
        <v>45042</v>
      </c>
      <c r="I285" s="18" t="n">
        <v>33840</v>
      </c>
      <c r="J285" s="18" t="n">
        <v>33840</v>
      </c>
      <c r="K285" s="12" t="n">
        <f aca="false">I285/G285*(1-0.0025)/(1+0.001)-1</f>
        <v>-0.0632867132867132</v>
      </c>
      <c r="L285" s="4" t="n">
        <v>1</v>
      </c>
      <c r="M285" s="4" t="s">
        <v>80</v>
      </c>
    </row>
    <row r="286" customFormat="false" ht="17.15" hidden="false" customHeight="false" outlineLevel="0" collapsed="false">
      <c r="A286" s="7" t="s">
        <v>399</v>
      </c>
      <c r="B286" s="4" t="s">
        <v>400</v>
      </c>
      <c r="C286" s="7" t="s">
        <v>55</v>
      </c>
      <c r="D286" s="7" t="s">
        <v>96</v>
      </c>
      <c r="E286" s="17" t="n">
        <v>44929</v>
      </c>
      <c r="F286" s="17" t="n">
        <v>44930</v>
      </c>
      <c r="G286" s="18" t="n">
        <v>46900</v>
      </c>
      <c r="H286" s="17" t="n">
        <v>45043</v>
      </c>
      <c r="I286" s="18" t="n">
        <v>97900</v>
      </c>
      <c r="J286" s="18" t="n">
        <v>38060</v>
      </c>
      <c r="K286" s="12" t="n">
        <f aca="false">I286/G286*(1-0.0025)/(1+0.001)-1</f>
        <v>1.08012137116615</v>
      </c>
      <c r="L286" s="4" t="n">
        <v>78</v>
      </c>
      <c r="M286" s="4" t="s">
        <v>76</v>
      </c>
    </row>
    <row r="287" customFormat="false" ht="17.15" hidden="false" customHeight="false" outlineLevel="0" collapsed="false">
      <c r="A287" s="7" t="s">
        <v>340</v>
      </c>
      <c r="B287" s="4" t="s">
        <v>341</v>
      </c>
      <c r="C287" s="7" t="s">
        <v>56</v>
      </c>
      <c r="D287" s="4" t="s">
        <v>90</v>
      </c>
      <c r="E287" s="17" t="n">
        <v>45042</v>
      </c>
      <c r="F287" s="17" t="n">
        <v>45043</v>
      </c>
      <c r="G287" s="18" t="n">
        <v>106200</v>
      </c>
      <c r="H287" s="17" t="n">
        <v>45044</v>
      </c>
      <c r="I287" s="18" t="n">
        <v>107300</v>
      </c>
      <c r="J287" s="18" t="n">
        <v>98380</v>
      </c>
      <c r="K287" s="12" t="n">
        <f aca="false">I287/G287*(1-0.0025)/(1+0.001)-1</f>
        <v>0.00682509580814683</v>
      </c>
      <c r="L287" s="4" t="n">
        <v>1</v>
      </c>
      <c r="M287" s="4" t="s">
        <v>76</v>
      </c>
    </row>
    <row r="288" customFormat="false" ht="17.15" hidden="false" customHeight="false" outlineLevel="0" collapsed="false">
      <c r="A288" s="7" t="s">
        <v>401</v>
      </c>
      <c r="B288" s="4" t="s">
        <v>402</v>
      </c>
      <c r="C288" s="7" t="s">
        <v>56</v>
      </c>
      <c r="D288" s="4" t="s">
        <v>90</v>
      </c>
      <c r="E288" s="17" t="n">
        <v>45036</v>
      </c>
      <c r="F288" s="17" t="n">
        <v>45037</v>
      </c>
      <c r="G288" s="18" t="n">
        <v>12230</v>
      </c>
      <c r="H288" s="17" t="n">
        <v>45044</v>
      </c>
      <c r="I288" s="18" t="n">
        <v>10420</v>
      </c>
      <c r="J288" s="18" t="n">
        <v>10420</v>
      </c>
      <c r="K288" s="12" t="n">
        <f aca="false">I288/G288*(1-0.0025)/(1+0.001)-1</f>
        <v>-0.150975761768893</v>
      </c>
      <c r="L288" s="4" t="n">
        <v>5</v>
      </c>
      <c r="M288" s="4" t="s">
        <v>80</v>
      </c>
    </row>
    <row r="289" customFormat="false" ht="17.15" hidden="false" customHeight="false" outlineLevel="0" collapsed="false">
      <c r="A289" s="7" t="s">
        <v>403</v>
      </c>
      <c r="B289" s="7" t="s">
        <v>404</v>
      </c>
      <c r="C289" s="7" t="s">
        <v>49</v>
      </c>
      <c r="D289" s="7" t="s">
        <v>124</v>
      </c>
      <c r="E289" s="17" t="n">
        <v>44998</v>
      </c>
      <c r="F289" s="17" t="n">
        <v>44999</v>
      </c>
      <c r="G289" s="18" t="n">
        <v>316000</v>
      </c>
      <c r="H289" s="17" t="n">
        <v>45076</v>
      </c>
      <c r="I289" s="18" t="n">
        <v>361500</v>
      </c>
      <c r="J289" s="18" t="n">
        <v>301200</v>
      </c>
      <c r="K289" s="12" t="n">
        <f aca="false">I289/G289*(1-0.0025)/(1+0.001)-1</f>
        <v>0.13998738603169</v>
      </c>
      <c r="L289" s="4" t="n">
        <v>52</v>
      </c>
      <c r="M289" s="4" t="s">
        <v>76</v>
      </c>
    </row>
    <row r="290" customFormat="false" ht="17.15" hidden="false" customHeight="false" outlineLevel="0" collapsed="false">
      <c r="A290" s="7" t="s">
        <v>405</v>
      </c>
      <c r="B290" s="4" t="s">
        <v>406</v>
      </c>
      <c r="C290" s="7" t="s">
        <v>52</v>
      </c>
      <c r="D290" s="7" t="s">
        <v>79</v>
      </c>
      <c r="E290" s="17" t="n">
        <v>45000</v>
      </c>
      <c r="F290" s="17" t="n">
        <v>45001</v>
      </c>
      <c r="G290" s="18" t="n">
        <v>37900</v>
      </c>
      <c r="H290" s="17" t="n">
        <v>45090</v>
      </c>
      <c r="I290" s="18" t="n">
        <v>50900</v>
      </c>
      <c r="J290" s="18" t="n">
        <v>26164</v>
      </c>
      <c r="K290" s="12" t="n">
        <f aca="false">I290/G290*(1-0.0025)/(1+0.001)-1</f>
        <v>0.33831208369467</v>
      </c>
      <c r="L290" s="4" t="n">
        <v>59</v>
      </c>
      <c r="M290" s="4" t="s">
        <v>76</v>
      </c>
    </row>
    <row r="291" customFormat="false" ht="17.15" hidden="false" customHeight="false" outlineLevel="0" collapsed="false">
      <c r="A291" s="7" t="s">
        <v>129</v>
      </c>
      <c r="B291" s="4" t="s">
        <v>130</v>
      </c>
      <c r="C291" s="7" t="s">
        <v>56</v>
      </c>
      <c r="D291" s="4" t="s">
        <v>114</v>
      </c>
      <c r="E291" s="17" t="n">
        <v>45089</v>
      </c>
      <c r="F291" s="17" t="n">
        <v>45090</v>
      </c>
      <c r="G291" s="18" t="n">
        <v>58152</v>
      </c>
      <c r="H291" s="17" t="n">
        <v>45092</v>
      </c>
      <c r="I291" s="18" t="n">
        <v>55888</v>
      </c>
      <c r="J291" s="18" t="n">
        <v>54152.1</v>
      </c>
      <c r="K291" s="12" t="n">
        <f aca="false">I291/G291*(1-0.0025)/(1+0.001)-1</f>
        <v>-0.0422928289209757</v>
      </c>
      <c r="L291" s="4" t="n">
        <v>2</v>
      </c>
      <c r="M291" s="4" t="s">
        <v>76</v>
      </c>
    </row>
    <row r="292" customFormat="false" ht="17.15" hidden="false" customHeight="false" outlineLevel="0" collapsed="false">
      <c r="A292" s="7" t="s">
        <v>294</v>
      </c>
      <c r="B292" s="4" t="s">
        <v>295</v>
      </c>
      <c r="C292" s="7" t="s">
        <v>56</v>
      </c>
      <c r="D292" s="4" t="s">
        <v>90</v>
      </c>
      <c r="E292" s="17" t="n">
        <v>45041</v>
      </c>
      <c r="F292" s="17" t="n">
        <v>45042</v>
      </c>
      <c r="G292" s="18" t="n">
        <v>9050</v>
      </c>
      <c r="H292" s="17" t="n">
        <v>45098</v>
      </c>
      <c r="I292" s="18" t="n">
        <v>9030</v>
      </c>
      <c r="J292" s="18" t="n">
        <v>8115</v>
      </c>
      <c r="K292" s="12" t="n">
        <f aca="false">I292/G292*(1-0.0025)/(1+0.001)-1</f>
        <v>-0.00569872116833436</v>
      </c>
      <c r="L292" s="4" t="n">
        <v>36</v>
      </c>
      <c r="M292" s="4" t="s">
        <v>76</v>
      </c>
    </row>
    <row r="293" customFormat="false" ht="17.15" hidden="false" customHeight="false" outlineLevel="0" collapsed="false">
      <c r="A293" s="7" t="s">
        <v>383</v>
      </c>
      <c r="B293" s="4" t="s">
        <v>384</v>
      </c>
      <c r="C293" s="7" t="s">
        <v>56</v>
      </c>
      <c r="D293" s="4" t="s">
        <v>93</v>
      </c>
      <c r="E293" s="17" t="n">
        <v>45072</v>
      </c>
      <c r="F293" s="17" t="n">
        <v>45076</v>
      </c>
      <c r="G293" s="18" t="n">
        <v>245000</v>
      </c>
      <c r="H293" s="17" t="n">
        <v>45103</v>
      </c>
      <c r="I293" s="18" t="n">
        <v>237500</v>
      </c>
      <c r="J293" s="18" t="n">
        <v>218300</v>
      </c>
      <c r="K293" s="12" t="n">
        <f aca="false">I293/G293*(1-0.0025)/(1+0.001)-1</f>
        <v>-0.034001712573141</v>
      </c>
      <c r="L293" s="4" t="n">
        <v>18</v>
      </c>
      <c r="M293" s="4" t="s">
        <v>76</v>
      </c>
    </row>
    <row r="294" customFormat="false" ht="17.15" hidden="false" customHeight="false" outlineLevel="0" collapsed="false">
      <c r="A294" s="7" t="s">
        <v>407</v>
      </c>
      <c r="B294" s="7" t="s">
        <v>408</v>
      </c>
      <c r="C294" s="7" t="s">
        <v>52</v>
      </c>
      <c r="D294" s="7" t="s">
        <v>79</v>
      </c>
      <c r="E294" s="17" t="n">
        <v>45091</v>
      </c>
      <c r="F294" s="17" t="n">
        <v>45092</v>
      </c>
      <c r="G294" s="18" t="n">
        <v>137000</v>
      </c>
      <c r="H294" s="17" t="n">
        <v>45104</v>
      </c>
      <c r="I294" s="18" t="n">
        <v>122610</v>
      </c>
      <c r="J294" s="18" t="n">
        <v>122610</v>
      </c>
      <c r="K294" s="12" t="n">
        <f aca="false">I294/G294*(1-0.0025)/(1+0.001)-1</f>
        <v>-0.108165739370119</v>
      </c>
      <c r="L294" s="4" t="n">
        <v>8</v>
      </c>
      <c r="M294" s="4" t="s">
        <v>80</v>
      </c>
    </row>
    <row r="295" customFormat="false" ht="17.15" hidden="false" customHeight="false" outlineLevel="0" collapsed="false">
      <c r="A295" s="7" t="s">
        <v>405</v>
      </c>
      <c r="B295" s="4" t="s">
        <v>406</v>
      </c>
      <c r="C295" s="7" t="s">
        <v>56</v>
      </c>
      <c r="D295" s="4" t="s">
        <v>90</v>
      </c>
      <c r="E295" s="17" t="n">
        <v>45103</v>
      </c>
      <c r="F295" s="17" t="n">
        <v>45104</v>
      </c>
      <c r="G295" s="18" t="n">
        <v>49850</v>
      </c>
      <c r="H295" s="17" t="n">
        <v>45105</v>
      </c>
      <c r="I295" s="18" t="n">
        <v>50500</v>
      </c>
      <c r="J295" s="18" t="n">
        <v>42955</v>
      </c>
      <c r="K295" s="12" t="n">
        <f aca="false">I295/G295*(1-0.0025)/(1+0.001)-1</f>
        <v>0.00949702253613993</v>
      </c>
      <c r="L295" s="4" t="n">
        <v>1</v>
      </c>
      <c r="M295" s="4" t="s">
        <v>76</v>
      </c>
    </row>
    <row r="296" customFormat="false" ht="17.15" hidden="false" customHeight="false" outlineLevel="0" collapsed="false">
      <c r="A296" s="7" t="s">
        <v>206</v>
      </c>
      <c r="B296" s="4" t="s">
        <v>207</v>
      </c>
      <c r="C296" s="7" t="s">
        <v>49</v>
      </c>
      <c r="D296" s="7" t="s">
        <v>124</v>
      </c>
      <c r="E296" s="17" t="n">
        <v>44928</v>
      </c>
      <c r="F296" s="17" t="n">
        <v>44929</v>
      </c>
      <c r="G296" s="18" t="n">
        <v>27600</v>
      </c>
      <c r="H296" s="17" t="n">
        <v>45118</v>
      </c>
      <c r="I296" s="18" t="n">
        <v>50600</v>
      </c>
      <c r="J296" s="18" t="n">
        <v>25250</v>
      </c>
      <c r="K296" s="12" t="n">
        <f aca="false">I296/G296*(1-0.0025)/(1+0.001)-1</f>
        <v>0.826923076923077</v>
      </c>
      <c r="L296" s="4" t="n">
        <v>128</v>
      </c>
      <c r="M296" s="4" t="s">
        <v>76</v>
      </c>
    </row>
    <row r="297" customFormat="false" ht="17.15" hidden="false" customHeight="false" outlineLevel="0" collapsed="false">
      <c r="A297" s="7" t="s">
        <v>409</v>
      </c>
      <c r="B297" s="4" t="s">
        <v>410</v>
      </c>
      <c r="C297" s="7" t="s">
        <v>56</v>
      </c>
      <c r="D297" s="4" t="s">
        <v>90</v>
      </c>
      <c r="E297" s="17" t="n">
        <v>45043</v>
      </c>
      <c r="F297" s="17" t="n">
        <v>45044</v>
      </c>
      <c r="G297" s="18" t="n">
        <v>13800</v>
      </c>
      <c r="H297" s="17" t="n">
        <v>45146</v>
      </c>
      <c r="I297" s="18" t="n">
        <v>17400</v>
      </c>
      <c r="J297" s="18" t="n">
        <v>10464</v>
      </c>
      <c r="K297" s="12" t="n">
        <f aca="false">I297/G297*(1-0.0025)/(1+0.001)-1</f>
        <v>0.256460930373974</v>
      </c>
      <c r="L297" s="4" t="n">
        <v>68</v>
      </c>
      <c r="M297" s="4" t="s">
        <v>76</v>
      </c>
    </row>
    <row r="298" customFormat="false" ht="17.15" hidden="false" customHeight="false" outlineLevel="0" collapsed="false">
      <c r="A298" s="7" t="s">
        <v>115</v>
      </c>
      <c r="B298" s="4" t="s">
        <v>116</v>
      </c>
      <c r="C298" s="7" t="s">
        <v>52</v>
      </c>
      <c r="D298" s="7" t="s">
        <v>79</v>
      </c>
      <c r="E298" s="17" t="n">
        <v>44966</v>
      </c>
      <c r="F298" s="17" t="n">
        <v>44967</v>
      </c>
      <c r="G298" s="18" t="n">
        <v>36886</v>
      </c>
      <c r="H298" s="17" t="n">
        <v>45177</v>
      </c>
      <c r="I298" s="18" t="n">
        <v>197773</v>
      </c>
      <c r="J298" s="18" t="n">
        <v>34242.8</v>
      </c>
      <c r="K298" s="12" t="n">
        <f aca="false">I298/G298*(1-0.0025)/(1+0.001)-1</f>
        <v>4.34298883082975</v>
      </c>
      <c r="L298" s="4" t="n">
        <v>144</v>
      </c>
      <c r="M298" s="4" t="s">
        <v>76</v>
      </c>
    </row>
    <row r="299" customFormat="false" ht="17.15" hidden="false" customHeight="false" outlineLevel="0" collapsed="false">
      <c r="A299" s="7" t="s">
        <v>411</v>
      </c>
      <c r="B299" s="4" t="s">
        <v>412</v>
      </c>
      <c r="C299" s="7" t="s">
        <v>52</v>
      </c>
      <c r="D299" s="7" t="s">
        <v>79</v>
      </c>
      <c r="E299" s="17" t="n">
        <v>45104</v>
      </c>
      <c r="F299" s="17" t="n">
        <v>45105</v>
      </c>
      <c r="G299" s="18" t="n">
        <v>22450</v>
      </c>
      <c r="H299" s="17" t="n">
        <v>45177</v>
      </c>
      <c r="I299" s="18" t="n">
        <v>25400</v>
      </c>
      <c r="J299" s="18" t="n">
        <v>19731</v>
      </c>
      <c r="K299" s="12" t="n">
        <f aca="false">I299/G299*(1-0.0025)/(1+0.001)-1</f>
        <v>0.127447163081907</v>
      </c>
      <c r="L299" s="4" t="n">
        <v>51</v>
      </c>
      <c r="M299" s="4" t="s">
        <v>76</v>
      </c>
    </row>
    <row r="300" customFormat="false" ht="17.15" hidden="false" customHeight="false" outlineLevel="0" collapsed="false">
      <c r="A300" s="7" t="s">
        <v>147</v>
      </c>
      <c r="B300" s="4" t="s">
        <v>148</v>
      </c>
      <c r="C300" s="7" t="s">
        <v>52</v>
      </c>
      <c r="D300" s="7" t="s">
        <v>79</v>
      </c>
      <c r="E300" s="17" t="n">
        <v>45097</v>
      </c>
      <c r="F300" s="17" t="n">
        <v>45098</v>
      </c>
      <c r="G300" s="18" t="n">
        <v>21395</v>
      </c>
      <c r="H300" s="17" t="n">
        <v>45180</v>
      </c>
      <c r="I300" s="18" t="n">
        <v>29029</v>
      </c>
      <c r="J300" s="18" t="n">
        <v>19384.2</v>
      </c>
      <c r="K300" s="12" t="n">
        <f aca="false">I300/G300*(1-0.0025)/(1+0.001)-1</f>
        <v>0.352068240243048</v>
      </c>
      <c r="L300" s="4" t="n">
        <v>57</v>
      </c>
      <c r="M300" s="4" t="s">
        <v>76</v>
      </c>
    </row>
    <row r="301" customFormat="false" ht="17.15" hidden="false" customHeight="false" outlineLevel="0" collapsed="false">
      <c r="A301" s="7" t="s">
        <v>405</v>
      </c>
      <c r="B301" s="4" t="s">
        <v>406</v>
      </c>
      <c r="C301" s="7" t="s">
        <v>56</v>
      </c>
      <c r="D301" s="4" t="s">
        <v>90</v>
      </c>
      <c r="E301" s="17" t="n">
        <v>45117</v>
      </c>
      <c r="F301" s="17" t="n">
        <v>45118</v>
      </c>
      <c r="G301" s="18" t="n">
        <v>55900</v>
      </c>
      <c r="H301" s="17" t="n">
        <v>45188</v>
      </c>
      <c r="I301" s="18" t="n">
        <v>69000</v>
      </c>
      <c r="J301" s="18" t="n">
        <v>43005</v>
      </c>
      <c r="K301" s="12" t="n">
        <f aca="false">I301/G301*(1-0.0025)/(1+0.001)-1</f>
        <v>0.230031149530255</v>
      </c>
      <c r="L301" s="4" t="n">
        <v>49</v>
      </c>
      <c r="M301" s="4" t="s">
        <v>76</v>
      </c>
    </row>
    <row r="302" customFormat="false" ht="17.15" hidden="false" customHeight="false" outlineLevel="0" collapsed="false">
      <c r="A302" s="7" t="s">
        <v>389</v>
      </c>
      <c r="B302" s="4" t="s">
        <v>390</v>
      </c>
      <c r="C302" s="7" t="s">
        <v>49</v>
      </c>
      <c r="D302" s="7" t="s">
        <v>124</v>
      </c>
      <c r="E302" s="17" t="n">
        <v>45000</v>
      </c>
      <c r="F302" s="17" t="n">
        <v>45001</v>
      </c>
      <c r="G302" s="18" t="n">
        <v>5690</v>
      </c>
      <c r="H302" s="17" t="n">
        <v>45189</v>
      </c>
      <c r="I302" s="18" t="n">
        <v>11610</v>
      </c>
      <c r="J302" s="18" t="n">
        <v>5095</v>
      </c>
      <c r="K302" s="12" t="n">
        <f aca="false">I302/G302*(1-0.0025)/(1+0.001)-1</f>
        <v>1.0332874506864</v>
      </c>
      <c r="L302" s="4" t="n">
        <v>129</v>
      </c>
      <c r="M302" s="4" t="s">
        <v>76</v>
      </c>
    </row>
    <row r="303" customFormat="false" ht="17.15" hidden="false" customHeight="false" outlineLevel="0" collapsed="false">
      <c r="A303" s="7" t="s">
        <v>413</v>
      </c>
      <c r="B303" s="4" t="s">
        <v>414</v>
      </c>
      <c r="C303" s="7" t="s">
        <v>56</v>
      </c>
      <c r="D303" s="4" t="s">
        <v>114</v>
      </c>
      <c r="E303" s="17" t="n">
        <v>45100</v>
      </c>
      <c r="F303" s="17" t="n">
        <v>45103</v>
      </c>
      <c r="G303" s="18" t="n">
        <v>17770</v>
      </c>
      <c r="H303" s="17" t="n">
        <v>45189</v>
      </c>
      <c r="I303" s="18" t="n">
        <v>24200</v>
      </c>
      <c r="J303" s="18" t="n">
        <v>15316</v>
      </c>
      <c r="K303" s="12" t="n">
        <f aca="false">I303/G303*(1-0.0025)/(1+0.001)-1</f>
        <v>0.357084108913034</v>
      </c>
      <c r="L303" s="4" t="n">
        <v>61</v>
      </c>
      <c r="M303" s="4" t="s">
        <v>76</v>
      </c>
    </row>
    <row r="304" customFormat="false" ht="17.15" hidden="false" customHeight="false" outlineLevel="0" collapsed="false">
      <c r="A304" s="7" t="s">
        <v>185</v>
      </c>
      <c r="B304" s="4" t="s">
        <v>186</v>
      </c>
      <c r="C304" s="7" t="s">
        <v>54</v>
      </c>
      <c r="D304" s="7" t="s">
        <v>85</v>
      </c>
      <c r="E304" s="17" t="n">
        <v>45042</v>
      </c>
      <c r="F304" s="17" t="n">
        <v>45043</v>
      </c>
      <c r="G304" s="18" t="n">
        <v>21650</v>
      </c>
      <c r="H304" s="17" t="n">
        <v>45195</v>
      </c>
      <c r="I304" s="18" t="n">
        <v>42500</v>
      </c>
      <c r="J304" s="18" t="n">
        <v>19606</v>
      </c>
      <c r="K304" s="12" t="n">
        <f aca="false">I304/G304*(1-0.0025)/(1+0.001)-1</f>
        <v>0.956184692905248</v>
      </c>
      <c r="L304" s="4" t="n">
        <v>103</v>
      </c>
      <c r="M304" s="4" t="s">
        <v>76</v>
      </c>
    </row>
    <row r="305" customFormat="false" ht="17.15" hidden="false" customHeight="false" outlineLevel="0" collapsed="false">
      <c r="A305" s="7" t="s">
        <v>348</v>
      </c>
      <c r="B305" s="4" t="s">
        <v>349</v>
      </c>
      <c r="C305" s="7" t="s">
        <v>56</v>
      </c>
      <c r="D305" s="4" t="s">
        <v>114</v>
      </c>
      <c r="E305" s="17" t="n">
        <v>45036</v>
      </c>
      <c r="F305" s="17" t="n">
        <v>45037</v>
      </c>
      <c r="G305" s="18" t="n">
        <v>21600</v>
      </c>
      <c r="H305" s="17" t="n">
        <v>45210</v>
      </c>
      <c r="I305" s="18" t="n">
        <v>51200</v>
      </c>
      <c r="J305" s="18" t="n">
        <v>17742</v>
      </c>
      <c r="K305" s="12" t="n">
        <f aca="false">I305/G305*(1-0.0025)/(1+0.001)-1</f>
        <v>1.36208236208236</v>
      </c>
      <c r="L305" s="4" t="n">
        <v>113</v>
      </c>
      <c r="M305" s="4" t="s">
        <v>76</v>
      </c>
    </row>
    <row r="306" customFormat="false" ht="17.15" hidden="false" customHeight="false" outlineLevel="0" collapsed="false">
      <c r="A306" s="7" t="s">
        <v>280</v>
      </c>
      <c r="B306" s="4" t="s">
        <v>281</v>
      </c>
      <c r="C306" s="7" t="s">
        <v>56</v>
      </c>
      <c r="D306" s="4" t="s">
        <v>90</v>
      </c>
      <c r="E306" s="17" t="n">
        <v>45145</v>
      </c>
      <c r="F306" s="17" t="n">
        <v>45146</v>
      </c>
      <c r="G306" s="18" t="n">
        <v>23200</v>
      </c>
      <c r="H306" s="17" t="n">
        <v>45225</v>
      </c>
      <c r="I306" s="18" t="n">
        <v>40300</v>
      </c>
      <c r="J306" s="18" t="n">
        <v>20138</v>
      </c>
      <c r="K306" s="12" t="n">
        <f aca="false">I306/G306*(1-0.0025)/(1+0.001)-1</f>
        <v>0.730995297805643</v>
      </c>
      <c r="L306" s="4" t="n">
        <v>51</v>
      </c>
      <c r="M306" s="4" t="s">
        <v>76</v>
      </c>
    </row>
    <row r="307" customFormat="false" ht="17.15" hidden="false" customHeight="false" outlineLevel="0" collapsed="false">
      <c r="A307" s="7" t="s">
        <v>286</v>
      </c>
      <c r="B307" s="4" t="s">
        <v>287</v>
      </c>
      <c r="C307" s="7" t="s">
        <v>56</v>
      </c>
      <c r="D307" s="4" t="s">
        <v>93</v>
      </c>
      <c r="E307" s="17" t="n">
        <v>45271</v>
      </c>
      <c r="F307" s="17" t="n">
        <v>45272</v>
      </c>
      <c r="G307" s="18" t="n">
        <v>174600</v>
      </c>
      <c r="H307" s="17" t="n">
        <v>45273</v>
      </c>
      <c r="I307" s="18" t="n">
        <v>174600</v>
      </c>
      <c r="J307" s="18" t="n">
        <v>164420</v>
      </c>
      <c r="K307" s="12" t="n">
        <f aca="false">I307/G307*(1-0.0025)/(1+0.001)-1</f>
        <v>-0.00349650349650332</v>
      </c>
      <c r="L307" s="4" t="n">
        <v>1</v>
      </c>
      <c r="M307" s="4" t="s">
        <v>76</v>
      </c>
    </row>
    <row r="308" customFormat="false" ht="17.15" hidden="false" customHeight="false" outlineLevel="0" collapsed="false">
      <c r="A308" s="7" t="s">
        <v>415</v>
      </c>
      <c r="B308" s="4" t="s">
        <v>416</v>
      </c>
      <c r="C308" s="7" t="s">
        <v>56</v>
      </c>
      <c r="D308" s="4" t="s">
        <v>93</v>
      </c>
      <c r="E308" s="17" t="n">
        <v>45271</v>
      </c>
      <c r="F308" s="17" t="n">
        <v>45272</v>
      </c>
      <c r="G308" s="18" t="n">
        <v>39140</v>
      </c>
      <c r="H308" s="17" t="n">
        <v>45273</v>
      </c>
      <c r="I308" s="18" t="n">
        <v>38202</v>
      </c>
      <c r="J308" s="18" t="n">
        <v>33360.2</v>
      </c>
      <c r="K308" s="12" t="n">
        <f aca="false">I308/G308*(1-0.0025)/(1+0.001)-1</f>
        <v>-0.0273779618439811</v>
      </c>
      <c r="L308" s="4" t="n">
        <v>1</v>
      </c>
      <c r="M308" s="4" t="s">
        <v>76</v>
      </c>
    </row>
    <row r="309" customFormat="false" ht="17.15" hidden="false" customHeight="false" outlineLevel="0" collapsed="false">
      <c r="A309" s="7" t="s">
        <v>417</v>
      </c>
      <c r="B309" s="4" t="s">
        <v>418</v>
      </c>
      <c r="C309" s="7" t="s">
        <v>51</v>
      </c>
      <c r="D309" s="7" t="s">
        <v>117</v>
      </c>
      <c r="E309" s="17" t="n">
        <v>45271</v>
      </c>
      <c r="F309" s="17" t="n">
        <v>45272</v>
      </c>
      <c r="G309" s="18" t="n">
        <v>11950</v>
      </c>
      <c r="H309" s="17" t="n">
        <v>45274</v>
      </c>
      <c r="I309" s="18" t="n">
        <v>11850</v>
      </c>
      <c r="J309" s="18" t="n">
        <v>10691</v>
      </c>
      <c r="K309" s="12" t="n">
        <f aca="false">I309/G309*(1-0.0025)/(1+0.001)-1</f>
        <v>-0.0118354448898381</v>
      </c>
      <c r="L309" s="4" t="n">
        <v>2</v>
      </c>
      <c r="M309" s="4" t="s">
        <v>76</v>
      </c>
    </row>
    <row r="310" customFormat="false" ht="17.15" hidden="false" customHeight="false" outlineLevel="0" collapsed="false">
      <c r="A310" s="7" t="s">
        <v>419</v>
      </c>
      <c r="B310" s="4" t="s">
        <v>420</v>
      </c>
      <c r="C310" s="7" t="s">
        <v>52</v>
      </c>
      <c r="D310" s="7" t="s">
        <v>79</v>
      </c>
      <c r="E310" s="17" t="n">
        <v>45272</v>
      </c>
      <c r="F310" s="17" t="n">
        <v>45273</v>
      </c>
      <c r="G310" s="18" t="n">
        <v>12040</v>
      </c>
      <c r="H310" s="17" t="n">
        <v>45274</v>
      </c>
      <c r="I310" s="18" t="n">
        <v>10653.5</v>
      </c>
      <c r="J310" s="18" t="n">
        <v>10653.5</v>
      </c>
      <c r="K310" s="12" t="n">
        <f aca="false">I310/G310*(1-0.0025)/(1+0.001)-1</f>
        <v>-0.118251661129568</v>
      </c>
      <c r="L310" s="4" t="n">
        <v>1</v>
      </c>
      <c r="M310" s="4" t="s">
        <v>80</v>
      </c>
    </row>
    <row r="311" customFormat="false" ht="17.15" hidden="false" customHeight="false" outlineLevel="0" collapsed="false">
      <c r="A311" s="7" t="s">
        <v>411</v>
      </c>
      <c r="B311" s="4" t="s">
        <v>412</v>
      </c>
      <c r="C311" s="7" t="s">
        <v>48</v>
      </c>
      <c r="D311" s="7" t="s">
        <v>75</v>
      </c>
      <c r="E311" s="17" t="n">
        <v>45271</v>
      </c>
      <c r="F311" s="17" t="n">
        <v>45272</v>
      </c>
      <c r="G311" s="18" t="n">
        <v>39000</v>
      </c>
      <c r="H311" s="17" t="n">
        <v>45287</v>
      </c>
      <c r="I311" s="18" t="n">
        <v>35330</v>
      </c>
      <c r="J311" s="18" t="n">
        <v>35330</v>
      </c>
      <c r="K311" s="12" t="n">
        <f aca="false">I311/G311*(1-0.0025)/(1+0.001)-1</f>
        <v>-0.0972700376546528</v>
      </c>
      <c r="L311" s="4" t="n">
        <v>10</v>
      </c>
      <c r="M311" s="4" t="s">
        <v>80</v>
      </c>
    </row>
    <row r="312" customFormat="false" ht="17.15" hidden="false" customHeight="false" outlineLevel="0" collapsed="false">
      <c r="A312" s="7" t="s">
        <v>421</v>
      </c>
      <c r="B312" s="4" t="s">
        <v>422</v>
      </c>
      <c r="C312" s="7" t="s">
        <v>49</v>
      </c>
      <c r="D312" s="7" t="s">
        <v>124</v>
      </c>
      <c r="E312" s="17" t="n">
        <v>45271</v>
      </c>
      <c r="F312" s="17" t="n">
        <v>45272</v>
      </c>
      <c r="G312" s="18" t="n">
        <v>13850</v>
      </c>
      <c r="H312" s="17" t="n">
        <v>45288</v>
      </c>
      <c r="I312" s="18" t="n">
        <v>11856</v>
      </c>
      <c r="J312" s="18" t="n">
        <v>11856</v>
      </c>
      <c r="K312" s="12" t="n">
        <f aca="false">I312/G312*(1-0.0025)/(1+0.001)-1</f>
        <v>-0.146964227108631</v>
      </c>
      <c r="L312" s="4" t="n">
        <v>11</v>
      </c>
      <c r="M312" s="4" t="s">
        <v>80</v>
      </c>
    </row>
    <row r="313" customFormat="false" ht="17.15" hidden="false" customHeight="false" outlineLevel="0" collapsed="false">
      <c r="A313" s="7" t="s">
        <v>423</v>
      </c>
      <c r="B313" s="4" t="s">
        <v>424</v>
      </c>
      <c r="C313" s="7" t="s">
        <v>52</v>
      </c>
      <c r="D313" s="7" t="s">
        <v>79</v>
      </c>
      <c r="E313" s="17" t="n">
        <v>45271</v>
      </c>
      <c r="F313" s="17" t="n">
        <v>45272</v>
      </c>
      <c r="G313" s="18" t="n">
        <v>170600</v>
      </c>
      <c r="H313" s="17" t="n">
        <v>45295</v>
      </c>
      <c r="I313" s="18" t="n">
        <v>162450</v>
      </c>
      <c r="J313" s="18" t="n">
        <v>162450</v>
      </c>
      <c r="K313" s="12" t="n">
        <f aca="false">I313/G313*(1-0.0025)/(1+0.001)-1</f>
        <v>-0.0511020339566645</v>
      </c>
      <c r="L313" s="4" t="n">
        <v>14</v>
      </c>
      <c r="M313" s="4" t="s">
        <v>80</v>
      </c>
    </row>
    <row r="314" customFormat="false" ht="17.15" hidden="false" customHeight="false" outlineLevel="0" collapsed="false">
      <c r="A314" s="7" t="s">
        <v>106</v>
      </c>
      <c r="B314" s="4" t="s">
        <v>107</v>
      </c>
      <c r="C314" s="7" t="s">
        <v>52</v>
      </c>
      <c r="D314" s="7" t="s">
        <v>79</v>
      </c>
      <c r="E314" s="17" t="n">
        <v>45287</v>
      </c>
      <c r="F314" s="17" t="n">
        <v>45288</v>
      </c>
      <c r="G314" s="18" t="n">
        <v>44300</v>
      </c>
      <c r="H314" s="17" t="n">
        <v>45296</v>
      </c>
      <c r="I314" s="18" t="n">
        <v>39270</v>
      </c>
      <c r="J314" s="18" t="n">
        <v>39270</v>
      </c>
      <c r="K314" s="12" t="n">
        <f aca="false">I314/G314*(1-0.0025)/(1+0.001)-1</f>
        <v>-0.116643514499045</v>
      </c>
      <c r="L314" s="4" t="n">
        <v>4</v>
      </c>
      <c r="M314" s="4" t="s">
        <v>80</v>
      </c>
    </row>
    <row r="315" customFormat="false" ht="17.15" hidden="false" customHeight="false" outlineLevel="0" collapsed="false">
      <c r="A315" s="7" t="s">
        <v>425</v>
      </c>
      <c r="B315" s="4" t="s">
        <v>426</v>
      </c>
      <c r="C315" s="7" t="s">
        <v>54</v>
      </c>
      <c r="D315" s="7" t="s">
        <v>85</v>
      </c>
      <c r="E315" s="17" t="n">
        <v>45288</v>
      </c>
      <c r="F315" s="17" t="n">
        <v>45293</v>
      </c>
      <c r="G315" s="18" t="n">
        <v>36051</v>
      </c>
      <c r="H315" s="17" t="n">
        <v>45299</v>
      </c>
      <c r="I315" s="18" t="n">
        <v>33091</v>
      </c>
      <c r="J315" s="18" t="n">
        <v>33091</v>
      </c>
      <c r="K315" s="12" t="n">
        <f aca="false">I315/G315*(1-0.0025)/(1+0.001)-1</f>
        <v>-0.0853153254334913</v>
      </c>
      <c r="L315" s="4" t="n">
        <v>4</v>
      </c>
      <c r="M315" s="4" t="s">
        <v>80</v>
      </c>
    </row>
    <row r="316" customFormat="false" ht="17.15" hidden="false" customHeight="false" outlineLevel="0" collapsed="false">
      <c r="A316" s="7" t="s">
        <v>427</v>
      </c>
      <c r="B316" s="7" t="s">
        <v>428</v>
      </c>
      <c r="C316" s="7" t="s">
        <v>55</v>
      </c>
      <c r="D316" s="7" t="s">
        <v>96</v>
      </c>
      <c r="E316" s="17" t="n">
        <v>45271</v>
      </c>
      <c r="F316" s="17" t="n">
        <v>45272</v>
      </c>
      <c r="G316" s="18" t="n">
        <v>133600</v>
      </c>
      <c r="H316" s="17" t="n">
        <v>45300</v>
      </c>
      <c r="I316" s="18" t="n">
        <v>118860</v>
      </c>
      <c r="J316" s="18" t="n">
        <v>118860</v>
      </c>
      <c r="K316" s="12" t="n">
        <f aca="false">I316/G316*(1-0.0025)/(1+0.001)-1</f>
        <v>-0.113440077886185</v>
      </c>
      <c r="L316" s="4" t="n">
        <v>17</v>
      </c>
      <c r="M316" s="4" t="s">
        <v>80</v>
      </c>
    </row>
    <row r="317" customFormat="false" ht="17.15" hidden="false" customHeight="false" outlineLevel="0" collapsed="false">
      <c r="A317" s="7" t="s">
        <v>429</v>
      </c>
      <c r="B317" s="4" t="s">
        <v>430</v>
      </c>
      <c r="C317" s="7" t="s">
        <v>51</v>
      </c>
      <c r="D317" s="7" t="s">
        <v>117</v>
      </c>
      <c r="E317" s="17" t="n">
        <v>45271</v>
      </c>
      <c r="F317" s="17" t="n">
        <v>45272</v>
      </c>
      <c r="G317" s="18" t="n">
        <v>127000</v>
      </c>
      <c r="H317" s="17" t="n">
        <v>45303</v>
      </c>
      <c r="I317" s="18" t="n">
        <v>127500</v>
      </c>
      <c r="J317" s="18" t="n">
        <v>119510</v>
      </c>
      <c r="K317" s="12" t="n">
        <f aca="false">I317/G317*(1-0.0025)/(1+0.001)-1</f>
        <v>0.000426738615715072</v>
      </c>
      <c r="L317" s="4" t="n">
        <v>20</v>
      </c>
      <c r="M317" s="4" t="s">
        <v>76</v>
      </c>
    </row>
    <row r="318" customFormat="false" ht="17.15" hidden="false" customHeight="false" outlineLevel="0" collapsed="false">
      <c r="A318" s="7" t="s">
        <v>431</v>
      </c>
      <c r="B318" s="4" t="s">
        <v>432</v>
      </c>
      <c r="C318" s="7" t="s">
        <v>49</v>
      </c>
      <c r="D318" s="7" t="s">
        <v>124</v>
      </c>
      <c r="E318" s="17" t="n">
        <v>45271</v>
      </c>
      <c r="F318" s="17" t="n">
        <v>45272</v>
      </c>
      <c r="G318" s="18" t="n">
        <v>211500</v>
      </c>
      <c r="H318" s="17" t="n">
        <v>45307</v>
      </c>
      <c r="I318" s="18" t="n">
        <v>204500</v>
      </c>
      <c r="J318" s="18" t="n">
        <v>191170</v>
      </c>
      <c r="K318" s="12" t="n">
        <f aca="false">I318/G318*(1-0.0025)/(1+0.001)-1</f>
        <v>-0.0364777066904726</v>
      </c>
      <c r="L318" s="4" t="n">
        <v>22</v>
      </c>
      <c r="M318" s="4" t="s">
        <v>76</v>
      </c>
    </row>
    <row r="319" customFormat="false" ht="17.15" hidden="false" customHeight="false" outlineLevel="0" collapsed="false">
      <c r="A319" s="7" t="s">
        <v>330</v>
      </c>
      <c r="B319" s="4" t="s">
        <v>331</v>
      </c>
      <c r="C319" s="7" t="s">
        <v>49</v>
      </c>
      <c r="D319" s="7" t="s">
        <v>124</v>
      </c>
      <c r="E319" s="17" t="n">
        <v>45272</v>
      </c>
      <c r="F319" s="17" t="n">
        <v>45273</v>
      </c>
      <c r="G319" s="18" t="n">
        <v>33450</v>
      </c>
      <c r="H319" s="17" t="n">
        <v>45307</v>
      </c>
      <c r="I319" s="18" t="n">
        <v>30400</v>
      </c>
      <c r="J319" s="18" t="n">
        <v>29785</v>
      </c>
      <c r="K319" s="12" t="n">
        <f aca="false">I319/G319*(1-0.0025)/(1+0.001)-1</f>
        <v>-0.0943585562419642</v>
      </c>
      <c r="L319" s="4" t="n">
        <v>21</v>
      </c>
      <c r="M319" s="4" t="s">
        <v>76</v>
      </c>
    </row>
    <row r="320" customFormat="false" ht="17.15" hidden="false" customHeight="false" outlineLevel="0" collapsed="false">
      <c r="A320" s="7" t="s">
        <v>433</v>
      </c>
      <c r="B320" s="4" t="s">
        <v>434</v>
      </c>
      <c r="C320" s="7" t="s">
        <v>52</v>
      </c>
      <c r="D320" s="7" t="s">
        <v>79</v>
      </c>
      <c r="E320" s="17" t="n">
        <v>45299</v>
      </c>
      <c r="F320" s="17" t="n">
        <v>45300</v>
      </c>
      <c r="G320" s="18" t="n">
        <v>7190</v>
      </c>
      <c r="H320" s="17" t="n">
        <v>45308</v>
      </c>
      <c r="I320" s="18" t="n">
        <v>5813.5</v>
      </c>
      <c r="J320" s="18" t="n">
        <v>5813.5</v>
      </c>
      <c r="K320" s="12" t="n">
        <f aca="false">I320/G320*(1-0.0025)/(1+0.001)-1</f>
        <v>-0.194273563710281</v>
      </c>
      <c r="L320" s="4" t="n">
        <v>6</v>
      </c>
      <c r="M320" s="4" t="s">
        <v>80</v>
      </c>
    </row>
    <row r="321" customFormat="false" ht="17.15" hidden="false" customHeight="false" outlineLevel="0" collapsed="false">
      <c r="A321" s="7" t="s">
        <v>308</v>
      </c>
      <c r="B321" s="4" t="s">
        <v>309</v>
      </c>
      <c r="C321" s="7" t="s">
        <v>56</v>
      </c>
      <c r="D321" s="4" t="s">
        <v>93</v>
      </c>
      <c r="E321" s="17" t="n">
        <v>45302</v>
      </c>
      <c r="F321" s="17" t="n">
        <v>45303</v>
      </c>
      <c r="G321" s="18" t="n">
        <v>60900</v>
      </c>
      <c r="H321" s="17" t="n">
        <v>45313</v>
      </c>
      <c r="I321" s="18" t="n">
        <v>56700</v>
      </c>
      <c r="J321" s="18" t="n">
        <v>53995</v>
      </c>
      <c r="K321" s="12" t="n">
        <f aca="false">I321/G321*(1-0.0025)/(1+0.001)-1</f>
        <v>-0.07222088256571</v>
      </c>
      <c r="L321" s="4" t="n">
        <v>6</v>
      </c>
      <c r="M321" s="4" t="s">
        <v>76</v>
      </c>
    </row>
    <row r="322" customFormat="false" ht="17.15" hidden="false" customHeight="false" outlineLevel="0" collapsed="false">
      <c r="A322" s="7" t="s">
        <v>97</v>
      </c>
      <c r="B322" s="4" t="s">
        <v>98</v>
      </c>
      <c r="C322" s="7" t="s">
        <v>56</v>
      </c>
      <c r="D322" s="4" t="s">
        <v>90</v>
      </c>
      <c r="E322" s="17" t="n">
        <v>45300</v>
      </c>
      <c r="F322" s="17" t="n">
        <v>45301</v>
      </c>
      <c r="G322" s="18" t="n">
        <v>6170</v>
      </c>
      <c r="H322" s="17" t="n">
        <v>45317</v>
      </c>
      <c r="I322" s="18" t="n">
        <v>5880</v>
      </c>
      <c r="J322" s="18" t="n">
        <v>5546</v>
      </c>
      <c r="K322" s="12" t="n">
        <f aca="false">I322/G322*(1-0.0025)/(1+0.001)-1</f>
        <v>-0.0503337829107682</v>
      </c>
      <c r="L322" s="4" t="n">
        <v>12</v>
      </c>
      <c r="M322" s="4" t="s">
        <v>76</v>
      </c>
    </row>
    <row r="323" customFormat="false" ht="17.15" hidden="false" customHeight="false" outlineLevel="0" collapsed="false">
      <c r="A323" s="7" t="s">
        <v>435</v>
      </c>
      <c r="B323" s="4" t="s">
        <v>436</v>
      </c>
      <c r="C323" s="7" t="s">
        <v>56</v>
      </c>
      <c r="D323" s="4" t="s">
        <v>90</v>
      </c>
      <c r="E323" s="17" t="n">
        <v>45296</v>
      </c>
      <c r="F323" s="17" t="n">
        <v>45299</v>
      </c>
      <c r="G323" s="18" t="n">
        <v>26750</v>
      </c>
      <c r="H323" s="17" t="n">
        <v>45317</v>
      </c>
      <c r="I323" s="18" t="n">
        <v>23760</v>
      </c>
      <c r="J323" s="18" t="n">
        <v>23760</v>
      </c>
      <c r="K323" s="12" t="n">
        <f aca="false">I323/G323*(1-0.0025)/(1+0.001)-1</f>
        <v>-0.114881380301941</v>
      </c>
      <c r="L323" s="4" t="n">
        <v>14</v>
      </c>
      <c r="M323" s="4" t="s">
        <v>80</v>
      </c>
    </row>
    <row r="324" customFormat="false" ht="17.15" hidden="false" customHeight="false" outlineLevel="0" collapsed="false">
      <c r="A324" s="7" t="s">
        <v>399</v>
      </c>
      <c r="B324" s="4" t="s">
        <v>400</v>
      </c>
      <c r="C324" s="7" t="s">
        <v>50</v>
      </c>
      <c r="D324" s="7" t="s">
        <v>105</v>
      </c>
      <c r="E324" s="17" t="n">
        <v>45273</v>
      </c>
      <c r="F324" s="17" t="n">
        <v>45274</v>
      </c>
      <c r="G324" s="18" t="n">
        <v>177400</v>
      </c>
      <c r="H324" s="17" t="n">
        <v>45321</v>
      </c>
      <c r="I324" s="18" t="n">
        <v>162600</v>
      </c>
      <c r="J324" s="18" t="n">
        <v>148100</v>
      </c>
      <c r="K324" s="12" t="n">
        <f aca="false">I324/G324*(1-0.0025)/(1+0.001)-1</f>
        <v>-0.0866320826861975</v>
      </c>
      <c r="L324" s="4" t="n">
        <v>30</v>
      </c>
      <c r="M324" s="4" t="s">
        <v>76</v>
      </c>
    </row>
    <row r="325" customFormat="false" ht="17.15" hidden="false" customHeight="false" outlineLevel="0" collapsed="false">
      <c r="A325" s="7" t="s">
        <v>437</v>
      </c>
      <c r="B325" s="4" t="s">
        <v>438</v>
      </c>
      <c r="C325" s="7" t="s">
        <v>54</v>
      </c>
      <c r="D325" s="7" t="s">
        <v>85</v>
      </c>
      <c r="E325" s="17" t="n">
        <v>45310</v>
      </c>
      <c r="F325" s="17" t="n">
        <v>45313</v>
      </c>
      <c r="G325" s="18" t="n">
        <v>74600</v>
      </c>
      <c r="H325" s="17" t="n">
        <v>45321</v>
      </c>
      <c r="I325" s="18" t="n">
        <v>67050</v>
      </c>
      <c r="J325" s="18" t="n">
        <v>67050</v>
      </c>
      <c r="K325" s="12" t="n">
        <f aca="false">I325/G325*(1-0.0025)/(1+0.001)-1</f>
        <v>-0.104349069161402</v>
      </c>
      <c r="L325" s="4" t="n">
        <v>6</v>
      </c>
      <c r="M325" s="4" t="s">
        <v>80</v>
      </c>
    </row>
    <row r="326" customFormat="false" ht="17.15" hidden="false" customHeight="false" outlineLevel="0" collapsed="false">
      <c r="A326" s="7" t="s">
        <v>88</v>
      </c>
      <c r="B326" s="4" t="s">
        <v>89</v>
      </c>
      <c r="C326" s="7" t="s">
        <v>56</v>
      </c>
      <c r="D326" s="4" t="s">
        <v>90</v>
      </c>
      <c r="E326" s="17" t="n">
        <v>45321</v>
      </c>
      <c r="F326" s="17" t="n">
        <v>45322</v>
      </c>
      <c r="G326" s="18" t="n">
        <v>59478</v>
      </c>
      <c r="H326" s="17" t="n">
        <v>45323</v>
      </c>
      <c r="I326" s="18" t="n">
        <v>58863</v>
      </c>
      <c r="J326" s="18" t="n">
        <v>52868.2</v>
      </c>
      <c r="K326" s="12" t="n">
        <f aca="false">I326/G326*(1-0.0025)/(1+0.001)-1</f>
        <v>-0.0138003074298846</v>
      </c>
      <c r="L326" s="4" t="n">
        <v>1</v>
      </c>
      <c r="M326" s="4" t="s">
        <v>76</v>
      </c>
    </row>
    <row r="327" customFormat="false" ht="17.15" hidden="false" customHeight="false" outlineLevel="0" collapsed="false">
      <c r="A327" s="7" t="s">
        <v>439</v>
      </c>
      <c r="B327" s="4" t="s">
        <v>440</v>
      </c>
      <c r="C327" s="7" t="s">
        <v>49</v>
      </c>
      <c r="D327" s="7" t="s">
        <v>124</v>
      </c>
      <c r="E327" s="17" t="n">
        <v>45308</v>
      </c>
      <c r="F327" s="17" t="n">
        <v>45309</v>
      </c>
      <c r="G327" s="18" t="n">
        <v>55500</v>
      </c>
      <c r="H327" s="17" t="n">
        <v>45348</v>
      </c>
      <c r="I327" s="18" t="n">
        <v>55900</v>
      </c>
      <c r="J327" s="18" t="n">
        <v>51960</v>
      </c>
      <c r="K327" s="12" t="n">
        <f aca="false">I327/G327*(1-0.0025)/(1+0.001)-1</f>
        <v>0.00368550368550369</v>
      </c>
      <c r="L327" s="4" t="n">
        <v>25</v>
      </c>
      <c r="M327" s="4" t="s">
        <v>76</v>
      </c>
    </row>
    <row r="328" customFormat="false" ht="17.15" hidden="false" customHeight="false" outlineLevel="0" collapsed="false">
      <c r="A328" s="7" t="s">
        <v>435</v>
      </c>
      <c r="B328" s="4" t="s">
        <v>436</v>
      </c>
      <c r="C328" s="7" t="s">
        <v>56</v>
      </c>
      <c r="D328" s="4" t="s">
        <v>93</v>
      </c>
      <c r="E328" s="17" t="n">
        <v>45345</v>
      </c>
      <c r="F328" s="17" t="n">
        <v>45348</v>
      </c>
      <c r="G328" s="18" t="n">
        <v>24800</v>
      </c>
      <c r="H328" s="17" t="n">
        <v>45349</v>
      </c>
      <c r="I328" s="18" t="n">
        <v>24150</v>
      </c>
      <c r="J328" s="18" t="n">
        <v>22803</v>
      </c>
      <c r="K328" s="12" t="n">
        <f aca="false">I328/G328*(1-0.0025)/(1+0.001)-1</f>
        <v>-0.0296145386871192</v>
      </c>
      <c r="L328" s="4" t="n">
        <v>1</v>
      </c>
      <c r="M328" s="4" t="s">
        <v>76</v>
      </c>
    </row>
    <row r="329" customFormat="false" ht="17.15" hidden="false" customHeight="false" outlineLevel="0" collapsed="false">
      <c r="A329" s="7" t="s">
        <v>441</v>
      </c>
      <c r="B329" s="7" t="s">
        <v>442</v>
      </c>
      <c r="C329" s="7" t="s">
        <v>52</v>
      </c>
      <c r="D329" s="7" t="s">
        <v>79</v>
      </c>
      <c r="E329" s="17" t="n">
        <v>45320</v>
      </c>
      <c r="F329" s="17" t="n">
        <v>45321</v>
      </c>
      <c r="G329" s="18" t="n">
        <v>133600</v>
      </c>
      <c r="H329" s="17" t="n">
        <v>45349</v>
      </c>
      <c r="I329" s="18" t="n">
        <v>126800</v>
      </c>
      <c r="J329" s="18" t="n">
        <v>126800</v>
      </c>
      <c r="K329" s="12" t="n">
        <f aca="false">I329/G329*(1-0.0025)/(1+0.001)-1</f>
        <v>-0.0542167413424897</v>
      </c>
      <c r="L329" s="4" t="n">
        <v>18</v>
      </c>
      <c r="M329" s="4" t="s">
        <v>80</v>
      </c>
    </row>
    <row r="330" customFormat="false" ht="17.15" hidden="false" customHeight="false" outlineLevel="0" collapsed="false">
      <c r="A330" s="7" t="s">
        <v>443</v>
      </c>
      <c r="B330" s="4" t="s">
        <v>444</v>
      </c>
      <c r="C330" s="7" t="s">
        <v>56</v>
      </c>
      <c r="D330" s="4" t="s">
        <v>93</v>
      </c>
      <c r="E330" s="17" t="n">
        <v>45306</v>
      </c>
      <c r="F330" s="17" t="n">
        <v>45307</v>
      </c>
      <c r="G330" s="18" t="n">
        <v>26050</v>
      </c>
      <c r="H330" s="17" t="n">
        <v>45351</v>
      </c>
      <c r="I330" s="18" t="n">
        <v>22736</v>
      </c>
      <c r="J330" s="18" t="n">
        <v>22736</v>
      </c>
      <c r="K330" s="12" t="n">
        <f aca="false">I330/G330*(1-0.0025)/(1+0.001)-1</f>
        <v>-0.130268579788733</v>
      </c>
      <c r="L330" s="4" t="n">
        <v>30</v>
      </c>
      <c r="M330" s="4" t="s">
        <v>80</v>
      </c>
    </row>
    <row r="331" customFormat="false" ht="17.15" hidden="false" customHeight="false" outlineLevel="0" collapsed="false">
      <c r="A331" s="7" t="s">
        <v>118</v>
      </c>
      <c r="B331" s="4" t="s">
        <v>119</v>
      </c>
      <c r="C331" s="7" t="s">
        <v>49</v>
      </c>
      <c r="D331" s="7" t="s">
        <v>124</v>
      </c>
      <c r="E331" s="17" t="n">
        <v>45322</v>
      </c>
      <c r="F331" s="17" t="n">
        <v>45323</v>
      </c>
      <c r="G331" s="18" t="n">
        <v>74100</v>
      </c>
      <c r="H331" s="17" t="n">
        <v>45351</v>
      </c>
      <c r="I331" s="18" t="n">
        <v>64630</v>
      </c>
      <c r="J331" s="18" t="n">
        <v>64630</v>
      </c>
      <c r="K331" s="12" t="n">
        <f aca="false">I331/G331*(1-0.0025)/(1+0.001)-1</f>
        <v>-0.130849919311458</v>
      </c>
      <c r="L331" s="4" t="n">
        <v>18</v>
      </c>
      <c r="M331" s="4" t="s">
        <v>80</v>
      </c>
    </row>
    <row r="332" customFormat="false" ht="17.15" hidden="false" customHeight="false" outlineLevel="0" collapsed="false">
      <c r="A332" s="7" t="s">
        <v>103</v>
      </c>
      <c r="B332" s="4" t="s">
        <v>104</v>
      </c>
      <c r="C332" s="7" t="s">
        <v>55</v>
      </c>
      <c r="D332" s="7" t="s">
        <v>96</v>
      </c>
      <c r="E332" s="17" t="n">
        <v>45349</v>
      </c>
      <c r="F332" s="17" t="n">
        <v>45350</v>
      </c>
      <c r="G332" s="18" t="n">
        <v>108786</v>
      </c>
      <c r="H332" s="17" t="n">
        <v>45356</v>
      </c>
      <c r="I332" s="18" t="n">
        <v>100225.2</v>
      </c>
      <c r="J332" s="18" t="n">
        <v>100225.2</v>
      </c>
      <c r="K332" s="12" t="n">
        <f aca="false">I332/G332*(1-0.0025)/(1+0.001)-1</f>
        <v>-0.081915299415713</v>
      </c>
      <c r="L332" s="4" t="n">
        <v>3</v>
      </c>
      <c r="M332" s="4" t="s">
        <v>80</v>
      </c>
    </row>
    <row r="333" customFormat="false" ht="17.15" hidden="false" customHeight="false" outlineLevel="0" collapsed="false">
      <c r="A333" s="7" t="s">
        <v>268</v>
      </c>
      <c r="B333" s="4" t="s">
        <v>269</v>
      </c>
      <c r="C333" s="7" t="s">
        <v>51</v>
      </c>
      <c r="D333" s="7" t="s">
        <v>117</v>
      </c>
      <c r="E333" s="17" t="n">
        <v>45351</v>
      </c>
      <c r="F333" s="17" t="n">
        <v>45355</v>
      </c>
      <c r="G333" s="18" t="n">
        <v>28277</v>
      </c>
      <c r="H333" s="17" t="n">
        <v>45365</v>
      </c>
      <c r="I333" s="18" t="n">
        <v>26034</v>
      </c>
      <c r="J333" s="18" t="n">
        <v>22020.7</v>
      </c>
      <c r="K333" s="12" t="n">
        <f aca="false">I333/G333*(1-0.0025)/(1+0.001)-1</f>
        <v>-0.0825415698987859</v>
      </c>
      <c r="L333" s="4" t="n">
        <v>8</v>
      </c>
      <c r="M333" s="4" t="s">
        <v>76</v>
      </c>
    </row>
    <row r="334" customFormat="false" ht="17.15" hidden="false" customHeight="false" outlineLevel="0" collapsed="false">
      <c r="A334" s="7" t="s">
        <v>443</v>
      </c>
      <c r="B334" s="4" t="s">
        <v>444</v>
      </c>
      <c r="C334" s="7" t="s">
        <v>51</v>
      </c>
      <c r="D334" s="7" t="s">
        <v>117</v>
      </c>
      <c r="E334" s="17" t="n">
        <v>45364</v>
      </c>
      <c r="F334" s="17" t="n">
        <v>45365</v>
      </c>
      <c r="G334" s="18" t="n">
        <v>21400</v>
      </c>
      <c r="H334" s="17" t="n">
        <v>45366</v>
      </c>
      <c r="I334" s="18" t="n">
        <v>21300</v>
      </c>
      <c r="J334" s="18" t="n">
        <v>19445</v>
      </c>
      <c r="K334" s="12" t="n">
        <f aca="false">I334/G334*(1-0.0025)/(1+0.001)-1</f>
        <v>-0.00815306189137943</v>
      </c>
      <c r="L334" s="4" t="n">
        <v>1</v>
      </c>
      <c r="M334" s="4" t="s">
        <v>76</v>
      </c>
    </row>
    <row r="335" customFormat="false" ht="17.15" hidden="false" customHeight="false" outlineLevel="0" collapsed="false">
      <c r="A335" s="7" t="s">
        <v>356</v>
      </c>
      <c r="B335" s="4" t="s">
        <v>357</v>
      </c>
      <c r="C335" s="7" t="s">
        <v>52</v>
      </c>
      <c r="D335" s="7" t="s">
        <v>382</v>
      </c>
      <c r="E335" s="17" t="n">
        <v>45365</v>
      </c>
      <c r="F335" s="17" t="n">
        <v>45366</v>
      </c>
      <c r="G335" s="18" t="n">
        <v>43400</v>
      </c>
      <c r="H335" s="17" t="n">
        <v>45369</v>
      </c>
      <c r="I335" s="18" t="n">
        <v>41215</v>
      </c>
      <c r="J335" s="18" t="n">
        <v>41215</v>
      </c>
      <c r="K335" s="12" t="n">
        <f aca="false">I335/G335*(1-0.0025)/(1+0.001)-1</f>
        <v>-0.0536660919725434</v>
      </c>
      <c r="L335" s="4" t="n">
        <v>1</v>
      </c>
      <c r="M335" s="4" t="s">
        <v>80</v>
      </c>
    </row>
    <row r="336" customFormat="false" ht="17.15" hidden="false" customHeight="false" outlineLevel="0" collapsed="false">
      <c r="A336" s="7" t="s">
        <v>97</v>
      </c>
      <c r="B336" s="4" t="s">
        <v>98</v>
      </c>
      <c r="C336" s="7" t="s">
        <v>52</v>
      </c>
      <c r="D336" s="7" t="s">
        <v>79</v>
      </c>
      <c r="E336" s="17" t="n">
        <v>45351</v>
      </c>
      <c r="F336" s="17" t="n">
        <v>45355</v>
      </c>
      <c r="G336" s="18" t="n">
        <v>9960</v>
      </c>
      <c r="H336" s="17" t="n">
        <v>45370</v>
      </c>
      <c r="I336" s="18" t="n">
        <v>8625</v>
      </c>
      <c r="J336" s="18" t="n">
        <v>8625</v>
      </c>
      <c r="K336" s="12" t="n">
        <f aca="false">I336/G336*(1-0.0025)/(1+0.001)-1</f>
        <v>-0.137063990226641</v>
      </c>
      <c r="L336" s="4" t="n">
        <v>11</v>
      </c>
      <c r="M336" s="4" t="s">
        <v>80</v>
      </c>
    </row>
    <row r="337" customFormat="false" ht="17.15" hidden="false" customHeight="false" outlineLevel="0" collapsed="false">
      <c r="A337" s="7" t="s">
        <v>419</v>
      </c>
      <c r="B337" s="4" t="s">
        <v>420</v>
      </c>
      <c r="C337" s="7" t="s">
        <v>56</v>
      </c>
      <c r="D337" s="4" t="s">
        <v>90</v>
      </c>
      <c r="E337" s="17" t="n">
        <v>45306</v>
      </c>
      <c r="F337" s="17" t="n">
        <v>45307</v>
      </c>
      <c r="G337" s="18" t="n">
        <v>22450</v>
      </c>
      <c r="H337" s="17" t="n">
        <v>45377</v>
      </c>
      <c r="I337" s="18" t="n">
        <v>24250</v>
      </c>
      <c r="J337" s="18" t="n">
        <v>17586</v>
      </c>
      <c r="K337" s="12" t="n">
        <f aca="false">I337/G337*(1-0.0025)/(1+0.001)-1</f>
        <v>0.0764013269581199</v>
      </c>
      <c r="L337" s="4" t="n">
        <v>47</v>
      </c>
      <c r="M337" s="4" t="s">
        <v>76</v>
      </c>
    </row>
    <row r="338" customFormat="false" ht="17.15" hidden="false" customHeight="false" outlineLevel="0" collapsed="false">
      <c r="A338" s="7" t="s">
        <v>88</v>
      </c>
      <c r="B338" s="4" t="s">
        <v>89</v>
      </c>
      <c r="C338" s="7" t="s">
        <v>52</v>
      </c>
      <c r="D338" s="7" t="s">
        <v>79</v>
      </c>
      <c r="E338" s="17" t="n">
        <v>45356</v>
      </c>
      <c r="F338" s="17" t="n">
        <v>45357</v>
      </c>
      <c r="G338" s="18" t="n">
        <v>149427</v>
      </c>
      <c r="H338" s="17" t="n">
        <v>45385</v>
      </c>
      <c r="I338" s="18" t="n">
        <v>129244.2</v>
      </c>
      <c r="J338" s="18" t="n">
        <v>129244.2</v>
      </c>
      <c r="K338" s="12" t="n">
        <f aca="false">I338/G338*(1-0.0025)/(1+0.001)-1</f>
        <v>-0.13809219750917</v>
      </c>
      <c r="L338" s="4" t="n">
        <v>20</v>
      </c>
      <c r="M338" s="4" t="s">
        <v>80</v>
      </c>
    </row>
    <row r="339" customFormat="false" ht="17.15" hidden="false" customHeight="false" outlineLevel="0" collapsed="false">
      <c r="A339" s="7" t="s">
        <v>270</v>
      </c>
      <c r="B339" s="4" t="s">
        <v>271</v>
      </c>
      <c r="C339" s="7" t="s">
        <v>56</v>
      </c>
      <c r="D339" s="4" t="s">
        <v>114</v>
      </c>
      <c r="E339" s="17" t="n">
        <v>45369</v>
      </c>
      <c r="F339" s="17" t="n">
        <v>45370</v>
      </c>
      <c r="G339" s="18" t="n">
        <v>51867</v>
      </c>
      <c r="H339" s="17" t="n">
        <v>45385</v>
      </c>
      <c r="I339" s="18" t="n">
        <v>38297.1</v>
      </c>
      <c r="J339" s="18" t="n">
        <v>38297.1</v>
      </c>
      <c r="K339" s="12" t="n">
        <f aca="false">I339/G339*(1-0.0025)/(1+0.001)-1</f>
        <v>-0.264210498853914</v>
      </c>
      <c r="L339" s="4" t="n">
        <v>11</v>
      </c>
      <c r="M339" s="4" t="s">
        <v>80</v>
      </c>
    </row>
    <row r="340" customFormat="false" ht="17.15" hidden="false" customHeight="false" outlineLevel="0" collapsed="false">
      <c r="A340" s="7" t="s">
        <v>445</v>
      </c>
      <c r="B340" s="7" t="s">
        <v>446</v>
      </c>
      <c r="C340" s="7" t="s">
        <v>56</v>
      </c>
      <c r="D340" s="4" t="s">
        <v>90</v>
      </c>
      <c r="E340" s="17" t="n">
        <v>45376</v>
      </c>
      <c r="F340" s="17" t="n">
        <v>45377</v>
      </c>
      <c r="G340" s="18" t="n">
        <v>51900</v>
      </c>
      <c r="H340" s="17" t="n">
        <v>45385</v>
      </c>
      <c r="I340" s="18" t="n">
        <v>48440</v>
      </c>
      <c r="J340" s="18" t="n">
        <v>48440</v>
      </c>
      <c r="K340" s="12" t="n">
        <f aca="false">I340/G340*(1-0.0025)/(1+0.001)-1</f>
        <v>-0.0699300699300698</v>
      </c>
      <c r="L340" s="4" t="n">
        <v>6</v>
      </c>
      <c r="M340" s="4" t="s">
        <v>80</v>
      </c>
    </row>
    <row r="341" customFormat="false" ht="17.15" hidden="false" customHeight="false" outlineLevel="0" collapsed="false">
      <c r="A341" s="7" t="s">
        <v>374</v>
      </c>
      <c r="B341" s="4" t="s">
        <v>375</v>
      </c>
      <c r="C341" s="7" t="s">
        <v>52</v>
      </c>
      <c r="D341" s="7" t="s">
        <v>79</v>
      </c>
      <c r="E341" s="17" t="n">
        <v>45384</v>
      </c>
      <c r="F341" s="17" t="n">
        <v>45385</v>
      </c>
      <c r="G341" s="18" t="n">
        <v>232254</v>
      </c>
      <c r="H341" s="17" t="n">
        <v>45387</v>
      </c>
      <c r="I341" s="18" t="n">
        <v>219796.9</v>
      </c>
      <c r="J341" s="18" t="n">
        <v>219796.9</v>
      </c>
      <c r="K341" s="12" t="n">
        <f aca="false">I341/G341*(1-0.0025)/(1+0.001)-1</f>
        <v>-0.0569446409076726</v>
      </c>
      <c r="L341" s="4" t="n">
        <v>2</v>
      </c>
      <c r="M341" s="4" t="s">
        <v>80</v>
      </c>
    </row>
    <row r="342" customFormat="false" ht="17.15" hidden="false" customHeight="false" outlineLevel="0" collapsed="false">
      <c r="A342" s="7" t="s">
        <v>447</v>
      </c>
      <c r="B342" s="4" t="s">
        <v>448</v>
      </c>
      <c r="C342" s="7" t="s">
        <v>52</v>
      </c>
      <c r="D342" s="7" t="s">
        <v>79</v>
      </c>
      <c r="E342" s="17" t="n">
        <v>45274</v>
      </c>
      <c r="F342" s="17" t="n">
        <v>45275</v>
      </c>
      <c r="G342" s="18" t="n">
        <v>6330</v>
      </c>
      <c r="H342" s="17" t="n">
        <v>45390</v>
      </c>
      <c r="I342" s="18" t="n">
        <v>13090</v>
      </c>
      <c r="J342" s="18" t="n">
        <v>6391</v>
      </c>
      <c r="K342" s="12" t="n">
        <f aca="false">I342/G342*(1-0.0025)/(1+0.001)-1</f>
        <v>1.06069996354357</v>
      </c>
      <c r="L342" s="4" t="n">
        <v>75</v>
      </c>
      <c r="M342" s="4" t="s">
        <v>76</v>
      </c>
    </row>
    <row r="343" customFormat="false" ht="17.15" hidden="false" customHeight="false" outlineLevel="0" collapsed="false">
      <c r="A343" s="7" t="s">
        <v>419</v>
      </c>
      <c r="B343" s="4" t="s">
        <v>420</v>
      </c>
      <c r="C343" s="7" t="s">
        <v>56</v>
      </c>
      <c r="D343" s="4" t="s">
        <v>114</v>
      </c>
      <c r="E343" s="17" t="n">
        <v>45386</v>
      </c>
      <c r="F343" s="17" t="n">
        <v>45387</v>
      </c>
      <c r="G343" s="18" t="n">
        <v>26700</v>
      </c>
      <c r="H343" s="17" t="n">
        <v>45390</v>
      </c>
      <c r="I343" s="18" t="n">
        <v>27100</v>
      </c>
      <c r="J343" s="18" t="n">
        <v>24810</v>
      </c>
      <c r="K343" s="12" t="n">
        <f aca="false">I343/G343*(1-0.0025)/(1+0.001)-1</f>
        <v>0.0114323878368825</v>
      </c>
      <c r="L343" s="4" t="n">
        <v>1</v>
      </c>
      <c r="M343" s="4" t="s">
        <v>76</v>
      </c>
    </row>
    <row r="344" customFormat="false" ht="17.15" hidden="false" customHeight="false" outlineLevel="0" collapsed="false">
      <c r="A344" s="7" t="s">
        <v>280</v>
      </c>
      <c r="B344" s="4" t="s">
        <v>281</v>
      </c>
      <c r="C344" s="7" t="s">
        <v>53</v>
      </c>
      <c r="D344" s="7" t="s">
        <v>131</v>
      </c>
      <c r="E344" s="17" t="n">
        <v>45295</v>
      </c>
      <c r="F344" s="17" t="n">
        <v>45296</v>
      </c>
      <c r="G344" s="18" t="n">
        <v>58000</v>
      </c>
      <c r="H344" s="17" t="n">
        <v>45394</v>
      </c>
      <c r="I344" s="18" t="n">
        <v>93000</v>
      </c>
      <c r="J344" s="18" t="n">
        <v>48110</v>
      </c>
      <c r="K344" s="12" t="n">
        <f aca="false">I344/G344*(1-0.0025)/(1+0.001)-1</f>
        <v>0.597841813359055</v>
      </c>
      <c r="L344" s="4" t="n">
        <v>66</v>
      </c>
      <c r="M344" s="4" t="s">
        <v>76</v>
      </c>
    </row>
    <row r="345" customFormat="false" ht="17.15" hidden="false" customHeight="false" outlineLevel="0" collapsed="false">
      <c r="A345" s="7" t="s">
        <v>419</v>
      </c>
      <c r="B345" s="4" t="s">
        <v>420</v>
      </c>
      <c r="C345" s="7" t="s">
        <v>56</v>
      </c>
      <c r="D345" s="4" t="s">
        <v>90</v>
      </c>
      <c r="E345" s="17" t="n">
        <v>45393</v>
      </c>
      <c r="F345" s="17" t="n">
        <v>45394</v>
      </c>
      <c r="G345" s="18" t="n">
        <v>24900</v>
      </c>
      <c r="H345" s="17" t="n">
        <v>45397</v>
      </c>
      <c r="I345" s="18" t="n">
        <v>24200</v>
      </c>
      <c r="J345" s="18" t="n">
        <v>21665</v>
      </c>
      <c r="K345" s="12" t="n">
        <f aca="false">I345/G345*(1-0.0025)/(1+0.001)-1</f>
        <v>-0.031510658016682</v>
      </c>
      <c r="L345" s="4" t="n">
        <v>1</v>
      </c>
      <c r="M345" s="4" t="s">
        <v>76</v>
      </c>
    </row>
    <row r="346" customFormat="false" ht="17.15" hidden="false" customHeight="false" outlineLevel="0" collapsed="false">
      <c r="A346" s="7" t="s">
        <v>248</v>
      </c>
      <c r="B346" s="7" t="s">
        <v>249</v>
      </c>
      <c r="C346" s="7" t="s">
        <v>48</v>
      </c>
      <c r="D346" s="7" t="s">
        <v>75</v>
      </c>
      <c r="E346" s="17" t="n">
        <v>45387</v>
      </c>
      <c r="F346" s="17" t="n">
        <v>45390</v>
      </c>
      <c r="G346" s="18" t="n">
        <v>136572</v>
      </c>
      <c r="H346" s="17" t="n">
        <v>45397</v>
      </c>
      <c r="I346" s="18" t="n">
        <v>115320.5</v>
      </c>
      <c r="J346" s="18" t="n">
        <v>115320.5</v>
      </c>
      <c r="K346" s="12" t="n">
        <f aca="false">I346/G346*(1-0.0025)/(1+0.001)-1</f>
        <v>-0.15855899109238</v>
      </c>
      <c r="L346" s="4" t="n">
        <v>4</v>
      </c>
      <c r="M346" s="4" t="s">
        <v>80</v>
      </c>
    </row>
    <row r="347" customFormat="false" ht="17.15" hidden="false" customHeight="false" outlineLevel="0" collapsed="false">
      <c r="A347" s="7" t="s">
        <v>262</v>
      </c>
      <c r="B347" s="4" t="s">
        <v>263</v>
      </c>
      <c r="C347" s="7" t="s">
        <v>56</v>
      </c>
      <c r="D347" s="4" t="s">
        <v>93</v>
      </c>
      <c r="E347" s="17" t="n">
        <v>45348</v>
      </c>
      <c r="F347" s="17" t="n">
        <v>45349</v>
      </c>
      <c r="G347" s="18" t="n">
        <v>55000</v>
      </c>
      <c r="H347" s="17" t="n">
        <v>45400</v>
      </c>
      <c r="I347" s="18" t="n">
        <v>59400</v>
      </c>
      <c r="J347" s="18" t="n">
        <v>51455</v>
      </c>
      <c r="K347" s="12" t="n">
        <f aca="false">I347/G347*(1-0.0025)/(1+0.001)-1</f>
        <v>0.0762237762237765</v>
      </c>
      <c r="L347" s="4" t="n">
        <v>35</v>
      </c>
      <c r="M347" s="4" t="s">
        <v>76</v>
      </c>
    </row>
    <row r="348" customFormat="false" ht="17.15" hidden="false" customHeight="false" outlineLevel="0" collapsed="false">
      <c r="A348" s="7" t="s">
        <v>252</v>
      </c>
      <c r="B348" s="4" t="s">
        <v>253</v>
      </c>
      <c r="C348" s="7" t="s">
        <v>52</v>
      </c>
      <c r="D348" s="7" t="s">
        <v>79</v>
      </c>
      <c r="E348" s="17" t="n">
        <v>45393</v>
      </c>
      <c r="F348" s="17" t="n">
        <v>45394</v>
      </c>
      <c r="G348" s="18" t="n">
        <v>38600</v>
      </c>
      <c r="H348" s="17" t="n">
        <v>45401</v>
      </c>
      <c r="I348" s="18" t="n">
        <v>33170</v>
      </c>
      <c r="J348" s="18" t="n">
        <v>33170</v>
      </c>
      <c r="K348" s="12" t="n">
        <f aca="false">I348/G348*(1-0.0025)/(1+0.001)-1</f>
        <v>-0.143678212978731</v>
      </c>
      <c r="L348" s="4" t="n">
        <v>5</v>
      </c>
      <c r="M348" s="4" t="s">
        <v>80</v>
      </c>
    </row>
    <row r="349" customFormat="false" ht="17.15" hidden="false" customHeight="false" outlineLevel="0" collapsed="false">
      <c r="A349" s="7" t="s">
        <v>449</v>
      </c>
      <c r="B349" s="4" t="s">
        <v>450</v>
      </c>
      <c r="C349" s="7" t="s">
        <v>56</v>
      </c>
      <c r="D349" s="4" t="s">
        <v>90</v>
      </c>
      <c r="E349" s="17" t="n">
        <v>45385</v>
      </c>
      <c r="F349" s="17" t="n">
        <v>45386</v>
      </c>
      <c r="G349" s="18" t="n">
        <v>107400</v>
      </c>
      <c r="H349" s="17" t="n">
        <v>45404</v>
      </c>
      <c r="I349" s="18" t="n">
        <v>90560</v>
      </c>
      <c r="J349" s="18" t="n">
        <v>90560</v>
      </c>
      <c r="K349" s="12" t="n">
        <f aca="false">I349/G349*(1-0.0025)/(1+0.001)-1</f>
        <v>-0.15974528265031</v>
      </c>
      <c r="L349" s="4" t="n">
        <v>11</v>
      </c>
      <c r="M349" s="4" t="s">
        <v>80</v>
      </c>
    </row>
    <row r="350" customFormat="false" ht="17.15" hidden="false" customHeight="false" outlineLevel="0" collapsed="false">
      <c r="A350" s="7" t="s">
        <v>97</v>
      </c>
      <c r="B350" s="4" t="s">
        <v>98</v>
      </c>
      <c r="C350" s="7" t="s">
        <v>48</v>
      </c>
      <c r="D350" s="7" t="s">
        <v>75</v>
      </c>
      <c r="E350" s="17" t="n">
        <v>45404</v>
      </c>
      <c r="F350" s="17" t="n">
        <v>45405</v>
      </c>
      <c r="G350" s="18" t="n">
        <v>8900</v>
      </c>
      <c r="H350" s="17" t="n">
        <v>45412</v>
      </c>
      <c r="I350" s="18" t="n">
        <v>8600</v>
      </c>
      <c r="J350" s="18" t="n">
        <v>8033</v>
      </c>
      <c r="K350" s="12" t="n">
        <f aca="false">I350/G350*(1-0.0025)/(1+0.001)-1</f>
        <v>-0.0370865089966213</v>
      </c>
      <c r="L350" s="4" t="n">
        <v>5</v>
      </c>
      <c r="M350" s="4" t="s">
        <v>76</v>
      </c>
    </row>
    <row r="351" customFormat="false" ht="17.15" hidden="false" customHeight="false" outlineLevel="0" collapsed="false">
      <c r="A351" s="7" t="s">
        <v>451</v>
      </c>
      <c r="B351" s="4" t="s">
        <v>452</v>
      </c>
      <c r="C351" s="7" t="s">
        <v>56</v>
      </c>
      <c r="D351" s="4" t="s">
        <v>114</v>
      </c>
      <c r="E351" s="17" t="n">
        <v>45317</v>
      </c>
      <c r="F351" s="17" t="n">
        <v>45320</v>
      </c>
      <c r="G351" s="18" t="n">
        <v>169500</v>
      </c>
      <c r="H351" s="17" t="n">
        <v>45419</v>
      </c>
      <c r="I351" s="18" t="n">
        <v>269000</v>
      </c>
      <c r="J351" s="18" t="n">
        <v>110290</v>
      </c>
      <c r="K351" s="12" t="n">
        <f aca="false">I351/G351*(1-0.0025)/(1+0.001)-1</f>
        <v>0.581471625719414</v>
      </c>
      <c r="L351" s="4" t="n">
        <v>65</v>
      </c>
      <c r="M351" s="4" t="s">
        <v>76</v>
      </c>
    </row>
    <row r="352" customFormat="false" ht="17.15" hidden="false" customHeight="false" outlineLevel="0" collapsed="false">
      <c r="A352" s="7" t="s">
        <v>443</v>
      </c>
      <c r="B352" s="4" t="s">
        <v>444</v>
      </c>
      <c r="C352" s="7" t="s">
        <v>53</v>
      </c>
      <c r="D352" s="7" t="s">
        <v>131</v>
      </c>
      <c r="E352" s="17" t="n">
        <v>45415</v>
      </c>
      <c r="F352" s="17" t="n">
        <v>45419</v>
      </c>
      <c r="G352" s="18" t="n">
        <v>27550</v>
      </c>
      <c r="H352" s="17" t="n">
        <v>45425</v>
      </c>
      <c r="I352" s="18" t="n">
        <v>24652</v>
      </c>
      <c r="J352" s="18" t="n">
        <v>24652</v>
      </c>
      <c r="K352" s="12" t="n">
        <f aca="false">I352/G352*(1-0.0025)/(1+0.001)-1</f>
        <v>-0.108319266939956</v>
      </c>
      <c r="L352" s="4" t="n">
        <v>4</v>
      </c>
      <c r="M352" s="4" t="s">
        <v>80</v>
      </c>
    </row>
    <row r="353" customFormat="false" ht="17.15" hidden="false" customHeight="false" outlineLevel="0" collapsed="false">
      <c r="A353" s="7" t="s">
        <v>88</v>
      </c>
      <c r="B353" s="4" t="s">
        <v>89</v>
      </c>
      <c r="C353" s="7" t="s">
        <v>49</v>
      </c>
      <c r="D353" s="7" t="s">
        <v>124</v>
      </c>
      <c r="E353" s="17" t="n">
        <v>45394</v>
      </c>
      <c r="F353" s="17" t="n">
        <v>45397</v>
      </c>
      <c r="G353" s="18" t="n">
        <v>131807</v>
      </c>
      <c r="H353" s="17" t="n">
        <v>45426</v>
      </c>
      <c r="I353" s="18" t="n">
        <v>127498</v>
      </c>
      <c r="J353" s="18" t="n">
        <v>114278.6</v>
      </c>
      <c r="K353" s="12" t="n">
        <f aca="false">I353/G353*(1-0.0025)/(1+0.001)-1</f>
        <v>-0.0360739353964296</v>
      </c>
      <c r="L353" s="4" t="n">
        <v>19</v>
      </c>
      <c r="M353" s="4" t="s">
        <v>76</v>
      </c>
    </row>
    <row r="354" customFormat="false" ht="17.15" hidden="false" customHeight="false" outlineLevel="0" collapsed="false">
      <c r="A354" s="7" t="s">
        <v>234</v>
      </c>
      <c r="B354" s="7" t="s">
        <v>235</v>
      </c>
      <c r="C354" s="7" t="s">
        <v>56</v>
      </c>
      <c r="D354" s="4" t="s">
        <v>93</v>
      </c>
      <c r="E354" s="17" t="n">
        <v>45316</v>
      </c>
      <c r="F354" s="17" t="n">
        <v>45317</v>
      </c>
      <c r="G354" s="18" t="n">
        <v>65200</v>
      </c>
      <c r="H354" s="17" t="n">
        <v>45428</v>
      </c>
      <c r="I354" s="18" t="n">
        <v>98000</v>
      </c>
      <c r="J354" s="18" t="n">
        <v>47680</v>
      </c>
      <c r="K354" s="12" t="n">
        <f aca="false">I354/G354*(1-0.0025)/(1+0.001)-1</f>
        <v>0.497812003946974</v>
      </c>
      <c r="L354" s="4" t="n">
        <v>72</v>
      </c>
      <c r="M354" s="4" t="s">
        <v>76</v>
      </c>
    </row>
    <row r="355" customFormat="false" ht="17.15" hidden="false" customHeight="false" outlineLevel="0" collapsed="false">
      <c r="A355" s="7" t="s">
        <v>443</v>
      </c>
      <c r="B355" s="4" t="s">
        <v>444</v>
      </c>
      <c r="C355" s="7" t="s">
        <v>54</v>
      </c>
      <c r="D355" s="7" t="s">
        <v>85</v>
      </c>
      <c r="E355" s="17" t="n">
        <v>45426</v>
      </c>
      <c r="F355" s="17" t="n">
        <v>45428</v>
      </c>
      <c r="G355" s="18" t="n">
        <v>30000</v>
      </c>
      <c r="H355" s="17" t="n">
        <v>45441</v>
      </c>
      <c r="I355" s="18" t="n">
        <v>26428</v>
      </c>
      <c r="J355" s="18" t="n">
        <v>26428</v>
      </c>
      <c r="K355" s="12" t="n">
        <f aca="false">I355/G355*(1-0.0025)/(1+0.001)-1</f>
        <v>-0.122146853146853</v>
      </c>
      <c r="L355" s="4" t="n">
        <v>9</v>
      </c>
      <c r="M355" s="4" t="s">
        <v>80</v>
      </c>
    </row>
    <row r="356" customFormat="false" ht="17.15" hidden="false" customHeight="false" outlineLevel="0" collapsed="false">
      <c r="A356" s="7" t="s">
        <v>88</v>
      </c>
      <c r="B356" s="4" t="s">
        <v>89</v>
      </c>
      <c r="C356" s="7" t="s">
        <v>51</v>
      </c>
      <c r="D356" s="7" t="s">
        <v>117</v>
      </c>
      <c r="E356" s="17" t="n">
        <v>45426</v>
      </c>
      <c r="F356" s="17" t="n">
        <v>45428</v>
      </c>
      <c r="G356" s="18" t="n">
        <v>136962</v>
      </c>
      <c r="H356" s="17" t="n">
        <v>45442</v>
      </c>
      <c r="I356" s="18" t="n">
        <v>139193</v>
      </c>
      <c r="J356" s="18" t="n">
        <v>118326</v>
      </c>
      <c r="K356" s="12" t="n">
        <f aca="false">I356/G356*(1-0.0025)/(1+0.001)-1</f>
        <v>0.0127357309970009</v>
      </c>
      <c r="L356" s="4" t="n">
        <v>10</v>
      </c>
      <c r="M356" s="4" t="s">
        <v>76</v>
      </c>
    </row>
    <row r="357" customFormat="false" ht="17.15" hidden="false" customHeight="false" outlineLevel="0" collapsed="false">
      <c r="A357" s="7" t="s">
        <v>451</v>
      </c>
      <c r="B357" s="4" t="s">
        <v>452</v>
      </c>
      <c r="C357" s="7" t="s">
        <v>56</v>
      </c>
      <c r="D357" s="4" t="s">
        <v>114</v>
      </c>
      <c r="E357" s="17" t="n">
        <v>45425</v>
      </c>
      <c r="F357" s="17" t="n">
        <v>45426</v>
      </c>
      <c r="G357" s="18" t="n">
        <v>294000</v>
      </c>
      <c r="H357" s="17" t="n">
        <v>45443</v>
      </c>
      <c r="I357" s="18" t="n">
        <v>278000</v>
      </c>
      <c r="J357" s="18" t="n">
        <v>248500</v>
      </c>
      <c r="K357" s="12" t="n">
        <f aca="false">I357/G357*(1-0.0025)/(1+0.001)-1</f>
        <v>-0.0577279862994147</v>
      </c>
      <c r="L357" s="4" t="n">
        <v>12</v>
      </c>
      <c r="M357" s="4" t="s">
        <v>76</v>
      </c>
    </row>
    <row r="358" customFormat="false" ht="17.15" hidden="false" customHeight="false" outlineLevel="0" collapsed="false">
      <c r="A358" s="7" t="s">
        <v>374</v>
      </c>
      <c r="B358" s="4" t="s">
        <v>375</v>
      </c>
      <c r="C358" s="7" t="s">
        <v>48</v>
      </c>
      <c r="D358" s="7" t="s">
        <v>75</v>
      </c>
      <c r="E358" s="17" t="n">
        <v>45441</v>
      </c>
      <c r="F358" s="17" t="n">
        <v>45442</v>
      </c>
      <c r="G358" s="18" t="n">
        <v>207806</v>
      </c>
      <c r="H358" s="17" t="n">
        <v>45443</v>
      </c>
      <c r="I358" s="18" t="n">
        <v>212388</v>
      </c>
      <c r="J358" s="18" t="n">
        <v>202916.4</v>
      </c>
      <c r="K358" s="12" t="n">
        <f aca="false">I358/G358*(1-0.0025)/(1+0.001)-1</f>
        <v>0.0184758121295083</v>
      </c>
      <c r="L358" s="4" t="n">
        <v>1</v>
      </c>
      <c r="M358" s="4" t="s">
        <v>76</v>
      </c>
    </row>
    <row r="359" customFormat="false" ht="17.15" hidden="false" customHeight="false" outlineLevel="0" collapsed="false">
      <c r="A359" s="7" t="s">
        <v>348</v>
      </c>
      <c r="B359" s="4" t="s">
        <v>349</v>
      </c>
      <c r="C359" s="7" t="s">
        <v>52</v>
      </c>
      <c r="D359" s="7" t="s">
        <v>79</v>
      </c>
      <c r="E359" s="17" t="n">
        <v>45441</v>
      </c>
      <c r="F359" s="17" t="n">
        <v>45442</v>
      </c>
      <c r="G359" s="18" t="n">
        <v>165300</v>
      </c>
      <c r="H359" s="17" t="n">
        <v>45446</v>
      </c>
      <c r="I359" s="18" t="n">
        <v>154490</v>
      </c>
      <c r="J359" s="18" t="n">
        <v>154490</v>
      </c>
      <c r="K359" s="12" t="n">
        <f aca="false">I359/G359*(1-0.0025)/(1+0.001)-1</f>
        <v>-0.0686640945261634</v>
      </c>
      <c r="L359" s="4" t="n">
        <v>2</v>
      </c>
      <c r="M359" s="4" t="s">
        <v>80</v>
      </c>
    </row>
    <row r="360" customFormat="false" ht="17.15" hidden="false" customHeight="false" outlineLevel="0" collapsed="false">
      <c r="A360" s="7" t="s">
        <v>236</v>
      </c>
      <c r="B360" s="4" t="s">
        <v>237</v>
      </c>
      <c r="C360" s="7" t="s">
        <v>56</v>
      </c>
      <c r="D360" s="4" t="s">
        <v>90</v>
      </c>
      <c r="E360" s="17" t="n">
        <v>45399</v>
      </c>
      <c r="F360" s="17" t="n">
        <v>45400</v>
      </c>
      <c r="G360" s="18" t="n">
        <v>30700</v>
      </c>
      <c r="H360" s="17" t="n">
        <v>45448</v>
      </c>
      <c r="I360" s="18" t="n">
        <v>23400</v>
      </c>
      <c r="J360" s="18" t="n">
        <v>21741</v>
      </c>
      <c r="K360" s="12" t="n">
        <f aca="false">I360/G360*(1-0.0025)/(1+0.001)-1</f>
        <v>-0.240450103642286</v>
      </c>
      <c r="L360" s="4" t="n">
        <v>31</v>
      </c>
      <c r="M360" s="4" t="s">
        <v>76</v>
      </c>
    </row>
    <row r="361" customFormat="false" ht="17.15" hidden="false" customHeight="false" outlineLevel="0" collapsed="false">
      <c r="A361" s="7" t="s">
        <v>451</v>
      </c>
      <c r="B361" s="4" t="s">
        <v>452</v>
      </c>
      <c r="C361" s="7" t="s">
        <v>49</v>
      </c>
      <c r="D361" s="7" t="s">
        <v>124</v>
      </c>
      <c r="E361" s="17" t="n">
        <v>45447</v>
      </c>
      <c r="F361" s="17" t="n">
        <v>45448</v>
      </c>
      <c r="G361" s="18" t="n">
        <v>294500</v>
      </c>
      <c r="H361" s="17" t="n">
        <v>45453</v>
      </c>
      <c r="I361" s="18" t="n">
        <v>278000</v>
      </c>
      <c r="J361" s="18" t="n">
        <v>252450</v>
      </c>
      <c r="K361" s="12" t="n">
        <f aca="false">I361/G361*(1-0.0025)/(1+0.001)-1</f>
        <v>-0.0593277690051882</v>
      </c>
      <c r="L361" s="4" t="n">
        <v>2</v>
      </c>
      <c r="M361" s="4" t="s">
        <v>76</v>
      </c>
    </row>
    <row r="362" customFormat="false" ht="17.15" hidden="false" customHeight="false" outlineLevel="0" collapsed="false">
      <c r="A362" s="7" t="s">
        <v>356</v>
      </c>
      <c r="B362" s="4" t="s">
        <v>357</v>
      </c>
      <c r="C362" s="7" t="s">
        <v>56</v>
      </c>
      <c r="D362" s="4" t="s">
        <v>93</v>
      </c>
      <c r="E362" s="17" t="n">
        <v>45397</v>
      </c>
      <c r="F362" s="17" t="n">
        <v>45398</v>
      </c>
      <c r="G362" s="18" t="n">
        <v>42500</v>
      </c>
      <c r="H362" s="17" t="n">
        <v>45471</v>
      </c>
      <c r="I362" s="18" t="n">
        <v>51900</v>
      </c>
      <c r="J362" s="18" t="n">
        <v>34170</v>
      </c>
      <c r="K362" s="12" t="n">
        <f aca="false">I362/G362*(1-0.0025)/(1+0.001)-1</f>
        <v>0.216906622788976</v>
      </c>
      <c r="L362" s="4" t="n">
        <v>49</v>
      </c>
      <c r="M362" s="4" t="s">
        <v>76</v>
      </c>
    </row>
    <row r="363" customFormat="false" ht="17.15" hidden="false" customHeight="false" outlineLevel="0" collapsed="false">
      <c r="A363" s="7" t="s">
        <v>304</v>
      </c>
      <c r="B363" s="4" t="s">
        <v>305</v>
      </c>
      <c r="C363" s="7" t="s">
        <v>49</v>
      </c>
      <c r="D363" s="7" t="s">
        <v>124</v>
      </c>
      <c r="E363" s="17" t="n">
        <v>45387</v>
      </c>
      <c r="F363" s="17" t="n">
        <v>45390</v>
      </c>
      <c r="G363" s="18" t="n">
        <v>82800</v>
      </c>
      <c r="H363" s="17" t="n">
        <v>45476</v>
      </c>
      <c r="I363" s="18" t="n">
        <v>93200</v>
      </c>
      <c r="J363" s="18" t="n">
        <v>74200</v>
      </c>
      <c r="K363" s="12" t="n">
        <f aca="false">I363/G363*(1-0.0025)/(1+0.001)-1</f>
        <v>0.121668186885578</v>
      </c>
      <c r="L363" s="4" t="n">
        <v>57</v>
      </c>
      <c r="M363" s="4" t="s">
        <v>76</v>
      </c>
    </row>
    <row r="364" customFormat="false" ht="17.15" hidden="false" customHeight="false" outlineLevel="0" collapsed="false">
      <c r="A364" s="7" t="s">
        <v>236</v>
      </c>
      <c r="B364" s="4" t="s">
        <v>237</v>
      </c>
      <c r="C364" s="7" t="s">
        <v>48</v>
      </c>
      <c r="D364" s="7" t="s">
        <v>75</v>
      </c>
      <c r="E364" s="17" t="n">
        <v>45475</v>
      </c>
      <c r="F364" s="17" t="n">
        <v>45476</v>
      </c>
      <c r="G364" s="18" t="n">
        <v>22650</v>
      </c>
      <c r="H364" s="17" t="n">
        <v>45477</v>
      </c>
      <c r="I364" s="18" t="n">
        <v>22600</v>
      </c>
      <c r="J364" s="18" t="n">
        <v>18082</v>
      </c>
      <c r="K364" s="12" t="n">
        <f aca="false">I364/G364*(1-0.0025)/(1+0.001)-1</f>
        <v>-0.00569629046450215</v>
      </c>
      <c r="L364" s="4" t="n">
        <v>1</v>
      </c>
      <c r="M364" s="4" t="s">
        <v>76</v>
      </c>
    </row>
    <row r="365" customFormat="false" ht="17.15" hidden="false" customHeight="false" outlineLevel="0" collapsed="false">
      <c r="A365" s="7" t="s">
        <v>433</v>
      </c>
      <c r="B365" s="4" t="s">
        <v>434</v>
      </c>
      <c r="C365" s="7" t="s">
        <v>50</v>
      </c>
      <c r="D365" s="7" t="s">
        <v>105</v>
      </c>
      <c r="E365" s="17" t="n">
        <v>45401</v>
      </c>
      <c r="F365" s="17" t="n">
        <v>45404</v>
      </c>
      <c r="G365" s="18" t="n">
        <v>10140</v>
      </c>
      <c r="H365" s="17" t="n">
        <v>45485</v>
      </c>
      <c r="I365" s="18" t="n">
        <v>14930</v>
      </c>
      <c r="J365" s="18" t="n">
        <v>8546</v>
      </c>
      <c r="K365" s="12" t="n">
        <f aca="false">I365/G365*(1-0.0025)/(1+0.001)-1</f>
        <v>0.467238382918857</v>
      </c>
      <c r="L365" s="4" t="n">
        <v>55</v>
      </c>
      <c r="M365" s="4" t="s">
        <v>76</v>
      </c>
    </row>
    <row r="366" customFormat="false" ht="17.15" hidden="false" customHeight="false" outlineLevel="0" collapsed="false">
      <c r="A366" s="7" t="s">
        <v>125</v>
      </c>
      <c r="B366" s="4" t="s">
        <v>126</v>
      </c>
      <c r="C366" s="7" t="s">
        <v>49</v>
      </c>
      <c r="D366" s="7" t="s">
        <v>124</v>
      </c>
      <c r="E366" s="17" t="n">
        <v>45442</v>
      </c>
      <c r="F366" s="17" t="n">
        <v>45443</v>
      </c>
      <c r="G366" s="18" t="n">
        <v>69900</v>
      </c>
      <c r="H366" s="17" t="n">
        <v>45490</v>
      </c>
      <c r="I366" s="18" t="n">
        <v>65900</v>
      </c>
      <c r="J366" s="18" t="n">
        <v>50540</v>
      </c>
      <c r="K366" s="12" t="n">
        <f aca="false">I366/G366*(1-0.0025)/(1+0.001)-1</f>
        <v>-0.0605210240403372</v>
      </c>
      <c r="L366" s="4" t="n">
        <v>32</v>
      </c>
      <c r="M366" s="4" t="s">
        <v>76</v>
      </c>
    </row>
    <row r="367" customFormat="false" ht="17.15" hidden="false" customHeight="false" outlineLevel="0" collapsed="false">
      <c r="A367" s="7" t="s">
        <v>348</v>
      </c>
      <c r="B367" s="4" t="s">
        <v>349</v>
      </c>
      <c r="C367" s="7" t="s">
        <v>56</v>
      </c>
      <c r="D367" s="4" t="s">
        <v>114</v>
      </c>
      <c r="E367" s="17" t="n">
        <v>45489</v>
      </c>
      <c r="F367" s="17" t="n">
        <v>45490</v>
      </c>
      <c r="G367" s="18" t="n">
        <v>159400</v>
      </c>
      <c r="H367" s="17" t="n">
        <v>45491</v>
      </c>
      <c r="I367" s="18" t="n">
        <v>149500</v>
      </c>
      <c r="J367" s="18" t="n">
        <v>152490</v>
      </c>
      <c r="K367" s="12" t="n">
        <f aca="false">I367/G367*(1-0.0025)/(1+0.001)-1</f>
        <v>-0.0653872476331696</v>
      </c>
      <c r="L367" s="4" t="n">
        <v>1</v>
      </c>
      <c r="M367" s="4" t="s">
        <v>80</v>
      </c>
    </row>
    <row r="368" customFormat="false" ht="17.15" hidden="false" customHeight="false" outlineLevel="0" collapsed="false">
      <c r="A368" s="7" t="s">
        <v>433</v>
      </c>
      <c r="B368" s="4" t="s">
        <v>434</v>
      </c>
      <c r="C368" s="7" t="s">
        <v>56</v>
      </c>
      <c r="D368" s="4" t="s">
        <v>90</v>
      </c>
      <c r="E368" s="17" t="n">
        <v>45491</v>
      </c>
      <c r="F368" s="17" t="n">
        <v>45492</v>
      </c>
      <c r="G368" s="18" t="n">
        <v>16120</v>
      </c>
      <c r="H368" s="17" t="n">
        <v>45496</v>
      </c>
      <c r="I368" s="18" t="n">
        <v>17150</v>
      </c>
      <c r="J368" s="18" t="n">
        <v>13022</v>
      </c>
      <c r="K368" s="12" t="n">
        <f aca="false">I368/G368*(1-0.0025)/(1+0.001)-1</f>
        <v>0.0601758663173058</v>
      </c>
      <c r="L368" s="4" t="n">
        <v>2</v>
      </c>
      <c r="M368" s="4" t="s">
        <v>76</v>
      </c>
    </row>
    <row r="369" customFormat="false" ht="17.15" hidden="false" customHeight="false" outlineLevel="0" collapsed="false">
      <c r="A369" s="7" t="s">
        <v>421</v>
      </c>
      <c r="B369" s="4" t="s">
        <v>422</v>
      </c>
      <c r="C369" s="7" t="s">
        <v>52</v>
      </c>
      <c r="D369" s="7" t="s">
        <v>79</v>
      </c>
      <c r="E369" s="17" t="n">
        <v>45387</v>
      </c>
      <c r="F369" s="17" t="n">
        <v>45390</v>
      </c>
      <c r="G369" s="18" t="n">
        <v>22200</v>
      </c>
      <c r="H369" s="17" t="n">
        <v>45499</v>
      </c>
      <c r="I369" s="18" t="n">
        <v>22550</v>
      </c>
      <c r="J369" s="18" t="n">
        <v>14865</v>
      </c>
      <c r="K369" s="12" t="n">
        <f aca="false">I369/G369*(1-0.0025)/(1+0.001)-1</f>
        <v>0.0122141372141373</v>
      </c>
      <c r="L369" s="4" t="n">
        <v>74</v>
      </c>
      <c r="M369" s="4" t="s">
        <v>76</v>
      </c>
    </row>
    <row r="370" customFormat="false" ht="17.15" hidden="false" customHeight="false" outlineLevel="0" collapsed="false">
      <c r="A370" s="7" t="s">
        <v>362</v>
      </c>
      <c r="B370" s="4" t="s">
        <v>363</v>
      </c>
      <c r="C370" s="7" t="s">
        <v>56</v>
      </c>
      <c r="D370" s="4" t="s">
        <v>90</v>
      </c>
      <c r="E370" s="17" t="n">
        <v>45484</v>
      </c>
      <c r="F370" s="17" t="n">
        <v>45485</v>
      </c>
      <c r="G370" s="18" t="n">
        <v>43100</v>
      </c>
      <c r="H370" s="17" t="n">
        <v>45499</v>
      </c>
      <c r="I370" s="18" t="n">
        <v>38450</v>
      </c>
      <c r="J370" s="18" t="n">
        <v>37740</v>
      </c>
      <c r="K370" s="12" t="n">
        <f aca="false">I370/G370*(1-0.0025)/(1+0.001)-1</f>
        <v>-0.11100790161115</v>
      </c>
      <c r="L370" s="4" t="n">
        <v>10</v>
      </c>
      <c r="M370" s="4" t="s">
        <v>76</v>
      </c>
    </row>
    <row r="371" customFormat="false" ht="17.15" hidden="false" customHeight="false" outlineLevel="0" collapsed="false">
      <c r="A371" s="7" t="s">
        <v>433</v>
      </c>
      <c r="B371" s="4" t="s">
        <v>434</v>
      </c>
      <c r="C371" s="7" t="s">
        <v>50</v>
      </c>
      <c r="D371" s="7" t="s">
        <v>105</v>
      </c>
      <c r="E371" s="17" t="n">
        <v>45498</v>
      </c>
      <c r="F371" s="17" t="n">
        <v>45499</v>
      </c>
      <c r="G371" s="18" t="n">
        <v>15210</v>
      </c>
      <c r="H371" s="17" t="n">
        <v>45502</v>
      </c>
      <c r="I371" s="18" t="n">
        <v>15700</v>
      </c>
      <c r="J371" s="18" t="n">
        <v>13043</v>
      </c>
      <c r="K371" s="12" t="n">
        <f aca="false">I371/G371*(1-0.0025)/(1+0.001)-1</f>
        <v>0.0286065019792834</v>
      </c>
      <c r="L371" s="4" t="n">
        <v>1</v>
      </c>
      <c r="M371" s="4" t="s">
        <v>76</v>
      </c>
    </row>
    <row r="372" customFormat="false" ht="17.15" hidden="false" customHeight="false" outlineLevel="0" collapsed="false">
      <c r="A372" s="7" t="s">
        <v>372</v>
      </c>
      <c r="B372" s="4" t="s">
        <v>373</v>
      </c>
      <c r="C372" s="7" t="s">
        <v>52</v>
      </c>
      <c r="D372" s="7" t="s">
        <v>79</v>
      </c>
      <c r="E372" s="17" t="n">
        <v>45470</v>
      </c>
      <c r="F372" s="17" t="n">
        <v>45471</v>
      </c>
      <c r="G372" s="18" t="n">
        <v>91500</v>
      </c>
      <c r="H372" s="17" t="n">
        <v>45502</v>
      </c>
      <c r="I372" s="18" t="n">
        <v>78280</v>
      </c>
      <c r="J372" s="18" t="n">
        <v>78280</v>
      </c>
      <c r="K372" s="12" t="n">
        <f aca="false">I372/G372*(1-0.0025)/(1+0.001)-1</f>
        <v>-0.147472199931216</v>
      </c>
      <c r="L372" s="4" t="n">
        <v>21</v>
      </c>
      <c r="M372" s="4" t="s">
        <v>80</v>
      </c>
    </row>
    <row r="373" customFormat="false" ht="17.15" hidden="false" customHeight="false" outlineLevel="0" collapsed="false">
      <c r="A373" s="7" t="s">
        <v>433</v>
      </c>
      <c r="B373" s="4" t="s">
        <v>434</v>
      </c>
      <c r="C373" s="7" t="s">
        <v>56</v>
      </c>
      <c r="D373" s="4" t="s">
        <v>114</v>
      </c>
      <c r="E373" s="17" t="n">
        <v>45502</v>
      </c>
      <c r="F373" s="17" t="n">
        <v>45503</v>
      </c>
      <c r="G373" s="18" t="n">
        <v>16500</v>
      </c>
      <c r="H373" s="17" t="n">
        <v>45504</v>
      </c>
      <c r="I373" s="18" t="n">
        <v>16560</v>
      </c>
      <c r="J373" s="18" t="n">
        <v>15426</v>
      </c>
      <c r="K373" s="12" t="n">
        <f aca="false">I373/G373*(1-0.0025)/(1+0.001)-1</f>
        <v>0.000127145581691357</v>
      </c>
      <c r="L373" s="4" t="n">
        <v>1</v>
      </c>
      <c r="M373" s="4" t="s">
        <v>76</v>
      </c>
    </row>
    <row r="374" customFormat="false" ht="17.15" hidden="false" customHeight="false" outlineLevel="0" collapsed="false">
      <c r="A374" s="7" t="s">
        <v>453</v>
      </c>
      <c r="B374" s="4" t="s">
        <v>454</v>
      </c>
      <c r="C374" s="7" t="s">
        <v>52</v>
      </c>
      <c r="D374" s="7" t="s">
        <v>79</v>
      </c>
      <c r="E374" s="17" t="n">
        <v>45503</v>
      </c>
      <c r="F374" s="17" t="n">
        <v>45504</v>
      </c>
      <c r="G374" s="18" t="n">
        <v>48150</v>
      </c>
      <c r="H374" s="17" t="n">
        <v>45506</v>
      </c>
      <c r="I374" s="18" t="n">
        <v>44130</v>
      </c>
      <c r="J374" s="18" t="n">
        <v>44130</v>
      </c>
      <c r="K374" s="12" t="n">
        <f aca="false">I374/G374*(1-0.0025)/(1+0.001)-1</f>
        <v>-0.0866936801516239</v>
      </c>
      <c r="L374" s="4" t="n">
        <v>2</v>
      </c>
      <c r="M374" s="4" t="s">
        <v>80</v>
      </c>
    </row>
    <row r="375" customFormat="false" ht="17.15" hidden="false" customHeight="false" outlineLevel="0" collapsed="false">
      <c r="A375" s="7" t="s">
        <v>455</v>
      </c>
      <c r="B375" s="7" t="s">
        <v>456</v>
      </c>
      <c r="C375" s="7" t="s">
        <v>49</v>
      </c>
      <c r="D375" s="7" t="s">
        <v>124</v>
      </c>
      <c r="E375" s="17" t="n">
        <v>45271</v>
      </c>
      <c r="F375" s="17" t="n">
        <v>45272</v>
      </c>
      <c r="G375" s="18" t="n">
        <v>80100</v>
      </c>
      <c r="H375" s="17" t="n">
        <v>45509</v>
      </c>
      <c r="I375" s="18" t="n">
        <v>262000</v>
      </c>
      <c r="J375" s="18" t="n">
        <v>75130</v>
      </c>
      <c r="K375" s="12" t="n">
        <f aca="false">I375/G375*(1-0.0025)/(1+0.001)-1</f>
        <v>2.25947460778922</v>
      </c>
      <c r="L375" s="4" t="n">
        <v>158</v>
      </c>
      <c r="M375" s="4" t="s">
        <v>76</v>
      </c>
    </row>
    <row r="376" customFormat="false" ht="17.15" hidden="false" customHeight="false" outlineLevel="0" collapsed="false">
      <c r="A376" s="7" t="s">
        <v>252</v>
      </c>
      <c r="B376" s="4" t="s">
        <v>253</v>
      </c>
      <c r="C376" s="7" t="s">
        <v>49</v>
      </c>
      <c r="D376" s="7" t="s">
        <v>124</v>
      </c>
      <c r="E376" s="17" t="n">
        <v>45411</v>
      </c>
      <c r="F376" s="17" t="n">
        <v>45412</v>
      </c>
      <c r="G376" s="18" t="n">
        <v>34750</v>
      </c>
      <c r="H376" s="17" t="n">
        <v>45509</v>
      </c>
      <c r="I376" s="18" t="n">
        <v>41450</v>
      </c>
      <c r="J376" s="18" t="n">
        <v>27010</v>
      </c>
      <c r="K376" s="12" t="n">
        <f aca="false">I376/G376*(1-0.0025)/(1+0.001)-1</f>
        <v>0.188635105901293</v>
      </c>
      <c r="L376" s="4" t="n">
        <v>65</v>
      </c>
      <c r="M376" s="4" t="s">
        <v>76</v>
      </c>
    </row>
    <row r="377" customFormat="false" ht="17.15" hidden="false" customHeight="false" outlineLevel="0" collapsed="false">
      <c r="A377" s="7" t="s">
        <v>136</v>
      </c>
      <c r="B377" s="4" t="s">
        <v>137</v>
      </c>
      <c r="C377" s="7" t="s">
        <v>56</v>
      </c>
      <c r="D377" s="4" t="s">
        <v>93</v>
      </c>
      <c r="E377" s="17" t="n">
        <v>45495</v>
      </c>
      <c r="F377" s="17" t="n">
        <v>45496</v>
      </c>
      <c r="G377" s="18" t="n">
        <v>2425</v>
      </c>
      <c r="H377" s="17" t="n">
        <v>45509</v>
      </c>
      <c r="I377" s="18" t="n">
        <v>2170</v>
      </c>
      <c r="J377" s="18" t="n">
        <v>2050.1</v>
      </c>
      <c r="K377" s="12" t="n">
        <f aca="false">I377/G377*(1-0.0025)/(1+0.001)-1</f>
        <v>-0.108283469108211</v>
      </c>
      <c r="L377" s="4" t="n">
        <v>9</v>
      </c>
      <c r="M377" s="4" t="s">
        <v>76</v>
      </c>
    </row>
    <row r="378" customFormat="false" ht="17.15" hidden="false" customHeight="false" outlineLevel="0" collapsed="false">
      <c r="A378" s="7" t="s">
        <v>457</v>
      </c>
      <c r="B378" s="4" t="s">
        <v>458</v>
      </c>
      <c r="C378" s="7" t="s">
        <v>52</v>
      </c>
      <c r="D378" s="7" t="s">
        <v>79</v>
      </c>
      <c r="E378" s="17" t="n">
        <v>45446</v>
      </c>
      <c r="F378" s="17" t="n">
        <v>45447</v>
      </c>
      <c r="G378" s="18" t="n">
        <v>42350</v>
      </c>
      <c r="H378" s="17" t="n">
        <v>45509</v>
      </c>
      <c r="I378" s="18" t="n">
        <v>36073</v>
      </c>
      <c r="J378" s="18" t="n">
        <v>36073</v>
      </c>
      <c r="K378" s="12" t="n">
        <f aca="false">I378/G378*(1-0.0025)/(1+0.001)-1</f>
        <v>-0.15119549871616</v>
      </c>
      <c r="L378" s="4" t="n">
        <v>43</v>
      </c>
      <c r="M378" s="4" t="s">
        <v>80</v>
      </c>
    </row>
    <row r="379" customFormat="false" ht="17.15" hidden="false" customHeight="false" outlineLevel="0" collapsed="false">
      <c r="A379" s="7" t="s">
        <v>120</v>
      </c>
      <c r="B379" s="4" t="s">
        <v>121</v>
      </c>
      <c r="C379" s="7" t="s">
        <v>52</v>
      </c>
      <c r="D379" s="7" t="s">
        <v>79</v>
      </c>
      <c r="E379" s="17" t="n">
        <v>45476</v>
      </c>
      <c r="F379" s="17" t="n">
        <v>45477</v>
      </c>
      <c r="G379" s="18" t="n">
        <v>181800</v>
      </c>
      <c r="H379" s="17" t="n">
        <v>45509</v>
      </c>
      <c r="I379" s="18" t="n">
        <v>156730</v>
      </c>
      <c r="J379" s="18" t="n">
        <v>156730</v>
      </c>
      <c r="K379" s="12" t="n">
        <f aca="false">I379/G379*(1-0.0025)/(1+0.001)-1</f>
        <v>-0.140913129774516</v>
      </c>
      <c r="L379" s="4" t="n">
        <v>22</v>
      </c>
      <c r="M379" s="4" t="s">
        <v>80</v>
      </c>
    </row>
    <row r="380" customFormat="false" ht="17.15" hidden="false" customHeight="false" outlineLevel="0" collapsed="false">
      <c r="A380" s="7" t="s">
        <v>459</v>
      </c>
      <c r="B380" s="4" t="s">
        <v>460</v>
      </c>
      <c r="C380" s="7" t="s">
        <v>50</v>
      </c>
      <c r="D380" s="7" t="s">
        <v>105</v>
      </c>
      <c r="E380" s="17" t="n">
        <v>45498</v>
      </c>
      <c r="F380" s="17" t="n">
        <v>45499</v>
      </c>
      <c r="G380" s="18" t="n">
        <v>238500</v>
      </c>
      <c r="H380" s="17" t="n">
        <v>45509</v>
      </c>
      <c r="I380" s="18" t="n">
        <v>223050</v>
      </c>
      <c r="J380" s="18" t="n">
        <v>223050</v>
      </c>
      <c r="K380" s="12" t="n">
        <f aca="false">I380/G380*(1-0.0025)/(1+0.001)-1</f>
        <v>-0.0680498746536481</v>
      </c>
      <c r="L380" s="4" t="n">
        <v>6</v>
      </c>
      <c r="M380" s="4" t="s">
        <v>80</v>
      </c>
    </row>
    <row r="381" customFormat="false" ht="17.15" hidden="false" customHeight="false" outlineLevel="0" collapsed="false">
      <c r="A381" s="7" t="s">
        <v>431</v>
      </c>
      <c r="B381" s="4" t="s">
        <v>432</v>
      </c>
      <c r="C381" s="7" t="s">
        <v>56</v>
      </c>
      <c r="D381" s="4" t="s">
        <v>90</v>
      </c>
      <c r="E381" s="17" t="n">
        <v>45499</v>
      </c>
      <c r="F381" s="17" t="n">
        <v>45502</v>
      </c>
      <c r="G381" s="18" t="n">
        <v>638000</v>
      </c>
      <c r="H381" s="17" t="n">
        <v>45509</v>
      </c>
      <c r="I381" s="18" t="n">
        <v>545000</v>
      </c>
      <c r="J381" s="18" t="n">
        <v>548000</v>
      </c>
      <c r="K381" s="12" t="n">
        <f aca="false">I381/G381*(1-0.0025)/(1+0.001)-1</f>
        <v>-0.148754850165508</v>
      </c>
      <c r="L381" s="4" t="n">
        <v>5</v>
      </c>
      <c r="M381" s="4" t="s">
        <v>80</v>
      </c>
    </row>
    <row r="382" customFormat="false" ht="17.15" hidden="false" customHeight="false" outlineLevel="0" collapsed="false">
      <c r="A382" s="7" t="s">
        <v>173</v>
      </c>
      <c r="B382" s="4" t="s">
        <v>174</v>
      </c>
      <c r="C382" s="7" t="s">
        <v>49</v>
      </c>
      <c r="D382" s="7" t="s">
        <v>124</v>
      </c>
      <c r="E382" s="17" t="n">
        <v>45442</v>
      </c>
      <c r="F382" s="17" t="n">
        <v>45443</v>
      </c>
      <c r="G382" s="18" t="n">
        <v>30600</v>
      </c>
      <c r="H382" s="17" t="n">
        <v>45510</v>
      </c>
      <c r="I382" s="18" t="n">
        <v>38250</v>
      </c>
      <c r="J382" s="18" t="n">
        <v>27545</v>
      </c>
      <c r="K382" s="12" t="n">
        <f aca="false">I382/G382*(1-0.0025)/(1+0.001)-1</f>
        <v>0.245629370629371</v>
      </c>
      <c r="L382" s="4" t="n">
        <v>46</v>
      </c>
      <c r="M382" s="4" t="s">
        <v>76</v>
      </c>
    </row>
    <row r="383" customFormat="false" ht="17.15" hidden="false" customHeight="false" outlineLevel="0" collapsed="false">
      <c r="A383" s="7" t="s">
        <v>274</v>
      </c>
      <c r="B383" s="4" t="s">
        <v>275</v>
      </c>
      <c r="C383" s="7" t="s">
        <v>48</v>
      </c>
      <c r="D383" s="7" t="s">
        <v>75</v>
      </c>
      <c r="E383" s="17" t="n">
        <v>45506</v>
      </c>
      <c r="F383" s="17" t="n">
        <v>45509</v>
      </c>
      <c r="G383" s="18" t="n">
        <v>102300</v>
      </c>
      <c r="H383" s="17" t="n">
        <v>45510</v>
      </c>
      <c r="I383" s="18" t="n">
        <v>103900</v>
      </c>
      <c r="J383" s="18" t="n">
        <v>100050</v>
      </c>
      <c r="K383" s="12" t="n">
        <f aca="false">I383/G383*(1-0.0025)/(1+0.001)-1</f>
        <v>0.0120890839365915</v>
      </c>
      <c r="L383" s="4" t="n">
        <v>1</v>
      </c>
      <c r="M383" s="4" t="s">
        <v>76</v>
      </c>
    </row>
    <row r="384" customFormat="false" ht="17.15" hidden="false" customHeight="false" outlineLevel="0" collapsed="false">
      <c r="A384" s="7" t="s">
        <v>362</v>
      </c>
      <c r="B384" s="4" t="s">
        <v>363</v>
      </c>
      <c r="C384" s="7" t="s">
        <v>50</v>
      </c>
      <c r="D384" s="7" t="s">
        <v>105</v>
      </c>
      <c r="E384" s="17" t="n">
        <v>45506</v>
      </c>
      <c r="F384" s="17" t="n">
        <v>45509</v>
      </c>
      <c r="G384" s="18" t="n">
        <v>37950</v>
      </c>
      <c r="H384" s="17" t="n">
        <v>45510</v>
      </c>
      <c r="I384" s="18" t="n">
        <v>39200</v>
      </c>
      <c r="J384" s="18" t="n">
        <v>36175</v>
      </c>
      <c r="K384" s="12" t="n">
        <f aca="false">I384/G384*(1-0.0025)/(1+0.001)-1</f>
        <v>0.0293264048204762</v>
      </c>
      <c r="L384" s="4" t="n">
        <v>1</v>
      </c>
      <c r="M384" s="4" t="s">
        <v>76</v>
      </c>
    </row>
    <row r="385" customFormat="false" ht="17.15" hidden="false" customHeight="false" outlineLevel="0" collapsed="false">
      <c r="A385" s="7" t="s">
        <v>300</v>
      </c>
      <c r="B385" s="7" t="s">
        <v>301</v>
      </c>
      <c r="C385" s="7" t="s">
        <v>50</v>
      </c>
      <c r="D385" s="7" t="s">
        <v>105</v>
      </c>
      <c r="E385" s="17" t="n">
        <v>45506</v>
      </c>
      <c r="F385" s="17" t="n">
        <v>45509</v>
      </c>
      <c r="G385" s="18" t="n">
        <v>16280</v>
      </c>
      <c r="H385" s="17" t="n">
        <v>45510</v>
      </c>
      <c r="I385" s="18" t="n">
        <v>16440</v>
      </c>
      <c r="J385" s="18" t="n">
        <v>17121</v>
      </c>
      <c r="K385" s="12" t="n">
        <f aca="false">I385/G385*(1-0.0025)/(1+0.001)-1</f>
        <v>0.00629714266077919</v>
      </c>
      <c r="L385" s="4" t="n">
        <v>1</v>
      </c>
      <c r="M385" s="4" t="s">
        <v>76</v>
      </c>
    </row>
    <row r="386" customFormat="false" ht="17.15" hidden="false" customHeight="false" outlineLevel="0" collapsed="false">
      <c r="A386" s="7" t="s">
        <v>88</v>
      </c>
      <c r="B386" s="4" t="s">
        <v>89</v>
      </c>
      <c r="C386" s="7" t="s">
        <v>52</v>
      </c>
      <c r="D386" s="7" t="s">
        <v>79</v>
      </c>
      <c r="E386" s="17" t="n">
        <v>45450</v>
      </c>
      <c r="F386" s="17" t="n">
        <v>45453</v>
      </c>
      <c r="G386" s="18" t="n">
        <v>194671</v>
      </c>
      <c r="H386" s="17" t="n">
        <v>45510</v>
      </c>
      <c r="I386" s="18" t="n">
        <v>187161.2</v>
      </c>
      <c r="J386" s="18" t="n">
        <v>187161.2</v>
      </c>
      <c r="K386" s="12" t="n">
        <f aca="false">I386/G386*(1-0.0025)/(1+0.001)-1</f>
        <v>-0.0419385002913107</v>
      </c>
      <c r="L386" s="4" t="n">
        <v>41</v>
      </c>
      <c r="M386" s="4" t="s">
        <v>80</v>
      </c>
    </row>
    <row r="387" customFormat="false" ht="17.15" hidden="false" customHeight="false" outlineLevel="0" collapsed="false">
      <c r="A387" s="7" t="s">
        <v>461</v>
      </c>
      <c r="B387" s="7" t="s">
        <v>462</v>
      </c>
      <c r="C387" s="7" t="s">
        <v>55</v>
      </c>
      <c r="D387" s="7" t="s">
        <v>96</v>
      </c>
      <c r="E387" s="17" t="n">
        <v>45506</v>
      </c>
      <c r="F387" s="17" t="n">
        <v>45509</v>
      </c>
      <c r="G387" s="18" t="n">
        <v>18260</v>
      </c>
      <c r="H387" s="17" t="n">
        <v>45510</v>
      </c>
      <c r="I387" s="18" t="n">
        <v>18285.7</v>
      </c>
      <c r="J387" s="18" t="n">
        <v>18285.7</v>
      </c>
      <c r="K387" s="12" t="n">
        <f aca="false">I387/G387*(1-0.0025)/(1+0.001)-1</f>
        <v>-0.00209397666955147</v>
      </c>
      <c r="L387" s="4" t="n">
        <v>1</v>
      </c>
      <c r="M387" s="4" t="s">
        <v>80</v>
      </c>
    </row>
    <row r="388" customFormat="false" ht="17.15" hidden="false" customHeight="false" outlineLevel="0" collapsed="false">
      <c r="A388" s="7" t="s">
        <v>457</v>
      </c>
      <c r="B388" s="4" t="s">
        <v>458</v>
      </c>
      <c r="C388" s="7" t="s">
        <v>56</v>
      </c>
      <c r="D388" s="4" t="s">
        <v>90</v>
      </c>
      <c r="E388" s="17" t="n">
        <v>45510</v>
      </c>
      <c r="F388" s="17" t="n">
        <v>45511</v>
      </c>
      <c r="G388" s="18" t="n">
        <v>41900</v>
      </c>
      <c r="H388" s="17" t="n">
        <v>45512</v>
      </c>
      <c r="I388" s="18" t="n">
        <v>40750</v>
      </c>
      <c r="J388" s="18" t="n">
        <v>33995</v>
      </c>
      <c r="K388" s="12" t="n">
        <f aca="false">I388/G388*(1-0.0025)/(1+0.001)-1</f>
        <v>-0.0308468381260743</v>
      </c>
      <c r="L388" s="4" t="n">
        <v>1</v>
      </c>
      <c r="M388" s="4" t="s">
        <v>76</v>
      </c>
    </row>
    <row r="389" customFormat="false" ht="17.15" hidden="false" customHeight="false" outlineLevel="0" collapsed="false">
      <c r="A389" s="7" t="s">
        <v>372</v>
      </c>
      <c r="B389" s="4" t="s">
        <v>373</v>
      </c>
      <c r="C389" s="7" t="s">
        <v>56</v>
      </c>
      <c r="D389" s="4" t="s">
        <v>90</v>
      </c>
      <c r="E389" s="17" t="n">
        <v>45510</v>
      </c>
      <c r="F389" s="17" t="n">
        <v>45511</v>
      </c>
      <c r="G389" s="18" t="n">
        <v>70600</v>
      </c>
      <c r="H389" s="17" t="n">
        <v>45512</v>
      </c>
      <c r="I389" s="18" t="n">
        <v>68500</v>
      </c>
      <c r="J389" s="18" t="n">
        <v>56100</v>
      </c>
      <c r="K389" s="12" t="n">
        <f aca="false">I389/G389*(1-0.0025)/(1+0.001)-1</f>
        <v>-0.0331375423443411</v>
      </c>
      <c r="L389" s="4" t="n">
        <v>1</v>
      </c>
      <c r="M389" s="4" t="s">
        <v>76</v>
      </c>
    </row>
    <row r="390" customFormat="false" ht="17.15" hidden="false" customHeight="false" outlineLevel="0" collapsed="false">
      <c r="A390" s="7" t="s">
        <v>431</v>
      </c>
      <c r="B390" s="4" t="s">
        <v>432</v>
      </c>
      <c r="C390" s="7" t="s">
        <v>56</v>
      </c>
      <c r="D390" s="4" t="s">
        <v>90</v>
      </c>
      <c r="E390" s="17" t="n">
        <v>45510</v>
      </c>
      <c r="F390" s="17" t="n">
        <v>45511</v>
      </c>
      <c r="G390" s="18" t="n">
        <v>590000</v>
      </c>
      <c r="H390" s="17" t="n">
        <v>45513</v>
      </c>
      <c r="I390" s="18" t="n">
        <v>591000</v>
      </c>
      <c r="J390" s="18" t="n">
        <v>485300</v>
      </c>
      <c r="K390" s="12" t="n">
        <f aca="false">I390/G390*(1-0.0025)/(1+0.001)-1</f>
        <v>-0.00180751451937866</v>
      </c>
      <c r="L390" s="4" t="n">
        <v>2</v>
      </c>
      <c r="M390" s="4" t="s">
        <v>76</v>
      </c>
    </row>
    <row r="391" customFormat="false" ht="17.15" hidden="false" customHeight="false" outlineLevel="0" collapsed="false">
      <c r="A391" s="7" t="s">
        <v>455</v>
      </c>
      <c r="B391" s="7" t="s">
        <v>456</v>
      </c>
      <c r="C391" s="7" t="s">
        <v>56</v>
      </c>
      <c r="D391" s="4" t="s">
        <v>90</v>
      </c>
      <c r="E391" s="17" t="n">
        <v>45510</v>
      </c>
      <c r="F391" s="17" t="n">
        <v>45511</v>
      </c>
      <c r="G391" s="18" t="n">
        <v>305500</v>
      </c>
      <c r="H391" s="17" t="n">
        <v>45513</v>
      </c>
      <c r="I391" s="18" t="n">
        <v>300500</v>
      </c>
      <c r="J391" s="18" t="n">
        <v>226400</v>
      </c>
      <c r="K391" s="12" t="n">
        <f aca="false">I391/G391*(1-0.0025)/(1+0.001)-1</f>
        <v>-0.0198058896913232</v>
      </c>
      <c r="L391" s="4" t="n">
        <v>2</v>
      </c>
      <c r="M391" s="4" t="s">
        <v>76</v>
      </c>
    </row>
    <row r="392" customFormat="false" ht="17.15" hidden="false" customHeight="false" outlineLevel="0" collapsed="false">
      <c r="A392" s="7" t="s">
        <v>433</v>
      </c>
      <c r="B392" s="4" t="s">
        <v>434</v>
      </c>
      <c r="C392" s="7" t="s">
        <v>56</v>
      </c>
      <c r="D392" s="4" t="s">
        <v>90</v>
      </c>
      <c r="E392" s="17" t="n">
        <v>45511</v>
      </c>
      <c r="F392" s="17" t="n">
        <v>45512</v>
      </c>
      <c r="G392" s="18" t="n">
        <v>15080</v>
      </c>
      <c r="H392" s="17" t="n">
        <v>45513</v>
      </c>
      <c r="I392" s="18" t="n">
        <v>16130</v>
      </c>
      <c r="J392" s="18" t="n">
        <v>12230</v>
      </c>
      <c r="K392" s="12" t="n">
        <f aca="false">I392/G392*(1-0.0025)/(1+0.001)-1</f>
        <v>0.0658886869099074</v>
      </c>
      <c r="L392" s="4" t="n">
        <v>1</v>
      </c>
      <c r="M392" s="4" t="s">
        <v>76</v>
      </c>
    </row>
    <row r="393" customFormat="false" ht="17.15" hidden="false" customHeight="false" outlineLevel="0" collapsed="false">
      <c r="A393" s="7" t="s">
        <v>149</v>
      </c>
      <c r="B393" s="4" t="s">
        <v>150</v>
      </c>
      <c r="C393" s="7" t="s">
        <v>56</v>
      </c>
      <c r="D393" s="4" t="s">
        <v>93</v>
      </c>
      <c r="E393" s="17" t="n">
        <v>45512</v>
      </c>
      <c r="F393" s="17" t="n">
        <v>45513</v>
      </c>
      <c r="G393" s="18" t="n">
        <v>13850</v>
      </c>
      <c r="H393" s="17" t="n">
        <v>45516</v>
      </c>
      <c r="I393" s="18" t="n">
        <v>13850</v>
      </c>
      <c r="J393" s="18" t="n">
        <v>11610</v>
      </c>
      <c r="K393" s="12" t="n">
        <f aca="false">I393/G393*(1-0.0025)/(1+0.001)-1</f>
        <v>-0.00349650349650332</v>
      </c>
      <c r="L393" s="4" t="n">
        <v>1</v>
      </c>
      <c r="M393" s="4" t="s">
        <v>76</v>
      </c>
    </row>
    <row r="394" customFormat="false" ht="17.15" hidden="false" customHeight="false" outlineLevel="0" collapsed="false">
      <c r="A394" s="7" t="s">
        <v>202</v>
      </c>
      <c r="B394" s="4" t="s">
        <v>203</v>
      </c>
      <c r="C394" s="7" t="s">
        <v>48</v>
      </c>
      <c r="D394" s="7" t="s">
        <v>75</v>
      </c>
      <c r="E394" s="17" t="n">
        <v>45512</v>
      </c>
      <c r="F394" s="17" t="n">
        <v>45513</v>
      </c>
      <c r="G394" s="18" t="n">
        <v>50000</v>
      </c>
      <c r="H394" s="17" t="n">
        <v>45517</v>
      </c>
      <c r="I394" s="18" t="n">
        <v>49850</v>
      </c>
      <c r="J394" s="18" t="n">
        <v>44235</v>
      </c>
      <c r="K394" s="12" t="n">
        <f aca="false">I394/G394*(1-0.0025)/(1+0.001)-1</f>
        <v>-0.00648601398601378</v>
      </c>
      <c r="L394" s="4" t="n">
        <v>2</v>
      </c>
      <c r="M394" s="4" t="s">
        <v>76</v>
      </c>
    </row>
    <row r="395" customFormat="false" ht="17.15" hidden="false" customHeight="false" outlineLevel="0" collapsed="false">
      <c r="A395" s="7" t="s">
        <v>372</v>
      </c>
      <c r="B395" s="4" t="s">
        <v>373</v>
      </c>
      <c r="C395" s="7" t="s">
        <v>56</v>
      </c>
      <c r="D395" s="4" t="s">
        <v>114</v>
      </c>
      <c r="E395" s="17" t="n">
        <v>45513</v>
      </c>
      <c r="F395" s="17" t="n">
        <v>45516</v>
      </c>
      <c r="G395" s="18" t="n">
        <v>70000</v>
      </c>
      <c r="H395" s="17" t="n">
        <v>45517</v>
      </c>
      <c r="I395" s="18" t="n">
        <v>70300</v>
      </c>
      <c r="J395" s="18" t="n">
        <v>58730</v>
      </c>
      <c r="K395" s="12" t="n">
        <f aca="false">I395/G395*(1-0.0025)/(1+0.001)-1</f>
        <v>0.000774225774226034</v>
      </c>
      <c r="L395" s="4" t="n">
        <v>1</v>
      </c>
      <c r="M395" s="4" t="s">
        <v>76</v>
      </c>
    </row>
    <row r="396" customFormat="false" ht="17.15" hidden="false" customHeight="false" outlineLevel="0" collapsed="false">
      <c r="A396" s="7" t="s">
        <v>127</v>
      </c>
      <c r="B396" s="4" t="s">
        <v>128</v>
      </c>
      <c r="C396" s="7" t="s">
        <v>56</v>
      </c>
      <c r="D396" s="4" t="s">
        <v>90</v>
      </c>
      <c r="E396" s="17" t="n">
        <v>45510</v>
      </c>
      <c r="F396" s="17" t="n">
        <v>45511</v>
      </c>
      <c r="G396" s="18" t="n">
        <v>33600</v>
      </c>
      <c r="H396" s="17" t="n">
        <v>45518</v>
      </c>
      <c r="I396" s="18" t="n">
        <v>32000</v>
      </c>
      <c r="J396" s="18" t="n">
        <v>26015</v>
      </c>
      <c r="K396" s="12" t="n">
        <f aca="false">I396/G396*(1-0.0025)/(1+0.001)-1</f>
        <v>-0.0509490509490509</v>
      </c>
      <c r="L396" s="4" t="n">
        <v>5</v>
      </c>
      <c r="M396" s="4" t="s">
        <v>76</v>
      </c>
    </row>
    <row r="397" customFormat="false" ht="17.15" hidden="false" customHeight="false" outlineLevel="0" collapsed="false">
      <c r="A397" s="7" t="s">
        <v>457</v>
      </c>
      <c r="B397" s="4" t="s">
        <v>458</v>
      </c>
      <c r="C397" s="7" t="s">
        <v>51</v>
      </c>
      <c r="D397" s="7" t="s">
        <v>117</v>
      </c>
      <c r="E397" s="17" t="n">
        <v>45512</v>
      </c>
      <c r="F397" s="17" t="n">
        <v>45513</v>
      </c>
      <c r="G397" s="18" t="n">
        <v>45250</v>
      </c>
      <c r="H397" s="17" t="n">
        <v>45518</v>
      </c>
      <c r="I397" s="18" t="n">
        <v>44900</v>
      </c>
      <c r="J397" s="18" t="n">
        <v>35665</v>
      </c>
      <c r="K397" s="12" t="n">
        <f aca="false">I397/G397*(1-0.0025)/(1+0.001)-1</f>
        <v>-0.0112042653479115</v>
      </c>
      <c r="L397" s="4" t="n">
        <v>3</v>
      </c>
      <c r="M397" s="4" t="s">
        <v>76</v>
      </c>
    </row>
    <row r="398" customFormat="false" ht="17.15" hidden="false" customHeight="false" outlineLevel="0" collapsed="false">
      <c r="A398" s="7" t="s">
        <v>252</v>
      </c>
      <c r="B398" s="4" t="s">
        <v>253</v>
      </c>
      <c r="C398" s="7" t="s">
        <v>56</v>
      </c>
      <c r="D398" s="4" t="s">
        <v>90</v>
      </c>
      <c r="E398" s="17" t="n">
        <v>45516</v>
      </c>
      <c r="F398" s="17" t="n">
        <v>45517</v>
      </c>
      <c r="G398" s="18" t="n">
        <v>41950</v>
      </c>
      <c r="H398" s="17" t="n">
        <v>45518</v>
      </c>
      <c r="I398" s="18" t="n">
        <v>43700</v>
      </c>
      <c r="J398" s="18" t="n">
        <v>32720</v>
      </c>
      <c r="K398" s="12" t="n">
        <f aca="false">I398/G398*(1-0.0025)/(1+0.001)-1</f>
        <v>0.0380739641764674</v>
      </c>
      <c r="L398" s="4" t="n">
        <v>1</v>
      </c>
      <c r="M398" s="4" t="s">
        <v>76</v>
      </c>
    </row>
    <row r="399" customFormat="false" ht="17.15" hidden="false" customHeight="false" outlineLevel="0" collapsed="false">
      <c r="A399" s="7" t="s">
        <v>216</v>
      </c>
      <c r="B399" s="4" t="s">
        <v>217</v>
      </c>
      <c r="C399" s="7" t="s">
        <v>56</v>
      </c>
      <c r="D399" s="4" t="s">
        <v>90</v>
      </c>
      <c r="E399" s="17" t="n">
        <v>45517</v>
      </c>
      <c r="F399" s="17" t="n">
        <v>45518</v>
      </c>
      <c r="G399" s="18" t="n">
        <v>57800</v>
      </c>
      <c r="H399" s="17" t="n">
        <v>45520</v>
      </c>
      <c r="I399" s="18" t="n">
        <v>59100</v>
      </c>
      <c r="J399" s="18" t="n">
        <v>50065</v>
      </c>
      <c r="K399" s="12" t="n">
        <f aca="false">I399/G399*(1-0.0025)/(1+0.001)-1</f>
        <v>0.0189162049023641</v>
      </c>
      <c r="L399" s="4" t="n">
        <v>1</v>
      </c>
      <c r="M399" s="4" t="s">
        <v>76</v>
      </c>
    </row>
    <row r="400" customFormat="false" ht="17.15" hidden="false" customHeight="false" outlineLevel="0" collapsed="false">
      <c r="A400" s="7" t="s">
        <v>433</v>
      </c>
      <c r="B400" s="4" t="s">
        <v>434</v>
      </c>
      <c r="C400" s="7" t="s">
        <v>56</v>
      </c>
      <c r="D400" s="4" t="s">
        <v>93</v>
      </c>
      <c r="E400" s="17" t="n">
        <v>45518</v>
      </c>
      <c r="F400" s="17" t="n">
        <v>45520</v>
      </c>
      <c r="G400" s="18" t="n">
        <v>16690</v>
      </c>
      <c r="H400" s="17" t="n">
        <v>45523</v>
      </c>
      <c r="I400" s="18" t="n">
        <v>16690</v>
      </c>
      <c r="J400" s="18" t="n">
        <v>12587</v>
      </c>
      <c r="K400" s="12" t="n">
        <f aca="false">I400/G400*(1-0.0025)/(1+0.001)-1</f>
        <v>-0.00349650349650332</v>
      </c>
      <c r="L400" s="4" t="n">
        <v>1</v>
      </c>
      <c r="M400" s="4" t="s">
        <v>76</v>
      </c>
    </row>
    <row r="401" customFormat="false" ht="17.15" hidden="false" customHeight="false" outlineLevel="0" collapsed="false">
      <c r="A401" s="7" t="s">
        <v>425</v>
      </c>
      <c r="B401" s="4" t="s">
        <v>426</v>
      </c>
      <c r="C401" s="7" t="s">
        <v>56</v>
      </c>
      <c r="D401" s="4" t="s">
        <v>90</v>
      </c>
      <c r="E401" s="17" t="n">
        <v>45510</v>
      </c>
      <c r="F401" s="17" t="n">
        <v>45511</v>
      </c>
      <c r="G401" s="18" t="n">
        <v>60279</v>
      </c>
      <c r="H401" s="17" t="n">
        <v>45524</v>
      </c>
      <c r="I401" s="18" t="n">
        <v>49231</v>
      </c>
      <c r="J401" s="18" t="n">
        <v>43818.6</v>
      </c>
      <c r="K401" s="12" t="n">
        <f aca="false">I401/G401*(1-0.0025)/(1+0.001)-1</f>
        <v>-0.186136736900684</v>
      </c>
      <c r="L401" s="4" t="n">
        <v>8</v>
      </c>
      <c r="M401" s="4" t="s">
        <v>76</v>
      </c>
    </row>
    <row r="402" customFormat="false" ht="17.15" hidden="false" customHeight="false" outlineLevel="0" collapsed="false">
      <c r="A402" s="7" t="s">
        <v>173</v>
      </c>
      <c r="B402" s="4" t="s">
        <v>174</v>
      </c>
      <c r="C402" s="7" t="s">
        <v>56</v>
      </c>
      <c r="D402" s="4" t="s">
        <v>93</v>
      </c>
      <c r="E402" s="17" t="n">
        <v>45510</v>
      </c>
      <c r="F402" s="17" t="n">
        <v>45511</v>
      </c>
      <c r="G402" s="18" t="n">
        <v>41350</v>
      </c>
      <c r="H402" s="17" t="n">
        <v>45526</v>
      </c>
      <c r="I402" s="18" t="n">
        <v>37400</v>
      </c>
      <c r="J402" s="18" t="n">
        <v>33965</v>
      </c>
      <c r="K402" s="12" t="n">
        <f aca="false">I402/G402*(1-0.0025)/(1+0.001)-1</f>
        <v>-0.0986884940935725</v>
      </c>
      <c r="L402" s="4" t="n">
        <v>10</v>
      </c>
      <c r="M402" s="4" t="s">
        <v>76</v>
      </c>
    </row>
    <row r="403" customFormat="false" ht="17.15" hidden="false" customHeight="false" outlineLevel="0" collapsed="false">
      <c r="A403" s="7" t="s">
        <v>332</v>
      </c>
      <c r="B403" s="7" t="s">
        <v>333</v>
      </c>
      <c r="C403" s="7" t="s">
        <v>49</v>
      </c>
      <c r="D403" s="7" t="s">
        <v>124</v>
      </c>
      <c r="E403" s="17" t="n">
        <v>45510</v>
      </c>
      <c r="F403" s="17" t="n">
        <v>45511</v>
      </c>
      <c r="G403" s="18" t="n">
        <v>21750</v>
      </c>
      <c r="H403" s="17" t="n">
        <v>45534</v>
      </c>
      <c r="I403" s="18" t="n">
        <v>19320</v>
      </c>
      <c r="J403" s="18" t="n">
        <v>17263</v>
      </c>
      <c r="K403" s="12" t="n">
        <f aca="false">I403/G403*(1-0.0025)/(1+0.001)-1</f>
        <v>-0.114829997588618</v>
      </c>
      <c r="L403" s="4" t="n">
        <v>16</v>
      </c>
      <c r="M403" s="4" t="s">
        <v>76</v>
      </c>
    </row>
    <row r="404" customFormat="false" ht="17.15" hidden="false" customHeight="false" outlineLevel="0" collapsed="false">
      <c r="A404" s="7" t="s">
        <v>463</v>
      </c>
      <c r="B404" s="4" t="s">
        <v>464</v>
      </c>
      <c r="C404" s="7" t="s">
        <v>55</v>
      </c>
      <c r="D404" s="7" t="s">
        <v>96</v>
      </c>
      <c r="E404" s="17" t="n">
        <v>45517</v>
      </c>
      <c r="F404" s="17" t="n">
        <v>45518</v>
      </c>
      <c r="G404" s="18" t="n">
        <v>331500</v>
      </c>
      <c r="H404" s="17" t="n">
        <v>45607</v>
      </c>
      <c r="I404" s="18" t="n">
        <v>324500</v>
      </c>
      <c r="J404" s="18" t="n">
        <v>305600</v>
      </c>
      <c r="K404" s="12" t="n">
        <f aca="false">I404/G404*(1-0.0025)/(1+0.001)-1</f>
        <v>-0.0245388096066828</v>
      </c>
      <c r="L404" s="4" t="n">
        <v>56</v>
      </c>
      <c r="M404" s="4" t="s">
        <v>76</v>
      </c>
    </row>
    <row r="405" customFormat="false" ht="17.15" hidden="false" customHeight="false" outlineLevel="0" collapsed="false">
      <c r="A405" s="7" t="s">
        <v>262</v>
      </c>
      <c r="B405" s="4" t="s">
        <v>263</v>
      </c>
      <c r="C405" s="7" t="s">
        <v>56</v>
      </c>
      <c r="D405" s="4" t="s">
        <v>93</v>
      </c>
      <c r="E405" s="17" t="n">
        <v>45510</v>
      </c>
      <c r="F405" s="17" t="n">
        <v>45511</v>
      </c>
      <c r="G405" s="18" t="n">
        <v>89600</v>
      </c>
      <c r="H405" s="17" t="n">
        <v>45616</v>
      </c>
      <c r="I405" s="18" t="n">
        <v>109700</v>
      </c>
      <c r="J405" s="18" t="n">
        <v>72120</v>
      </c>
      <c r="K405" s="12" t="n">
        <f aca="false">I405/G405*(1-0.0025)/(1+0.001)-1</f>
        <v>0.220049481768232</v>
      </c>
      <c r="L405" s="4" t="n">
        <v>68</v>
      </c>
      <c r="M405" s="4" t="s">
        <v>76</v>
      </c>
    </row>
    <row r="406" customFormat="false" ht="17.15" hidden="false" customHeight="false" outlineLevel="0" collapsed="false">
      <c r="A406" s="7" t="s">
        <v>465</v>
      </c>
      <c r="B406" s="4" t="s">
        <v>466</v>
      </c>
      <c r="C406" s="7" t="s">
        <v>56</v>
      </c>
      <c r="D406" s="4" t="s">
        <v>90</v>
      </c>
      <c r="E406" s="17" t="n">
        <v>45510</v>
      </c>
      <c r="F406" s="17" t="n">
        <v>45511</v>
      </c>
      <c r="G406" s="18" t="n">
        <v>70000</v>
      </c>
      <c r="H406" s="17" t="n">
        <v>45616</v>
      </c>
      <c r="I406" s="18" t="n">
        <v>95800</v>
      </c>
      <c r="J406" s="18" t="n">
        <v>50220</v>
      </c>
      <c r="K406" s="12" t="n">
        <f aca="false">I406/G406*(1-0.0025)/(1+0.001)-1</f>
        <v>0.363786213786214</v>
      </c>
      <c r="L406" s="4" t="n">
        <v>68</v>
      </c>
      <c r="M406" s="4" t="s">
        <v>76</v>
      </c>
    </row>
    <row r="407" customFormat="false" ht="17.15" hidden="false" customHeight="false" outlineLevel="0" collapsed="false">
      <c r="A407" s="7" t="s">
        <v>88</v>
      </c>
      <c r="B407" s="4" t="s">
        <v>89</v>
      </c>
      <c r="C407" s="7" t="s">
        <v>56</v>
      </c>
      <c r="D407" s="4" t="s">
        <v>93</v>
      </c>
      <c r="E407" s="17" t="n">
        <v>45511</v>
      </c>
      <c r="F407" s="17" t="n">
        <v>45512</v>
      </c>
      <c r="G407" s="18" t="n">
        <v>228527</v>
      </c>
      <c r="H407" s="17" t="n">
        <v>45617</v>
      </c>
      <c r="I407" s="18" t="n">
        <v>264691</v>
      </c>
      <c r="J407" s="18" t="n">
        <v>184783.4</v>
      </c>
      <c r="K407" s="12" t="n">
        <f aca="false">I407/G407*(1-0.0025)/(1+0.001)-1</f>
        <v>0.154198440416262</v>
      </c>
      <c r="L407" s="4" t="n">
        <v>68</v>
      </c>
      <c r="M407" s="4" t="s">
        <v>76</v>
      </c>
    </row>
    <row r="408" customFormat="false" ht="17.15" hidden="false" customHeight="false" outlineLevel="0" collapsed="false">
      <c r="A408" s="7" t="s">
        <v>374</v>
      </c>
      <c r="B408" s="4" t="s">
        <v>375</v>
      </c>
      <c r="C408" s="7" t="s">
        <v>50</v>
      </c>
      <c r="D408" s="7" t="s">
        <v>105</v>
      </c>
      <c r="E408" s="17" t="n">
        <v>45516</v>
      </c>
      <c r="F408" s="17" t="n">
        <v>45517</v>
      </c>
      <c r="G408" s="18" t="n">
        <v>313746</v>
      </c>
      <c r="H408" s="17" t="n">
        <v>45623</v>
      </c>
      <c r="I408" s="18" t="n">
        <v>314120</v>
      </c>
      <c r="J408" s="18" t="n">
        <v>269282.1</v>
      </c>
      <c r="K408" s="12" t="n">
        <f aca="false">I408/G408*(1-0.0025)/(1+0.001)-1</f>
        <v>-0.00230862442332869</v>
      </c>
      <c r="L408" s="4" t="n">
        <v>69</v>
      </c>
      <c r="M408" s="4" t="s">
        <v>76</v>
      </c>
    </row>
    <row r="409" customFormat="false" ht="17.15" hidden="false" customHeight="false" outlineLevel="0" collapsed="false">
      <c r="A409" s="7" t="s">
        <v>378</v>
      </c>
      <c r="B409" s="4" t="s">
        <v>379</v>
      </c>
      <c r="C409" s="7" t="s">
        <v>52</v>
      </c>
      <c r="D409" s="7" t="s">
        <v>79</v>
      </c>
      <c r="E409" s="17" t="n">
        <v>45517</v>
      </c>
      <c r="F409" s="17" t="n">
        <v>45518</v>
      </c>
      <c r="G409" s="18" t="n">
        <v>54600</v>
      </c>
      <c r="H409" s="17" t="n">
        <v>45623</v>
      </c>
      <c r="I409" s="18" t="n">
        <v>51900</v>
      </c>
      <c r="J409" s="18" t="n">
        <v>46400</v>
      </c>
      <c r="K409" s="12" t="n">
        <f aca="false">I409/G409*(1-0.0025)/(1+0.001)-1</f>
        <v>-0.0527741489279949</v>
      </c>
      <c r="L409" s="4" t="n">
        <v>68</v>
      </c>
      <c r="M409" s="4" t="s">
        <v>76</v>
      </c>
    </row>
    <row r="410" customFormat="false" ht="17.15" hidden="false" customHeight="false" outlineLevel="0" collapsed="false">
      <c r="A410" s="7" t="s">
        <v>455</v>
      </c>
      <c r="B410" s="7" t="s">
        <v>456</v>
      </c>
      <c r="C410" s="7" t="s">
        <v>56</v>
      </c>
      <c r="D410" s="4" t="s">
        <v>114</v>
      </c>
      <c r="E410" s="17" t="n">
        <v>45709</v>
      </c>
      <c r="F410" s="17" t="n">
        <v>45712</v>
      </c>
      <c r="G410" s="18" t="n">
        <v>353500</v>
      </c>
      <c r="H410" s="17" t="n">
        <v>45713</v>
      </c>
      <c r="I410" s="18" t="n">
        <v>340000</v>
      </c>
      <c r="J410" s="18" t="n">
        <v>335750</v>
      </c>
      <c r="K410" s="12" t="n">
        <f aca="false">I410/G410*(1-0.0025)/(1+0.001)-1</f>
        <v>-0.0415525068990413</v>
      </c>
      <c r="L410" s="4" t="n">
        <v>1</v>
      </c>
      <c r="M410" s="4" t="s">
        <v>76</v>
      </c>
    </row>
    <row r="411" customFormat="false" ht="17.15" hidden="false" customHeight="false" outlineLevel="0" collapsed="false">
      <c r="A411" s="7" t="s">
        <v>467</v>
      </c>
      <c r="B411" s="4" t="s">
        <v>468</v>
      </c>
      <c r="C411" s="7" t="s">
        <v>52</v>
      </c>
      <c r="D411" s="7" t="s">
        <v>79</v>
      </c>
      <c r="E411" s="17" t="n">
        <v>45709</v>
      </c>
      <c r="F411" s="17" t="n">
        <v>45712</v>
      </c>
      <c r="G411" s="18" t="n">
        <v>366000</v>
      </c>
      <c r="H411" s="17" t="n">
        <v>45716</v>
      </c>
      <c r="I411" s="18" t="n">
        <v>328000</v>
      </c>
      <c r="J411" s="18" t="n">
        <v>328000</v>
      </c>
      <c r="K411" s="12" t="n">
        <f aca="false">I411/G411*(1-0.0025)/(1+0.001)-1</f>
        <v>-0.106958615155336</v>
      </c>
      <c r="L411" s="4" t="n">
        <v>4</v>
      </c>
      <c r="M411" s="4" t="s">
        <v>80</v>
      </c>
    </row>
    <row r="412" customFormat="false" ht="17.15" hidden="false" customHeight="false" outlineLevel="0" collapsed="false">
      <c r="A412" s="7" t="s">
        <v>421</v>
      </c>
      <c r="B412" s="4" t="s">
        <v>422</v>
      </c>
      <c r="C412" s="7" t="s">
        <v>56</v>
      </c>
      <c r="D412" s="4" t="s">
        <v>114</v>
      </c>
      <c r="E412" s="17" t="n">
        <v>45709</v>
      </c>
      <c r="F412" s="17" t="n">
        <v>45712</v>
      </c>
      <c r="G412" s="18" t="n">
        <v>24300</v>
      </c>
      <c r="H412" s="17" t="n">
        <v>45716</v>
      </c>
      <c r="I412" s="18" t="n">
        <v>21120</v>
      </c>
      <c r="J412" s="18" t="n">
        <v>21120</v>
      </c>
      <c r="K412" s="12" t="n">
        <f aca="false">I412/G412*(1-0.0025)/(1+0.001)-1</f>
        <v>-0.133903133903134</v>
      </c>
      <c r="L412" s="4" t="n">
        <v>4</v>
      </c>
      <c r="M412" s="4" t="s">
        <v>80</v>
      </c>
    </row>
    <row r="413" customFormat="false" ht="17.15" hidden="false" customHeight="false" outlineLevel="0" collapsed="false">
      <c r="A413" s="7" t="s">
        <v>469</v>
      </c>
      <c r="B413" s="7" t="s">
        <v>470</v>
      </c>
      <c r="C413" s="7" t="s">
        <v>50</v>
      </c>
      <c r="D413" s="7" t="s">
        <v>105</v>
      </c>
      <c r="E413" s="17" t="n">
        <v>45709</v>
      </c>
      <c r="F413" s="17" t="n">
        <v>45712</v>
      </c>
      <c r="G413" s="18" t="n">
        <v>11750</v>
      </c>
      <c r="H413" s="17" t="n">
        <v>45716</v>
      </c>
      <c r="I413" s="18" t="n">
        <v>11066</v>
      </c>
      <c r="J413" s="18" t="n">
        <v>11066</v>
      </c>
      <c r="K413" s="12" t="n">
        <f aca="false">I413/G413*(1-0.0025)/(1+0.001)-1</f>
        <v>-0.0615057283142388</v>
      </c>
      <c r="L413" s="4" t="n">
        <v>4</v>
      </c>
      <c r="M413" s="4" t="s">
        <v>80</v>
      </c>
    </row>
    <row r="414" customFormat="false" ht="17.15" hidden="false" customHeight="false" outlineLevel="0" collapsed="false">
      <c r="A414" s="7" t="s">
        <v>282</v>
      </c>
      <c r="B414" s="4" t="s">
        <v>283</v>
      </c>
      <c r="C414" s="7" t="s">
        <v>51</v>
      </c>
      <c r="D414" s="7" t="s">
        <v>117</v>
      </c>
      <c r="E414" s="17" t="n">
        <v>45709</v>
      </c>
      <c r="F414" s="17" t="n">
        <v>45712</v>
      </c>
      <c r="G414" s="18" t="n">
        <v>22953</v>
      </c>
      <c r="H414" s="17" t="n">
        <v>45720</v>
      </c>
      <c r="I414" s="18" t="n">
        <v>21307</v>
      </c>
      <c r="J414" s="18" t="n">
        <v>20014.2</v>
      </c>
      <c r="K414" s="12" t="n">
        <f aca="false">I414/G414*(1-0.0025)/(1+0.001)-1</f>
        <v>-0.0749575218925629</v>
      </c>
      <c r="L414" s="4" t="n">
        <v>5</v>
      </c>
      <c r="M414" s="4" t="s">
        <v>76</v>
      </c>
    </row>
    <row r="415" customFormat="false" ht="17.15" hidden="false" customHeight="false" outlineLevel="0" collapsed="false">
      <c r="A415" s="7" t="s">
        <v>471</v>
      </c>
      <c r="B415" s="4" t="s">
        <v>472</v>
      </c>
      <c r="C415" s="7" t="s">
        <v>54</v>
      </c>
      <c r="D415" s="7" t="s">
        <v>85</v>
      </c>
      <c r="E415" s="17" t="n">
        <v>45716</v>
      </c>
      <c r="F415" s="17" t="n">
        <v>45720</v>
      </c>
      <c r="G415" s="18" t="n">
        <v>52700</v>
      </c>
      <c r="H415" s="17" t="n">
        <v>45721</v>
      </c>
      <c r="I415" s="18" t="n">
        <v>53500</v>
      </c>
      <c r="J415" s="18" t="n">
        <v>55675</v>
      </c>
      <c r="K415" s="12" t="n">
        <f aca="false">I415/G415*(1-0.0025)/(1+0.001)-1</f>
        <v>0.0116306843062064</v>
      </c>
      <c r="L415" s="4" t="n">
        <v>1</v>
      </c>
      <c r="M415" s="4" t="s">
        <v>80</v>
      </c>
    </row>
    <row r="416" customFormat="false" ht="17.15" hidden="false" customHeight="false" outlineLevel="0" collapsed="false">
      <c r="A416" s="7" t="s">
        <v>473</v>
      </c>
      <c r="B416" s="4" t="s">
        <v>474</v>
      </c>
      <c r="C416" s="7" t="s">
        <v>52</v>
      </c>
      <c r="D416" s="7" t="s">
        <v>79</v>
      </c>
      <c r="E416" s="17" t="n">
        <v>45716</v>
      </c>
      <c r="F416" s="17" t="n">
        <v>45720</v>
      </c>
      <c r="G416" s="18" t="n">
        <v>57200</v>
      </c>
      <c r="H416" s="17" t="n">
        <v>45723</v>
      </c>
      <c r="I416" s="18" t="n">
        <v>48254</v>
      </c>
      <c r="J416" s="18" t="n">
        <v>48254</v>
      </c>
      <c r="K416" s="12" t="n">
        <f aca="false">I416/G416*(1-0.0025)/(1+0.001)-1</f>
        <v>-0.159348256638466</v>
      </c>
      <c r="L416" s="4" t="n">
        <v>3</v>
      </c>
      <c r="M416" s="4" t="s">
        <v>80</v>
      </c>
    </row>
    <row r="417" customFormat="false" ht="17.15" hidden="false" customHeight="false" outlineLevel="0" collapsed="false">
      <c r="A417" s="7" t="s">
        <v>475</v>
      </c>
      <c r="B417" s="4" t="s">
        <v>476</v>
      </c>
      <c r="C417" s="7" t="s">
        <v>49</v>
      </c>
      <c r="D417" s="7" t="s">
        <v>124</v>
      </c>
      <c r="E417" s="17" t="n">
        <v>45709</v>
      </c>
      <c r="F417" s="17" t="n">
        <v>45712</v>
      </c>
      <c r="G417" s="18" t="n">
        <v>141100</v>
      </c>
      <c r="H417" s="17" t="n">
        <v>45727</v>
      </c>
      <c r="I417" s="18" t="n">
        <v>124500</v>
      </c>
      <c r="J417" s="18" t="n">
        <v>123500</v>
      </c>
      <c r="K417" s="12" t="n">
        <f aca="false">I417/G417*(1-0.0025)/(1+0.001)-1</f>
        <v>-0.120732208967503</v>
      </c>
      <c r="L417" s="4" t="n">
        <v>10</v>
      </c>
      <c r="M417" s="4" t="s">
        <v>76</v>
      </c>
    </row>
    <row r="418" customFormat="false" ht="17.15" hidden="false" customHeight="false" outlineLevel="0" collapsed="false">
      <c r="A418" s="7" t="s">
        <v>338</v>
      </c>
      <c r="B418" s="4" t="s">
        <v>339</v>
      </c>
      <c r="C418" s="7" t="s">
        <v>56</v>
      </c>
      <c r="D418" s="4" t="s">
        <v>90</v>
      </c>
      <c r="E418" s="17" t="n">
        <v>45721</v>
      </c>
      <c r="F418" s="17" t="n">
        <v>45722</v>
      </c>
      <c r="G418" s="18" t="n">
        <v>21650</v>
      </c>
      <c r="H418" s="17" t="n">
        <v>45727</v>
      </c>
      <c r="I418" s="18" t="n">
        <v>18640</v>
      </c>
      <c r="J418" s="18" t="n">
        <v>18945</v>
      </c>
      <c r="K418" s="12" t="n">
        <f aca="false">I418/G418*(1-0.0025)/(1+0.001)-1</f>
        <v>-0.142040407629322</v>
      </c>
      <c r="L418" s="4" t="n">
        <v>3</v>
      </c>
      <c r="M418" s="4" t="s">
        <v>80</v>
      </c>
    </row>
    <row r="419" customFormat="false" ht="17.15" hidden="false" customHeight="false" outlineLevel="0" collapsed="false">
      <c r="A419" s="7" t="s">
        <v>477</v>
      </c>
      <c r="B419" s="4" t="s">
        <v>478</v>
      </c>
      <c r="C419" s="7" t="s">
        <v>50</v>
      </c>
      <c r="D419" s="7" t="s">
        <v>105</v>
      </c>
      <c r="E419" s="17" t="n">
        <v>45716</v>
      </c>
      <c r="F419" s="17" t="n">
        <v>45720</v>
      </c>
      <c r="G419" s="18" t="n">
        <v>29000</v>
      </c>
      <c r="H419" s="17" t="n">
        <v>45737</v>
      </c>
      <c r="I419" s="18" t="n">
        <v>25400</v>
      </c>
      <c r="J419" s="18" t="n">
        <v>23705</v>
      </c>
      <c r="K419" s="12" t="n">
        <f aca="false">I419/G419*(1-0.0025)/(1+0.001)-1</f>
        <v>-0.127200385821075</v>
      </c>
      <c r="L419" s="4" t="n">
        <v>13</v>
      </c>
      <c r="M419" s="4" t="s">
        <v>76</v>
      </c>
    </row>
    <row r="420" customFormat="false" ht="17.15" hidden="false" customHeight="false" outlineLevel="0" collapsed="false">
      <c r="A420" s="7" t="s">
        <v>374</v>
      </c>
      <c r="B420" s="4" t="s">
        <v>375</v>
      </c>
      <c r="C420" s="7" t="s">
        <v>54</v>
      </c>
      <c r="D420" s="7" t="s">
        <v>85</v>
      </c>
      <c r="E420" s="17" t="n">
        <v>45723</v>
      </c>
      <c r="F420" s="17" t="n">
        <v>45726</v>
      </c>
      <c r="G420" s="18" t="n">
        <v>691263</v>
      </c>
      <c r="H420" s="17" t="n">
        <v>45737</v>
      </c>
      <c r="I420" s="18" t="n">
        <v>617410</v>
      </c>
      <c r="J420" s="18" t="n">
        <v>625091.4</v>
      </c>
      <c r="K420" s="12" t="n">
        <f aca="false">I420/G420*(1-0.0025)/(1+0.001)-1</f>
        <v>-0.10996071860316</v>
      </c>
      <c r="L420" s="4" t="n">
        <v>9</v>
      </c>
      <c r="M420" s="4" t="s">
        <v>80</v>
      </c>
    </row>
    <row r="421" customFormat="false" ht="17.15" hidden="false" customHeight="false" outlineLevel="0" collapsed="false">
      <c r="A421" s="7" t="s">
        <v>479</v>
      </c>
      <c r="B421" s="4" t="s">
        <v>480</v>
      </c>
      <c r="C421" s="7" t="s">
        <v>49</v>
      </c>
      <c r="D421" s="7" t="s">
        <v>124</v>
      </c>
      <c r="E421" s="17" t="n">
        <v>45709</v>
      </c>
      <c r="F421" s="17" t="n">
        <v>45712</v>
      </c>
      <c r="G421" s="18" t="n">
        <v>7340</v>
      </c>
      <c r="H421" s="17" t="n">
        <v>45744</v>
      </c>
      <c r="I421" s="18" t="n">
        <v>6910</v>
      </c>
      <c r="J421" s="18" t="n">
        <v>6439</v>
      </c>
      <c r="K421" s="12" t="n">
        <f aca="false">I421/G421*(1-0.0025)/(1+0.001)-1</f>
        <v>-0.0618747737276346</v>
      </c>
      <c r="L421" s="4" t="n">
        <v>23</v>
      </c>
      <c r="M421" s="4" t="s">
        <v>76</v>
      </c>
    </row>
    <row r="422" customFormat="false" ht="17.15" hidden="false" customHeight="false" outlineLevel="0" collapsed="false">
      <c r="A422" s="7" t="s">
        <v>467</v>
      </c>
      <c r="B422" s="4" t="s">
        <v>468</v>
      </c>
      <c r="C422" s="7" t="s">
        <v>56</v>
      </c>
      <c r="D422" s="4" t="s">
        <v>93</v>
      </c>
      <c r="E422" s="17" t="n">
        <v>45727</v>
      </c>
      <c r="F422" s="17" t="n">
        <v>45728</v>
      </c>
      <c r="G422" s="18" t="n">
        <v>342000</v>
      </c>
      <c r="H422" s="17" t="n">
        <v>45744</v>
      </c>
      <c r="I422" s="18" t="n">
        <v>304000</v>
      </c>
      <c r="J422" s="18" t="n">
        <v>275650</v>
      </c>
      <c r="K422" s="12" t="n">
        <f aca="false">I422/G422*(1-0.0025)/(1+0.001)-1</f>
        <v>-0.114219114219114</v>
      </c>
      <c r="L422" s="4" t="n">
        <v>12</v>
      </c>
      <c r="M422" s="4" t="s">
        <v>76</v>
      </c>
    </row>
    <row r="423" customFormat="false" ht="17.15" hidden="false" customHeight="false" outlineLevel="0" collapsed="false">
      <c r="A423" s="7" t="s">
        <v>338</v>
      </c>
      <c r="B423" s="4" t="s">
        <v>339</v>
      </c>
      <c r="C423" s="7" t="s">
        <v>56</v>
      </c>
      <c r="D423" s="4" t="s">
        <v>90</v>
      </c>
      <c r="E423" s="17" t="n">
        <v>45737</v>
      </c>
      <c r="F423" s="17" t="n">
        <v>45740</v>
      </c>
      <c r="G423" s="18" t="n">
        <v>19980</v>
      </c>
      <c r="H423" s="17" t="n">
        <v>45744</v>
      </c>
      <c r="I423" s="18" t="n">
        <v>17870</v>
      </c>
      <c r="J423" s="18" t="n">
        <v>17552</v>
      </c>
      <c r="K423" s="12" t="n">
        <f aca="false">I423/G423*(1-0.0025)/(1+0.001)-1</f>
        <v>-0.108732858732859</v>
      </c>
      <c r="L423" s="4" t="n">
        <v>4</v>
      </c>
      <c r="M423" s="4" t="s">
        <v>76</v>
      </c>
    </row>
    <row r="424" customFormat="false" ht="17.15" hidden="false" customHeight="false" outlineLevel="0" collapsed="false">
      <c r="A424" s="7" t="s">
        <v>236</v>
      </c>
      <c r="B424" s="4" t="s">
        <v>237</v>
      </c>
      <c r="C424" s="7" t="s">
        <v>56</v>
      </c>
      <c r="D424" s="4" t="s">
        <v>93</v>
      </c>
      <c r="E424" s="17" t="n">
        <v>45726</v>
      </c>
      <c r="F424" s="17" t="n">
        <v>45727</v>
      </c>
      <c r="G424" s="18" t="n">
        <v>45000</v>
      </c>
      <c r="H424" s="17" t="n">
        <v>45747</v>
      </c>
      <c r="I424" s="18" t="n">
        <v>33500</v>
      </c>
      <c r="J424" s="18" t="n">
        <v>32950</v>
      </c>
      <c r="K424" s="12" t="n">
        <f aca="false">I424/G424*(1-0.0025)/(1+0.001)-1</f>
        <v>-0.258158508158508</v>
      </c>
      <c r="L424" s="4" t="n">
        <v>14</v>
      </c>
      <c r="M424" s="4" t="s">
        <v>76</v>
      </c>
    </row>
    <row r="425" customFormat="false" ht="17.15" hidden="false" customHeight="false" outlineLevel="0" collapsed="false">
      <c r="A425" s="7" t="s">
        <v>232</v>
      </c>
      <c r="B425" s="4" t="s">
        <v>233</v>
      </c>
      <c r="C425" s="7" t="s">
        <v>52</v>
      </c>
      <c r="D425" s="7" t="s">
        <v>79</v>
      </c>
      <c r="E425" s="17" t="n">
        <v>45712</v>
      </c>
      <c r="F425" s="17" t="n">
        <v>45713</v>
      </c>
      <c r="G425" s="18" t="n">
        <v>35950</v>
      </c>
      <c r="H425" s="17" t="n">
        <v>45754</v>
      </c>
      <c r="I425" s="18" t="n">
        <v>30356</v>
      </c>
      <c r="J425" s="18" t="n">
        <v>30356</v>
      </c>
      <c r="K425" s="12" t="n">
        <f aca="false">I425/G425*(1-0.0025)/(1+0.001)-1</f>
        <v>-0.158557436999718</v>
      </c>
      <c r="L425" s="4" t="n">
        <v>28</v>
      </c>
      <c r="M425" s="4" t="s">
        <v>80</v>
      </c>
    </row>
    <row r="426" customFormat="false" ht="17.15" hidden="false" customHeight="false" outlineLevel="0" collapsed="false">
      <c r="A426" s="7" t="s">
        <v>481</v>
      </c>
      <c r="B426" s="4" t="s">
        <v>482</v>
      </c>
      <c r="C426" s="7" t="s">
        <v>48</v>
      </c>
      <c r="D426" s="7" t="s">
        <v>75</v>
      </c>
      <c r="E426" s="17" t="n">
        <v>45709</v>
      </c>
      <c r="F426" s="17" t="n">
        <v>45712</v>
      </c>
      <c r="G426" s="18" t="n">
        <v>153700</v>
      </c>
      <c r="H426" s="17" t="n">
        <v>45755</v>
      </c>
      <c r="I426" s="18" t="n">
        <v>166500</v>
      </c>
      <c r="J426" s="18" t="n">
        <v>148880</v>
      </c>
      <c r="K426" s="12" t="n">
        <f aca="false">I426/G426*(1-0.0025)/(1+0.001)-1</f>
        <v>0.0794914259455575</v>
      </c>
      <c r="L426" s="4" t="n">
        <v>30</v>
      </c>
      <c r="M426" s="4" t="s">
        <v>76</v>
      </c>
    </row>
    <row r="427" customFormat="false" ht="17.15" hidden="false" customHeight="false" outlineLevel="0" collapsed="false">
      <c r="A427" s="7" t="s">
        <v>483</v>
      </c>
      <c r="B427" s="4" t="s">
        <v>484</v>
      </c>
      <c r="C427" s="7" t="s">
        <v>48</v>
      </c>
      <c r="D427" s="7" t="s">
        <v>75</v>
      </c>
      <c r="E427" s="17" t="n">
        <v>45743</v>
      </c>
      <c r="F427" s="17" t="n">
        <v>45744</v>
      </c>
      <c r="G427" s="18" t="n">
        <v>240500</v>
      </c>
      <c r="H427" s="17" t="n">
        <v>45755</v>
      </c>
      <c r="I427" s="18" t="n">
        <v>237000</v>
      </c>
      <c r="J427" s="18" t="n">
        <v>226350</v>
      </c>
      <c r="K427" s="12" t="n">
        <f aca="false">I427/G427*(1-0.0025)/(1+0.001)-1</f>
        <v>-0.0179986333832486</v>
      </c>
      <c r="L427" s="4" t="n">
        <v>7</v>
      </c>
      <c r="M427" s="4" t="s">
        <v>76</v>
      </c>
    </row>
    <row r="428" customFormat="false" ht="17.15" hidden="false" customHeight="false" outlineLevel="0" collapsed="false">
      <c r="A428" s="7" t="s">
        <v>153</v>
      </c>
      <c r="B428" s="4" t="s">
        <v>154</v>
      </c>
      <c r="C428" s="7" t="s">
        <v>52</v>
      </c>
      <c r="D428" s="7" t="s">
        <v>79</v>
      </c>
      <c r="E428" s="17" t="n">
        <v>45716</v>
      </c>
      <c r="F428" s="17" t="n">
        <v>45720</v>
      </c>
      <c r="G428" s="18" t="n">
        <v>66000</v>
      </c>
      <c r="H428" s="17" t="n">
        <v>45755</v>
      </c>
      <c r="I428" s="18" t="n">
        <v>58000</v>
      </c>
      <c r="J428" s="18" t="n">
        <v>58000</v>
      </c>
      <c r="K428" s="12" t="n">
        <f aca="false">I428/G428*(1-0.0025)/(1+0.001)-1</f>
        <v>-0.124284806102988</v>
      </c>
      <c r="L428" s="4" t="n">
        <v>25</v>
      </c>
      <c r="M428" s="4" t="s">
        <v>80</v>
      </c>
    </row>
    <row r="429" customFormat="false" ht="17.15" hidden="false" customHeight="false" outlineLevel="0" collapsed="false">
      <c r="A429" s="7" t="s">
        <v>485</v>
      </c>
      <c r="B429" s="7" t="s">
        <v>486</v>
      </c>
      <c r="C429" s="7" t="s">
        <v>54</v>
      </c>
      <c r="D429" s="7" t="s">
        <v>85</v>
      </c>
      <c r="E429" s="17" t="n">
        <v>45709</v>
      </c>
      <c r="F429" s="17" t="n">
        <v>45712</v>
      </c>
      <c r="G429" s="18" t="n">
        <v>39500</v>
      </c>
      <c r="H429" s="17" t="n">
        <v>45756</v>
      </c>
      <c r="I429" s="18" t="n">
        <v>37205</v>
      </c>
      <c r="J429" s="18" t="n">
        <v>37205</v>
      </c>
      <c r="K429" s="12" t="n">
        <f aca="false">I429/G429*(1-0.0025)/(1+0.001)-1</f>
        <v>-0.0613946180401875</v>
      </c>
      <c r="L429" s="4" t="n">
        <v>31</v>
      </c>
      <c r="M429" s="4" t="s">
        <v>80</v>
      </c>
    </row>
    <row r="430" customFormat="false" ht="17.15" hidden="false" customHeight="false" outlineLevel="0" collapsed="false">
      <c r="A430" s="7" t="s">
        <v>487</v>
      </c>
      <c r="B430" s="4" t="s">
        <v>488</v>
      </c>
      <c r="C430" s="7" t="s">
        <v>48</v>
      </c>
      <c r="D430" s="7" t="s">
        <v>75</v>
      </c>
      <c r="E430" s="17" t="n">
        <v>45743</v>
      </c>
      <c r="F430" s="17" t="n">
        <v>45744</v>
      </c>
      <c r="G430" s="18" t="n">
        <v>40900</v>
      </c>
      <c r="H430" s="17" t="n">
        <v>45756</v>
      </c>
      <c r="I430" s="18" t="n">
        <v>36520</v>
      </c>
      <c r="J430" s="18" t="n">
        <v>36520</v>
      </c>
      <c r="K430" s="12" t="n">
        <f aca="false">I430/G430*(1-0.0025)/(1+0.001)-1</f>
        <v>-0.110212525860448</v>
      </c>
      <c r="L430" s="4" t="n">
        <v>8</v>
      </c>
      <c r="M430" s="4" t="s">
        <v>80</v>
      </c>
    </row>
    <row r="431" customFormat="false" ht="17.15" hidden="false" customHeight="false" outlineLevel="0" collapsed="false">
      <c r="A431" s="7" t="s">
        <v>489</v>
      </c>
      <c r="B431" s="4" t="s">
        <v>490</v>
      </c>
      <c r="C431" s="7" t="s">
        <v>56</v>
      </c>
      <c r="D431" s="4" t="s">
        <v>93</v>
      </c>
      <c r="E431" s="17" t="n">
        <v>45756</v>
      </c>
      <c r="F431" s="17" t="n">
        <v>45757</v>
      </c>
      <c r="G431" s="18" t="n">
        <v>228500</v>
      </c>
      <c r="H431" s="17" t="n">
        <v>45761</v>
      </c>
      <c r="I431" s="18" t="n">
        <v>224000</v>
      </c>
      <c r="J431" s="18" t="n">
        <v>189000</v>
      </c>
      <c r="K431" s="12" t="n">
        <f aca="false">I431/G431*(1-0.0025)/(1+0.001)-1</f>
        <v>-0.0231212988324585</v>
      </c>
      <c r="L431" s="4" t="n">
        <v>2</v>
      </c>
      <c r="M431" s="4" t="s">
        <v>76</v>
      </c>
    </row>
    <row r="432" customFormat="false" ht="17.15" hidden="false" customHeight="false" outlineLevel="0" collapsed="false">
      <c r="A432" s="7" t="s">
        <v>338</v>
      </c>
      <c r="B432" s="4" t="s">
        <v>339</v>
      </c>
      <c r="C432" s="7" t="s">
        <v>56</v>
      </c>
      <c r="D432" s="4" t="s">
        <v>90</v>
      </c>
      <c r="E432" s="17" t="n">
        <v>45758</v>
      </c>
      <c r="F432" s="17" t="n">
        <v>45761</v>
      </c>
      <c r="G432" s="18" t="n">
        <v>18080</v>
      </c>
      <c r="H432" s="17" t="n">
        <v>45762</v>
      </c>
      <c r="I432" s="18" t="n">
        <v>18280</v>
      </c>
      <c r="J432" s="18" t="n">
        <v>15764</v>
      </c>
      <c r="K432" s="12" t="n">
        <f aca="false">I432/G432*(1-0.0025)/(1+0.001)-1</f>
        <v>0.0075267652701283</v>
      </c>
      <c r="L432" s="4" t="n">
        <v>1</v>
      </c>
      <c r="M432" s="4" t="s">
        <v>76</v>
      </c>
    </row>
    <row r="433" customFormat="false" ht="17.15" hidden="false" customHeight="false" outlineLevel="0" collapsed="false">
      <c r="A433" s="7" t="s">
        <v>336</v>
      </c>
      <c r="B433" s="4" t="s">
        <v>337</v>
      </c>
      <c r="C433" s="7" t="s">
        <v>52</v>
      </c>
      <c r="D433" s="7" t="s">
        <v>79</v>
      </c>
      <c r="E433" s="17" t="n">
        <v>45754</v>
      </c>
      <c r="F433" s="17" t="n">
        <v>45755</v>
      </c>
      <c r="G433" s="18" t="n">
        <v>45300</v>
      </c>
      <c r="H433" s="17" t="n">
        <v>45762</v>
      </c>
      <c r="I433" s="18" t="n">
        <v>37850</v>
      </c>
      <c r="J433" s="18" t="n">
        <v>37850</v>
      </c>
      <c r="K433" s="12" t="n">
        <f aca="false">I433/G433*(1-0.0025)/(1+0.001)-1</f>
        <v>-0.16738063261242</v>
      </c>
      <c r="L433" s="4" t="n">
        <v>5</v>
      </c>
      <c r="M433" s="4" t="s">
        <v>80</v>
      </c>
    </row>
    <row r="434" customFormat="false" ht="17.15" hidden="false" customHeight="false" outlineLevel="0" collapsed="false">
      <c r="A434" s="7" t="s">
        <v>399</v>
      </c>
      <c r="B434" s="4" t="s">
        <v>400</v>
      </c>
      <c r="C434" s="7" t="s">
        <v>56</v>
      </c>
      <c r="D434" s="4" t="s">
        <v>90</v>
      </c>
      <c r="E434" s="17" t="n">
        <v>45761</v>
      </c>
      <c r="F434" s="17" t="n">
        <v>45762</v>
      </c>
      <c r="G434" s="18" t="n">
        <v>284500</v>
      </c>
      <c r="H434" s="17" t="n">
        <v>45763</v>
      </c>
      <c r="I434" s="18" t="n">
        <v>284500</v>
      </c>
      <c r="J434" s="18" t="n">
        <v>253850</v>
      </c>
      <c r="K434" s="12" t="n">
        <f aca="false">I434/G434*(1-0.0025)/(1+0.001)-1</f>
        <v>-0.00349650349650332</v>
      </c>
      <c r="L434" s="4" t="n">
        <v>1</v>
      </c>
      <c r="M434" s="4" t="s">
        <v>76</v>
      </c>
    </row>
    <row r="435" customFormat="false" ht="17.15" hidden="false" customHeight="false" outlineLevel="0" collapsed="false">
      <c r="A435" s="7" t="s">
        <v>218</v>
      </c>
      <c r="B435" s="4" t="s">
        <v>219</v>
      </c>
      <c r="C435" s="7" t="s">
        <v>50</v>
      </c>
      <c r="D435" s="7" t="s">
        <v>105</v>
      </c>
      <c r="E435" s="17" t="n">
        <v>45736</v>
      </c>
      <c r="F435" s="17" t="n">
        <v>45737</v>
      </c>
      <c r="G435" s="18" t="n">
        <v>80000</v>
      </c>
      <c r="H435" s="17" t="n">
        <v>45768</v>
      </c>
      <c r="I435" s="18" t="n">
        <v>71240</v>
      </c>
      <c r="J435" s="18" t="n">
        <v>71240</v>
      </c>
      <c r="K435" s="12" t="n">
        <f aca="false">I435/G435*(1-0.0025)/(1+0.001)-1</f>
        <v>-0.112613636363636</v>
      </c>
      <c r="L435" s="4" t="n">
        <v>21</v>
      </c>
      <c r="M435" s="4" t="s">
        <v>80</v>
      </c>
    </row>
    <row r="436" customFormat="false" ht="17.15" hidden="false" customHeight="false" outlineLevel="0" collapsed="false">
      <c r="A436" s="7" t="s">
        <v>477</v>
      </c>
      <c r="B436" s="4" t="s">
        <v>478</v>
      </c>
      <c r="C436" s="7" t="s">
        <v>53</v>
      </c>
      <c r="D436" s="7" t="s">
        <v>193</v>
      </c>
      <c r="E436" s="17" t="n">
        <v>45762</v>
      </c>
      <c r="F436" s="17" t="n">
        <v>45763</v>
      </c>
      <c r="G436" s="18" t="n">
        <v>28250</v>
      </c>
      <c r="H436" s="17" t="n">
        <v>45768</v>
      </c>
      <c r="I436" s="18" t="n">
        <v>26415</v>
      </c>
      <c r="J436" s="18" t="n">
        <v>26415</v>
      </c>
      <c r="K436" s="12" t="n">
        <f aca="false">I436/G436*(1-0.0025)/(1+0.001)-1</f>
        <v>-0.0682251376941642</v>
      </c>
      <c r="L436" s="4" t="n">
        <v>3</v>
      </c>
      <c r="M436" s="4" t="s">
        <v>80</v>
      </c>
    </row>
    <row r="437" customFormat="false" ht="17.15" hidden="false" customHeight="false" outlineLevel="0" collapsed="false">
      <c r="A437" s="7" t="s">
        <v>387</v>
      </c>
      <c r="B437" s="4" t="s">
        <v>388</v>
      </c>
      <c r="C437" s="7" t="s">
        <v>53</v>
      </c>
      <c r="D437" s="7" t="s">
        <v>131</v>
      </c>
      <c r="E437" s="17" t="n">
        <v>45768</v>
      </c>
      <c r="F437" s="17" t="n">
        <v>45769</v>
      </c>
      <c r="G437" s="18" t="n">
        <v>35009</v>
      </c>
      <c r="H437" s="17" t="n">
        <v>45776</v>
      </c>
      <c r="I437" s="18" t="n">
        <v>33450</v>
      </c>
      <c r="J437" s="18" t="n">
        <v>31186.2</v>
      </c>
      <c r="K437" s="12" t="n">
        <f aca="false">I437/G437*(1-0.0025)/(1+0.001)-1</f>
        <v>-0.0478722054888182</v>
      </c>
      <c r="L437" s="4" t="n">
        <v>5</v>
      </c>
      <c r="M437" s="4" t="s">
        <v>76</v>
      </c>
    </row>
    <row r="438" customFormat="false" ht="17.15" hidden="false" customHeight="false" outlineLevel="0" collapsed="false">
      <c r="A438" s="7" t="s">
        <v>435</v>
      </c>
      <c r="B438" s="4" t="s">
        <v>436</v>
      </c>
      <c r="C438" s="7" t="s">
        <v>56</v>
      </c>
      <c r="D438" s="4" t="s">
        <v>93</v>
      </c>
      <c r="E438" s="17" t="n">
        <v>45762</v>
      </c>
      <c r="F438" s="17" t="n">
        <v>45763</v>
      </c>
      <c r="G438" s="18" t="n">
        <v>55100</v>
      </c>
      <c r="H438" s="17" t="n">
        <v>45786</v>
      </c>
      <c r="I438" s="18" t="n">
        <v>51405</v>
      </c>
      <c r="J438" s="18" t="n">
        <v>51405</v>
      </c>
      <c r="K438" s="12" t="n">
        <f aca="false">I438/G438*(1-0.0025)/(1+0.001)-1</f>
        <v>-0.0703219194598502</v>
      </c>
      <c r="L438" s="4" t="n">
        <v>14</v>
      </c>
      <c r="M438" s="4" t="s">
        <v>80</v>
      </c>
    </row>
    <row r="439" customFormat="false" ht="17.15" hidden="false" customHeight="false" outlineLevel="0" collapsed="false">
      <c r="A439" s="7" t="s">
        <v>473</v>
      </c>
      <c r="B439" s="4" t="s">
        <v>474</v>
      </c>
      <c r="C439" s="7" t="s">
        <v>49</v>
      </c>
      <c r="D439" s="7" t="s">
        <v>124</v>
      </c>
      <c r="E439" s="17" t="n">
        <v>45744</v>
      </c>
      <c r="F439" s="17" t="n">
        <v>45747</v>
      </c>
      <c r="G439" s="18" t="n">
        <v>38300</v>
      </c>
      <c r="H439" s="17" t="n">
        <v>45789</v>
      </c>
      <c r="I439" s="18" t="n">
        <v>42500</v>
      </c>
      <c r="J439" s="18" t="n">
        <v>33355</v>
      </c>
      <c r="K439" s="12" t="n">
        <f aca="false">I439/G439*(1-0.0025)/(1+0.001)-1</f>
        <v>0.105780642334167</v>
      </c>
      <c r="L439" s="4" t="n">
        <v>27</v>
      </c>
      <c r="M439" s="4" t="s">
        <v>76</v>
      </c>
    </row>
    <row r="440" customFormat="false" ht="17.15" hidden="false" customHeight="false" outlineLevel="0" collapsed="false">
      <c r="A440" s="7" t="s">
        <v>473</v>
      </c>
      <c r="B440" s="4" t="s">
        <v>474</v>
      </c>
      <c r="C440" s="7" t="s">
        <v>56</v>
      </c>
      <c r="D440" s="4" t="s">
        <v>114</v>
      </c>
      <c r="E440" s="17" t="n">
        <v>45790</v>
      </c>
      <c r="F440" s="17" t="n">
        <v>45791</v>
      </c>
      <c r="G440" s="18" t="n">
        <v>44200</v>
      </c>
      <c r="H440" s="17" t="n">
        <v>45792</v>
      </c>
      <c r="I440" s="18" t="n">
        <v>44050</v>
      </c>
      <c r="J440" s="18" t="n">
        <v>36200</v>
      </c>
      <c r="K440" s="12" t="n">
        <f aca="false">I440/G440*(1-0.0025)/(1+0.001)-1</f>
        <v>-0.00687830269278222</v>
      </c>
      <c r="L440" s="4" t="n">
        <v>1</v>
      </c>
      <c r="M440" s="4" t="s">
        <v>76</v>
      </c>
    </row>
    <row r="441" customFormat="false" ht="17.15" hidden="false" customHeight="false" outlineLevel="0" collapsed="false">
      <c r="A441" s="7" t="s">
        <v>417</v>
      </c>
      <c r="B441" s="4" t="s">
        <v>418</v>
      </c>
      <c r="C441" s="7" t="s">
        <v>52</v>
      </c>
      <c r="D441" s="7" t="s">
        <v>382</v>
      </c>
      <c r="E441" s="17" t="n">
        <v>45790</v>
      </c>
      <c r="F441" s="17" t="n">
        <v>45791</v>
      </c>
      <c r="G441" s="18" t="n">
        <v>16260</v>
      </c>
      <c r="H441" s="17" t="n">
        <v>45796</v>
      </c>
      <c r="I441" s="18" t="n">
        <v>11521</v>
      </c>
      <c r="J441" s="18" t="n">
        <v>11521</v>
      </c>
      <c r="K441" s="12" t="n">
        <f aca="false">I441/G441*(1-0.0025)/(1+0.001)-1</f>
        <v>-0.293928857120739</v>
      </c>
      <c r="L441" s="4" t="n">
        <v>3</v>
      </c>
      <c r="M441" s="4" t="s">
        <v>80</v>
      </c>
    </row>
    <row r="442" customFormat="false" ht="17.15" hidden="false" customHeight="false" outlineLevel="0" collapsed="false">
      <c r="A442" s="7" t="s">
        <v>143</v>
      </c>
      <c r="B442" s="4" t="s">
        <v>144</v>
      </c>
      <c r="C442" s="7" t="s">
        <v>51</v>
      </c>
      <c r="D442" s="7" t="s">
        <v>117</v>
      </c>
      <c r="E442" s="17" t="n">
        <v>45755</v>
      </c>
      <c r="F442" s="17" t="n">
        <v>45756</v>
      </c>
      <c r="G442" s="18" t="n">
        <v>68600</v>
      </c>
      <c r="H442" s="17" t="n">
        <v>45803</v>
      </c>
      <c r="I442" s="18" t="n">
        <v>75200</v>
      </c>
      <c r="J442" s="18" t="n">
        <v>58175</v>
      </c>
      <c r="K442" s="12" t="n">
        <f aca="false">I442/G442*(1-0.0025)/(1+0.001)-1</f>
        <v>0.0923770107443578</v>
      </c>
      <c r="L442" s="4" t="n">
        <v>30</v>
      </c>
      <c r="M442" s="4" t="s">
        <v>76</v>
      </c>
    </row>
    <row r="443" customFormat="false" ht="17.15" hidden="false" customHeight="false" outlineLevel="0" collapsed="false">
      <c r="A443" s="7" t="s">
        <v>491</v>
      </c>
      <c r="B443" s="4" t="s">
        <v>492</v>
      </c>
      <c r="C443" s="7" t="s">
        <v>54</v>
      </c>
      <c r="D443" s="7" t="s">
        <v>85</v>
      </c>
      <c r="E443" s="17" t="n">
        <v>45709</v>
      </c>
      <c r="F443" s="17" t="n">
        <v>45712</v>
      </c>
      <c r="G443" s="18" t="n">
        <v>76600</v>
      </c>
      <c r="H443" s="17" t="n">
        <v>45812</v>
      </c>
      <c r="I443" s="18" t="n">
        <v>85300</v>
      </c>
      <c r="J443" s="18" t="n">
        <v>73580</v>
      </c>
      <c r="K443" s="12" t="n">
        <f aca="false">I443/G443*(1-0.0025)/(1+0.001)-1</f>
        <v>0.109683397542406</v>
      </c>
      <c r="L443" s="4" t="n">
        <v>67</v>
      </c>
      <c r="M443" s="4" t="s">
        <v>76</v>
      </c>
    </row>
    <row r="444" customFormat="false" ht="17.15" hidden="false" customHeight="false" outlineLevel="0" collapsed="false">
      <c r="A444" s="7" t="s">
        <v>473</v>
      </c>
      <c r="B444" s="4" t="s">
        <v>474</v>
      </c>
      <c r="C444" s="7" t="s">
        <v>54</v>
      </c>
      <c r="D444" s="7" t="s">
        <v>85</v>
      </c>
      <c r="E444" s="17" t="n">
        <v>45810</v>
      </c>
      <c r="F444" s="17" t="n">
        <v>45812</v>
      </c>
      <c r="G444" s="18" t="n">
        <v>51700</v>
      </c>
      <c r="H444" s="17" t="n">
        <v>45813</v>
      </c>
      <c r="I444" s="18" t="n">
        <v>49000</v>
      </c>
      <c r="J444" s="18" t="n">
        <v>49000</v>
      </c>
      <c r="K444" s="12" t="n">
        <f aca="false">I444/G444*(1-0.0025)/(1+0.001)-1</f>
        <v>-0.0555382721727015</v>
      </c>
      <c r="L444" s="4" t="n">
        <v>1</v>
      </c>
      <c r="M444" s="4" t="s">
        <v>80</v>
      </c>
    </row>
    <row r="445" customFormat="false" ht="17.15" hidden="false" customHeight="false" outlineLevel="0" collapsed="false">
      <c r="A445" s="7" t="s">
        <v>374</v>
      </c>
      <c r="B445" s="4" t="s">
        <v>375</v>
      </c>
      <c r="C445" s="7" t="s">
        <v>50</v>
      </c>
      <c r="D445" s="7" t="s">
        <v>105</v>
      </c>
      <c r="E445" s="17" t="n">
        <v>45756</v>
      </c>
      <c r="F445" s="17" t="n">
        <v>45757</v>
      </c>
      <c r="G445" s="18" t="n">
        <v>728682</v>
      </c>
      <c r="H445" s="17" t="n">
        <v>45841</v>
      </c>
      <c r="I445" s="18" t="n">
        <v>846000</v>
      </c>
      <c r="J445" s="18" t="n">
        <v>587671.9</v>
      </c>
      <c r="K445" s="12" t="n">
        <f aca="false">I445/G445*(1-0.0025)/(1+0.001)-1</f>
        <v>0.156940830213945</v>
      </c>
      <c r="L445" s="4" t="n">
        <v>55</v>
      </c>
      <c r="M445" s="4" t="s">
        <v>76</v>
      </c>
    </row>
    <row r="446" customFormat="false" ht="17.15" hidden="false" customHeight="false" outlineLevel="0" collapsed="false">
      <c r="A446" s="7" t="s">
        <v>493</v>
      </c>
      <c r="B446" s="4" t="s">
        <v>494</v>
      </c>
      <c r="C446" s="7" t="s">
        <v>56</v>
      </c>
      <c r="D446" s="4" t="s">
        <v>90</v>
      </c>
      <c r="E446" s="17" t="n">
        <v>45754</v>
      </c>
      <c r="F446" s="17" t="n">
        <v>45755</v>
      </c>
      <c r="G446" s="18" t="n">
        <v>51000</v>
      </c>
      <c r="H446" s="17" t="n">
        <v>45845</v>
      </c>
      <c r="I446" s="18" t="n">
        <v>60800</v>
      </c>
      <c r="J446" s="18" t="n">
        <v>38445</v>
      </c>
      <c r="K446" s="12" t="n">
        <f aca="false">I446/G446*(1-0.0025)/(1+0.001)-1</f>
        <v>0.187988482106129</v>
      </c>
      <c r="L446" s="4" t="n">
        <v>59</v>
      </c>
      <c r="M446" s="4" t="s">
        <v>76</v>
      </c>
    </row>
    <row r="447" customFormat="false" ht="17.15" hidden="false" customHeight="false" outlineLevel="0" collapsed="false">
      <c r="A447" s="7" t="s">
        <v>395</v>
      </c>
      <c r="B447" s="4" t="s">
        <v>396</v>
      </c>
      <c r="C447" s="7" t="s">
        <v>53</v>
      </c>
      <c r="D447" s="7" t="s">
        <v>131</v>
      </c>
      <c r="E447" s="17" t="n">
        <v>45754</v>
      </c>
      <c r="F447" s="17" t="n">
        <v>45755</v>
      </c>
      <c r="G447" s="18" t="n">
        <v>30700</v>
      </c>
      <c r="H447" s="17" t="n">
        <v>45861</v>
      </c>
      <c r="I447" s="18" t="n">
        <v>39950</v>
      </c>
      <c r="J447" s="18" t="n">
        <v>24805</v>
      </c>
      <c r="K447" s="12" t="n">
        <f aca="false">I447/G447*(1-0.0025)/(1+0.001)-1</f>
        <v>0.296752921345755</v>
      </c>
      <c r="L447" s="4" t="n">
        <v>71</v>
      </c>
      <c r="M447" s="4" t="s">
        <v>76</v>
      </c>
    </row>
    <row r="448" customFormat="false" ht="17.15" hidden="false" customHeight="false" outlineLevel="0" collapsed="false">
      <c r="A448" s="7" t="s">
        <v>338</v>
      </c>
      <c r="B448" s="4" t="s">
        <v>339</v>
      </c>
      <c r="C448" s="7" t="s">
        <v>52</v>
      </c>
      <c r="D448" s="7" t="s">
        <v>79</v>
      </c>
      <c r="E448" s="17" t="n">
        <v>45793</v>
      </c>
      <c r="F448" s="17" t="n">
        <v>45796</v>
      </c>
      <c r="G448" s="18" t="n">
        <v>37000</v>
      </c>
      <c r="H448" s="17" t="n">
        <v>45861</v>
      </c>
      <c r="I448" s="18" t="n">
        <v>35950</v>
      </c>
      <c r="J448" s="18" t="n">
        <v>33190</v>
      </c>
      <c r="K448" s="12" t="n">
        <f aca="false">I448/G448*(1-0.0025)/(1+0.001)-1</f>
        <v>-0.0317756567756566</v>
      </c>
      <c r="L448" s="4" t="n">
        <v>45</v>
      </c>
      <c r="M448" s="4" t="s">
        <v>76</v>
      </c>
    </row>
    <row r="449" customFormat="false" ht="17.15" hidden="false" customHeight="false" outlineLevel="0" collapsed="false">
      <c r="A449" s="7" t="s">
        <v>336</v>
      </c>
      <c r="B449" s="4" t="s">
        <v>337</v>
      </c>
      <c r="C449" s="7" t="s">
        <v>56</v>
      </c>
      <c r="D449" s="4" t="s">
        <v>90</v>
      </c>
      <c r="E449" s="17" t="n">
        <v>45768</v>
      </c>
      <c r="F449" s="17" t="n">
        <v>45769</v>
      </c>
      <c r="G449" s="18" t="n">
        <v>35850</v>
      </c>
      <c r="H449" s="17" t="n">
        <v>45863</v>
      </c>
      <c r="I449" s="18" t="n">
        <v>54000</v>
      </c>
      <c r="J449" s="18" t="n">
        <v>25120</v>
      </c>
      <c r="K449" s="12" t="n">
        <f aca="false">I449/G449*(1-0.0025)/(1+0.001)-1</f>
        <v>0.501009450800246</v>
      </c>
      <c r="L449" s="4" t="n">
        <v>63</v>
      </c>
      <c r="M449" s="4" t="s">
        <v>76</v>
      </c>
    </row>
    <row r="450" customFormat="false" ht="17.15" hidden="false" customHeight="false" outlineLevel="0" collapsed="false">
      <c r="A450" s="7" t="s">
        <v>340</v>
      </c>
      <c r="B450" s="4" t="s">
        <v>341</v>
      </c>
      <c r="C450" s="7" t="s">
        <v>57</v>
      </c>
      <c r="D450" s="4" t="s">
        <v>140</v>
      </c>
      <c r="E450" s="17" t="n">
        <v>45743</v>
      </c>
      <c r="F450" s="17" t="n">
        <v>45744</v>
      </c>
      <c r="G450" s="18" t="n">
        <v>107000</v>
      </c>
      <c r="H450" s="17" t="n">
        <v>45866</v>
      </c>
      <c r="I450" s="18" t="n">
        <v>123800</v>
      </c>
      <c r="J450" s="18" t="n">
        <v>98260</v>
      </c>
      <c r="K450" s="12" t="n">
        <f aca="false">I450/G450*(1-0.0025)/(1+0.001)-1</f>
        <v>0.152963858571336</v>
      </c>
      <c r="L450" s="4" t="n">
        <v>81</v>
      </c>
      <c r="M450" s="4" t="s">
        <v>76</v>
      </c>
    </row>
    <row r="451" customFormat="false" ht="17.15" hidden="false" customHeight="false" outlineLevel="0" collapsed="false">
      <c r="A451" s="7" t="s">
        <v>385</v>
      </c>
      <c r="B451" s="7" t="s">
        <v>386</v>
      </c>
      <c r="C451" s="7" t="s">
        <v>48</v>
      </c>
      <c r="D451" s="7" t="s">
        <v>75</v>
      </c>
      <c r="E451" s="17" t="n">
        <v>45842</v>
      </c>
      <c r="F451" s="17" t="n">
        <v>45845</v>
      </c>
      <c r="G451" s="18" t="n">
        <v>16660</v>
      </c>
      <c r="H451" s="17" t="n">
        <v>45867</v>
      </c>
      <c r="I451" s="18" t="n">
        <v>15248</v>
      </c>
      <c r="J451" s="18" t="n">
        <v>15248</v>
      </c>
      <c r="K451" s="12" t="n">
        <f aca="false">I451/G451*(1-0.0025)/(1+0.001)-1</f>
        <v>-0.0879540627439785</v>
      </c>
      <c r="L451" s="4" t="n">
        <v>16</v>
      </c>
      <c r="M451" s="4" t="s">
        <v>80</v>
      </c>
    </row>
    <row r="452" customFormat="false" ht="17.15" hidden="false" customHeight="false" outlineLevel="0" collapsed="false">
      <c r="A452" s="7" t="s">
        <v>493</v>
      </c>
      <c r="B452" s="4" t="s">
        <v>494</v>
      </c>
      <c r="C452" s="7" t="s">
        <v>52</v>
      </c>
      <c r="D452" s="7" t="s">
        <v>382</v>
      </c>
      <c r="E452" s="17" t="n">
        <v>45862</v>
      </c>
      <c r="F452" s="17" t="n">
        <v>45863</v>
      </c>
      <c r="G452" s="18" t="n">
        <v>83800</v>
      </c>
      <c r="H452" s="17" t="n">
        <v>45867</v>
      </c>
      <c r="I452" s="18" t="n">
        <v>78190</v>
      </c>
      <c r="J452" s="18" t="n">
        <v>78190</v>
      </c>
      <c r="K452" s="12" t="n">
        <f aca="false">I452/G452*(1-0.0025)/(1+0.001)-1</f>
        <v>-0.0702075370929786</v>
      </c>
      <c r="L452" s="4" t="n">
        <v>2</v>
      </c>
      <c r="M452" s="4" t="s">
        <v>80</v>
      </c>
    </row>
    <row r="453" customFormat="false" ht="17.15" hidden="false" customHeight="false" outlineLevel="0" collapsed="false">
      <c r="A453" s="7" t="s">
        <v>495</v>
      </c>
      <c r="B453" s="4" t="s">
        <v>496</v>
      </c>
      <c r="C453" s="7" t="s">
        <v>49</v>
      </c>
      <c r="D453" s="7" t="s">
        <v>124</v>
      </c>
      <c r="E453" s="17" t="n">
        <v>45840</v>
      </c>
      <c r="F453" s="17" t="n">
        <v>45841</v>
      </c>
      <c r="G453" s="18" t="n">
        <v>20550</v>
      </c>
      <c r="H453" s="17" t="n">
        <v>45868</v>
      </c>
      <c r="I453" s="18" t="n">
        <v>18850</v>
      </c>
      <c r="J453" s="18" t="n">
        <v>17396</v>
      </c>
      <c r="K453" s="12" t="n">
        <f aca="false">I453/G453*(1-0.0025)/(1+0.001)-1</f>
        <v>-0.085932315859323</v>
      </c>
      <c r="L453" s="4" t="n">
        <v>19</v>
      </c>
      <c r="M453" s="4" t="s">
        <v>76</v>
      </c>
    </row>
    <row r="454" customFormat="false" ht="17.15" hidden="false" customHeight="false" outlineLevel="0" collapsed="false">
      <c r="A454" s="7" t="s">
        <v>210</v>
      </c>
      <c r="B454" s="7" t="s">
        <v>211</v>
      </c>
      <c r="C454" s="7" t="s">
        <v>56</v>
      </c>
      <c r="D454" s="4" t="s">
        <v>90</v>
      </c>
      <c r="E454" s="17" t="n">
        <v>45860</v>
      </c>
      <c r="F454" s="17" t="n">
        <v>45861</v>
      </c>
      <c r="G454" s="18" t="n">
        <v>17960</v>
      </c>
      <c r="H454" s="17" t="n">
        <v>45870</v>
      </c>
      <c r="I454" s="18" t="n">
        <v>15130</v>
      </c>
      <c r="J454" s="18" t="n">
        <v>15130</v>
      </c>
      <c r="K454" s="12" t="n">
        <f aca="false">I454/G454*(1-0.0025)/(1+0.001)-1</f>
        <v>-0.160517934181631</v>
      </c>
      <c r="L454" s="4" t="n">
        <v>7</v>
      </c>
      <c r="M454" s="4" t="s">
        <v>80</v>
      </c>
    </row>
    <row r="455" customFormat="false" ht="17.15" hidden="false" customHeight="false" outlineLevel="0" collapsed="false">
      <c r="A455" s="7" t="s">
        <v>374</v>
      </c>
      <c r="B455" s="4" t="s">
        <v>375</v>
      </c>
      <c r="C455" s="7" t="s">
        <v>54</v>
      </c>
      <c r="D455" s="7" t="s">
        <v>85</v>
      </c>
      <c r="E455" s="17" t="n">
        <v>45867</v>
      </c>
      <c r="F455" s="17" t="n">
        <v>45868</v>
      </c>
      <c r="G455" s="18" t="n">
        <v>977000</v>
      </c>
      <c r="H455" s="17" t="n">
        <v>45870</v>
      </c>
      <c r="I455" s="18" t="n">
        <v>922000</v>
      </c>
      <c r="J455" s="18" t="n">
        <v>922000</v>
      </c>
      <c r="K455" s="12" t="n">
        <f aca="false">I455/G455*(1-0.0025)/(1+0.001)-1</f>
        <v>-0.0595944485402007</v>
      </c>
      <c r="L455" s="4" t="n">
        <v>2</v>
      </c>
      <c r="M455" s="4" t="s">
        <v>80</v>
      </c>
    </row>
    <row r="456" customFormat="false" ht="17.15" hidden="false" customHeight="false" outlineLevel="0" collapsed="false">
      <c r="A456" s="7" t="s">
        <v>497</v>
      </c>
      <c r="B456" s="4" t="s">
        <v>498</v>
      </c>
      <c r="C456" s="7" t="s">
        <v>56</v>
      </c>
      <c r="D456" s="4" t="s">
        <v>93</v>
      </c>
      <c r="E456" s="17" t="n">
        <v>45867</v>
      </c>
      <c r="F456" s="17" t="n">
        <v>45868</v>
      </c>
      <c r="G456" s="18" t="n">
        <v>114045</v>
      </c>
      <c r="H456" s="17" t="n">
        <v>45877</v>
      </c>
      <c r="I456" s="18" t="n">
        <v>104285.2</v>
      </c>
      <c r="J456" s="18" t="n">
        <v>104285.2</v>
      </c>
      <c r="K456" s="12" t="n">
        <f aca="false">I456/G456*(1-0.0025)/(1+0.001)-1</f>
        <v>-0.088775777688049</v>
      </c>
      <c r="L456" s="4" t="n">
        <v>7</v>
      </c>
      <c r="M456" s="4" t="s">
        <v>80</v>
      </c>
    </row>
    <row r="457" customFormat="false" ht="17.15" hidden="false" customHeight="false" outlineLevel="0" collapsed="false">
      <c r="A457" s="7" t="s">
        <v>499</v>
      </c>
      <c r="B457" s="4" t="s">
        <v>500</v>
      </c>
      <c r="C457" s="7" t="s">
        <v>56</v>
      </c>
      <c r="D457" s="4" t="s">
        <v>93</v>
      </c>
      <c r="E457" s="17" t="n">
        <v>45870</v>
      </c>
      <c r="F457" s="17" t="n">
        <v>45873</v>
      </c>
      <c r="G457" s="18" t="n">
        <v>57700</v>
      </c>
      <c r="H457" s="17" t="n">
        <v>45877</v>
      </c>
      <c r="I457" s="18" t="n">
        <v>54060</v>
      </c>
      <c r="J457" s="18" t="n">
        <v>54060</v>
      </c>
      <c r="K457" s="12" t="n">
        <f aca="false">I457/G457*(1-0.0025)/(1+0.001)-1</f>
        <v>-0.0663608488565159</v>
      </c>
      <c r="L457" s="4" t="n">
        <v>4</v>
      </c>
      <c r="M457" s="4" t="s">
        <v>80</v>
      </c>
    </row>
    <row r="458" customFormat="false" ht="17.15" hidden="false" customHeight="false" outlineLevel="0" collapsed="false">
      <c r="A458" s="7" t="s">
        <v>232</v>
      </c>
      <c r="B458" s="4" t="s">
        <v>233</v>
      </c>
      <c r="C458" s="7" t="s">
        <v>52</v>
      </c>
      <c r="D458" s="7" t="s">
        <v>79</v>
      </c>
      <c r="E458" s="17" t="n">
        <v>45800</v>
      </c>
      <c r="F458" s="17" t="n">
        <v>45803</v>
      </c>
      <c r="G458" s="18" t="n">
        <v>46300</v>
      </c>
      <c r="H458" s="17" t="n">
        <v>45881</v>
      </c>
      <c r="I458" s="18" t="n">
        <v>54300</v>
      </c>
      <c r="J458" s="18" t="n">
        <v>39160</v>
      </c>
      <c r="K458" s="12" t="n">
        <f aca="false">I458/G458*(1-0.0025)/(1+0.001)-1</f>
        <v>0.16868552613693</v>
      </c>
      <c r="L458" s="4" t="n">
        <v>54</v>
      </c>
      <c r="M458" s="4" t="s">
        <v>76</v>
      </c>
    </row>
    <row r="459" customFormat="false" ht="17.15" hidden="false" customHeight="false" outlineLevel="0" collapsed="false">
      <c r="A459" s="7" t="s">
        <v>378</v>
      </c>
      <c r="B459" s="4" t="s">
        <v>379</v>
      </c>
      <c r="C459" s="7" t="s">
        <v>52</v>
      </c>
      <c r="D459" s="7" t="s">
        <v>79</v>
      </c>
      <c r="E459" s="17" t="n">
        <v>45810</v>
      </c>
      <c r="F459" s="17" t="n">
        <v>45812</v>
      </c>
      <c r="G459" s="18" t="n">
        <v>156100</v>
      </c>
      <c r="H459" s="17" t="n">
        <v>45882</v>
      </c>
      <c r="I459" s="18" t="n">
        <v>179000</v>
      </c>
      <c r="J459" s="18" t="n">
        <v>135330</v>
      </c>
      <c r="K459" s="12" t="n">
        <f aca="false">I459/G459*(1-0.0025)/(1+0.001)-1</f>
        <v>0.142691389328161</v>
      </c>
      <c r="L459" s="4" t="n">
        <v>49</v>
      </c>
      <c r="M459" s="4" t="s">
        <v>76</v>
      </c>
    </row>
    <row r="460" customFormat="false" ht="17.15" hidden="false" customHeight="false" outlineLevel="0" collapsed="false">
      <c r="A460" s="7" t="s">
        <v>501</v>
      </c>
      <c r="B460" s="4" t="s">
        <v>502</v>
      </c>
      <c r="C460" s="7" t="s">
        <v>54</v>
      </c>
      <c r="D460" s="7" t="s">
        <v>85</v>
      </c>
      <c r="E460" s="17" t="n">
        <v>45877</v>
      </c>
      <c r="F460" s="17" t="n">
        <v>45880</v>
      </c>
      <c r="G460" s="18" t="n">
        <v>226000</v>
      </c>
      <c r="H460" s="17" t="n">
        <v>45882</v>
      </c>
      <c r="I460" s="18" t="n">
        <v>206290</v>
      </c>
      <c r="J460" s="18" t="n">
        <v>206290</v>
      </c>
      <c r="K460" s="12" t="n">
        <f aca="false">I460/G460*(1-0.0025)/(1+0.001)-1</f>
        <v>-0.0904039544526269</v>
      </c>
      <c r="L460" s="4" t="n">
        <v>2</v>
      </c>
      <c r="M460" s="4" t="s">
        <v>80</v>
      </c>
    </row>
    <row r="461" customFormat="false" ht="17.15" hidden="false" customHeight="false" outlineLevel="0" collapsed="false">
      <c r="A461" s="7" t="s">
        <v>425</v>
      </c>
      <c r="B461" s="4" t="s">
        <v>426</v>
      </c>
      <c r="C461" s="7" t="s">
        <v>57</v>
      </c>
      <c r="D461" s="4" t="s">
        <v>182</v>
      </c>
      <c r="E461" s="17" t="n">
        <v>45882</v>
      </c>
      <c r="F461" s="17" t="n">
        <v>45883</v>
      </c>
      <c r="G461" s="18" t="n">
        <v>353500</v>
      </c>
      <c r="H461" s="17" t="n">
        <v>45888</v>
      </c>
      <c r="I461" s="18" t="n">
        <v>309000</v>
      </c>
      <c r="J461" s="18" t="n">
        <v>309000</v>
      </c>
      <c r="K461" s="12" t="n">
        <f aca="false">I461/G461*(1-0.0025)/(1+0.001)-1</f>
        <v>-0.128940366564129</v>
      </c>
      <c r="L461" s="4" t="n">
        <v>2</v>
      </c>
      <c r="M461" s="4" t="s">
        <v>80</v>
      </c>
    </row>
    <row r="462" customFormat="false" ht="17.15" hidden="false" customHeight="false" outlineLevel="0" collapsed="false">
      <c r="A462" s="7" t="s">
        <v>503</v>
      </c>
      <c r="B462" s="4" t="s">
        <v>504</v>
      </c>
      <c r="C462" s="7" t="s">
        <v>56</v>
      </c>
      <c r="D462" s="4" t="s">
        <v>90</v>
      </c>
      <c r="E462" s="17" t="n">
        <v>45863</v>
      </c>
      <c r="F462" s="17" t="n">
        <v>45866</v>
      </c>
      <c r="G462" s="18" t="n">
        <v>65400</v>
      </c>
      <c r="H462" s="17" t="n">
        <v>45891</v>
      </c>
      <c r="I462" s="18" t="n">
        <v>61800</v>
      </c>
      <c r="J462" s="18" t="n">
        <v>52950</v>
      </c>
      <c r="K462" s="12" t="n">
        <f aca="false">I462/G462*(1-0.0025)/(1+0.001)-1</f>
        <v>-0.0583499069737601</v>
      </c>
      <c r="L462" s="4" t="n">
        <v>18</v>
      </c>
      <c r="M462" s="4" t="s">
        <v>76</v>
      </c>
    </row>
    <row r="463" customFormat="false" ht="17.15" hidden="false" customHeight="false" outlineLevel="0" collapsed="false">
      <c r="A463" s="7" t="s">
        <v>161</v>
      </c>
      <c r="B463" s="4" t="s">
        <v>162</v>
      </c>
      <c r="C463" s="7" t="s">
        <v>55</v>
      </c>
      <c r="D463" s="7" t="s">
        <v>96</v>
      </c>
      <c r="E463" s="17" t="n">
        <v>45870</v>
      </c>
      <c r="F463" s="17" t="n">
        <v>45873</v>
      </c>
      <c r="G463" s="18" t="n">
        <v>10230</v>
      </c>
      <c r="H463" s="17" t="n">
        <v>45891</v>
      </c>
      <c r="I463" s="18" t="n">
        <v>9540</v>
      </c>
      <c r="J463" s="18" t="n">
        <v>9569</v>
      </c>
      <c r="K463" s="12" t="n">
        <f aca="false">I463/G463*(1-0.0025)/(1+0.001)-1</f>
        <v>-0.0707093493017246</v>
      </c>
      <c r="L463" s="4" t="n">
        <v>13</v>
      </c>
      <c r="M463" s="4" t="s">
        <v>80</v>
      </c>
    </row>
    <row r="464" customFormat="false" ht="17.15" hidden="false" customHeight="false" outlineLevel="0" collapsed="false">
      <c r="A464" s="7" t="s">
        <v>505</v>
      </c>
      <c r="B464" s="4" t="s">
        <v>506</v>
      </c>
      <c r="C464" s="7" t="s">
        <v>48</v>
      </c>
      <c r="D464" s="7" t="s">
        <v>75</v>
      </c>
      <c r="E464" s="17" t="n">
        <v>45877</v>
      </c>
      <c r="F464" s="17" t="n">
        <v>45880</v>
      </c>
      <c r="G464" s="18" t="n">
        <v>680000</v>
      </c>
      <c r="H464" s="17" t="n">
        <v>45918</v>
      </c>
      <c r="I464" s="18" t="n">
        <v>607900</v>
      </c>
      <c r="J464" s="18" t="n">
        <v>607900</v>
      </c>
      <c r="K464" s="12" t="n">
        <f aca="false">I464/G464*(1-0.0025)/(1+0.001)-1</f>
        <v>-0.109155183052242</v>
      </c>
      <c r="L464" s="4" t="n">
        <v>27</v>
      </c>
      <c r="M464" s="4" t="s">
        <v>80</v>
      </c>
    </row>
    <row r="465" customFormat="false" ht="17.15" hidden="false" customHeight="false" outlineLevel="0" collapsed="false">
      <c r="A465" s="7" t="s">
        <v>507</v>
      </c>
      <c r="B465" s="4" t="s">
        <v>508</v>
      </c>
      <c r="C465" s="7" t="s">
        <v>52</v>
      </c>
      <c r="D465" s="7" t="s">
        <v>79</v>
      </c>
      <c r="E465" s="17" t="n">
        <v>45918</v>
      </c>
      <c r="F465" s="17" t="n">
        <v>45919</v>
      </c>
      <c r="G465" s="18" t="n">
        <v>277500</v>
      </c>
      <c r="H465" s="17" t="n">
        <v>45924</v>
      </c>
      <c r="I465" s="18" t="n">
        <v>257310</v>
      </c>
      <c r="J465" s="18" t="n">
        <v>257310</v>
      </c>
      <c r="K465" s="12" t="n">
        <f aca="false">I465/G465*(1-0.0025)/(1+0.001)-1</f>
        <v>-0.0759988659988659</v>
      </c>
      <c r="L465" s="4" t="n">
        <v>3</v>
      </c>
      <c r="M465" s="4" t="s">
        <v>80</v>
      </c>
    </row>
    <row r="466" customFormat="false" ht="17.15" hidden="false" customHeight="false" outlineLevel="0" collapsed="false">
      <c r="A466" s="7" t="s">
        <v>352</v>
      </c>
      <c r="B466" s="4" t="s">
        <v>353</v>
      </c>
      <c r="C466" s="7" t="s">
        <v>54</v>
      </c>
      <c r="D466" s="7" t="s">
        <v>85</v>
      </c>
      <c r="E466" s="17" t="n">
        <v>45888</v>
      </c>
      <c r="F466" s="17" t="n">
        <v>45889</v>
      </c>
      <c r="G466" s="18" t="n">
        <v>28350</v>
      </c>
      <c r="H466" s="17" t="n">
        <v>45930</v>
      </c>
      <c r="I466" s="18" t="n">
        <v>26850</v>
      </c>
      <c r="J466" s="18" t="n">
        <v>26850</v>
      </c>
      <c r="K466" s="12" t="n">
        <f aca="false">I466/G466*(1-0.0025)/(1+0.001)-1</f>
        <v>-0.0562215562215561</v>
      </c>
      <c r="L466" s="4" t="n">
        <v>29</v>
      </c>
      <c r="M466" s="4" t="s">
        <v>80</v>
      </c>
    </row>
    <row r="467" customFormat="false" ht="17.15" hidden="false" customHeight="false" outlineLevel="0" collapsed="false">
      <c r="A467" s="7" t="s">
        <v>425</v>
      </c>
      <c r="B467" s="4" t="s">
        <v>426</v>
      </c>
      <c r="C467" s="7" t="s">
        <v>56</v>
      </c>
      <c r="D467" s="4" t="s">
        <v>90</v>
      </c>
      <c r="E467" s="17" t="n">
        <v>45930</v>
      </c>
      <c r="F467" s="17" t="n">
        <v>45931</v>
      </c>
      <c r="G467" s="18" t="n">
        <v>299000</v>
      </c>
      <c r="H467" s="17" t="n">
        <v>45944</v>
      </c>
      <c r="I467" s="18" t="n">
        <v>284000</v>
      </c>
      <c r="J467" s="18" t="n">
        <v>266750</v>
      </c>
      <c r="K467" s="12" t="n">
        <f aca="false">I467/G467*(1-0.0025)/(1+0.001)-1</f>
        <v>-0.0534883177023643</v>
      </c>
      <c r="L467" s="4" t="n">
        <v>4</v>
      </c>
      <c r="M467" s="4" t="s">
        <v>76</v>
      </c>
    </row>
    <row r="468" customFormat="false" ht="17.15" hidden="false" customHeight="false" outlineLevel="0" collapsed="false">
      <c r="A468" s="7" t="s">
        <v>338</v>
      </c>
      <c r="B468" s="4" t="s">
        <v>339</v>
      </c>
      <c r="C468" s="7" t="s">
        <v>49</v>
      </c>
      <c r="D468" s="7" t="s">
        <v>124</v>
      </c>
      <c r="E468" s="17" t="n">
        <v>45924</v>
      </c>
      <c r="F468" s="17" t="n">
        <v>45925</v>
      </c>
      <c r="G468" s="18" t="n">
        <v>46750</v>
      </c>
      <c r="H468" s="17" t="n">
        <v>45966</v>
      </c>
      <c r="I468" s="18" t="n">
        <v>47500</v>
      </c>
      <c r="J468" s="18" t="n">
        <v>42775</v>
      </c>
      <c r="K468" s="12" t="n">
        <f aca="false">I468/G468*(1-0.0025)/(1+0.001)-1</f>
        <v>0.0124901836131786</v>
      </c>
      <c r="L468" s="4" t="n">
        <v>24</v>
      </c>
      <c r="M468" s="4" t="s">
        <v>76</v>
      </c>
    </row>
    <row r="469" customFormat="false" ht="17.15" hidden="false" customHeight="false" outlineLevel="0" collapsed="false">
      <c r="A469" s="7" t="s">
        <v>332</v>
      </c>
      <c r="B469" s="7" t="s">
        <v>333</v>
      </c>
      <c r="C469" s="7" t="s">
        <v>48</v>
      </c>
      <c r="D469" s="7" t="s">
        <v>75</v>
      </c>
      <c r="E469" s="17" t="n">
        <v>45813</v>
      </c>
      <c r="F469" s="17" t="n">
        <v>45817</v>
      </c>
      <c r="G469" s="18" t="n">
        <v>42300</v>
      </c>
      <c r="H469" s="17" t="n">
        <v>45967</v>
      </c>
      <c r="I469" s="18" t="n">
        <v>89400</v>
      </c>
      <c r="J469" s="18" t="n">
        <v>39862.5</v>
      </c>
      <c r="K469" s="12" t="n">
        <f aca="false">I469/G469*(1-0.0025)/(1+0.001)-1</f>
        <v>1.10608540395774</v>
      </c>
      <c r="L469" s="4" t="n">
        <v>102</v>
      </c>
      <c r="M469" s="4" t="s">
        <v>76</v>
      </c>
    </row>
    <row r="470" customFormat="false" ht="17.15" hidden="false" customHeight="false" outlineLevel="0" collapsed="false">
      <c r="A470" s="7" t="s">
        <v>509</v>
      </c>
      <c r="B470" s="4" t="s">
        <v>510</v>
      </c>
      <c r="C470" s="7" t="s">
        <v>52</v>
      </c>
      <c r="D470" s="7" t="s">
        <v>79</v>
      </c>
      <c r="E470" s="17" t="n">
        <v>45867</v>
      </c>
      <c r="F470" s="17" t="n">
        <v>45868</v>
      </c>
      <c r="G470" s="18" t="n">
        <v>29750</v>
      </c>
      <c r="H470" s="17" t="n">
        <v>45967</v>
      </c>
      <c r="I470" s="18" t="n">
        <v>34000</v>
      </c>
      <c r="J470" s="18" t="n">
        <v>27725</v>
      </c>
      <c r="K470" s="12" t="n">
        <f aca="false">I470/G470*(1-0.0025)/(1+0.001)-1</f>
        <v>0.138861138861139</v>
      </c>
      <c r="L470" s="4" t="n">
        <v>65</v>
      </c>
      <c r="M470" s="4" t="s">
        <v>76</v>
      </c>
    </row>
    <row r="471" customFormat="false" ht="17.15" hidden="false" customHeight="false" outlineLevel="0" collapsed="false">
      <c r="A471" s="7" t="s">
        <v>258</v>
      </c>
      <c r="B471" s="4" t="s">
        <v>259</v>
      </c>
      <c r="C471" s="7" t="s">
        <v>52</v>
      </c>
      <c r="D471" s="7" t="s">
        <v>79</v>
      </c>
      <c r="E471" s="17" t="n">
        <v>45943</v>
      </c>
      <c r="F471" s="17" t="n">
        <v>45944</v>
      </c>
      <c r="G471" s="18" t="n">
        <v>26000</v>
      </c>
      <c r="H471" s="17" t="n">
        <v>45971</v>
      </c>
      <c r="I471" s="18" t="n">
        <v>24521</v>
      </c>
      <c r="J471" s="18" t="n">
        <v>24521</v>
      </c>
      <c r="K471" s="12" t="n">
        <f aca="false">I471/G471*(1-0.0025)/(1+0.001)-1</f>
        <v>-0.0601822216245292</v>
      </c>
      <c r="L471" s="4" t="n">
        <v>19</v>
      </c>
      <c r="M471" s="4" t="s">
        <v>80</v>
      </c>
    </row>
    <row r="472" customFormat="false" ht="17.15" hidden="false" customHeight="false" outlineLevel="0" collapsed="false">
      <c r="A472" s="7" t="s">
        <v>511</v>
      </c>
      <c r="B472" s="4" t="s">
        <v>512</v>
      </c>
      <c r="C472" s="7" t="s">
        <v>56</v>
      </c>
      <c r="D472" s="4" t="s">
        <v>93</v>
      </c>
      <c r="E472" s="17" t="n">
        <v>45966</v>
      </c>
      <c r="F472" s="17" t="n">
        <v>45967</v>
      </c>
      <c r="G472" s="18" t="n">
        <v>4025</v>
      </c>
      <c r="H472" s="17" t="n">
        <v>45971</v>
      </c>
      <c r="I472" s="18" t="n">
        <v>3160.5</v>
      </c>
      <c r="J472" s="18" t="n">
        <v>3160.5</v>
      </c>
      <c r="K472" s="12" t="n">
        <f aca="false">I472/G472*(1-0.0025)/(1+0.001)-1</f>
        <v>-0.217528124049863</v>
      </c>
      <c r="L472" s="4" t="n">
        <v>2</v>
      </c>
      <c r="M472" s="4" t="s">
        <v>80</v>
      </c>
    </row>
    <row r="473" customFormat="false" ht="17.15" hidden="false" customHeight="false" outlineLevel="0" collapsed="false">
      <c r="A473" s="7" t="s">
        <v>501</v>
      </c>
      <c r="B473" s="4" t="s">
        <v>502</v>
      </c>
      <c r="C473" s="7" t="s">
        <v>48</v>
      </c>
      <c r="D473" s="7" t="s">
        <v>75</v>
      </c>
      <c r="E473" s="17" t="n">
        <v>45891</v>
      </c>
      <c r="F473" s="17" t="n">
        <v>45894</v>
      </c>
      <c r="G473" s="18" t="n">
        <v>226000</v>
      </c>
      <c r="H473" s="17" t="n">
        <v>45972</v>
      </c>
      <c r="I473" s="18" t="n">
        <v>219000</v>
      </c>
      <c r="J473" s="18" t="n">
        <v>200345</v>
      </c>
      <c r="K473" s="12" t="n">
        <f aca="false">I473/G473*(1-0.0025)/(1+0.001)-1</f>
        <v>-0.0343616560430718</v>
      </c>
      <c r="L473" s="4" t="n">
        <v>51</v>
      </c>
      <c r="M473" s="4" t="s">
        <v>76</v>
      </c>
    </row>
    <row r="474" customFormat="false" ht="17.15" hidden="false" customHeight="false" outlineLevel="0" collapsed="false">
      <c r="A474" s="7" t="s">
        <v>254</v>
      </c>
      <c r="B474" s="4" t="s">
        <v>255</v>
      </c>
      <c r="C474" s="7" t="s">
        <v>52</v>
      </c>
      <c r="D474" s="7" t="s">
        <v>79</v>
      </c>
      <c r="E474" s="17" t="n">
        <v>45965</v>
      </c>
      <c r="F474" s="17" t="n">
        <v>45966</v>
      </c>
      <c r="G474" s="18" t="n">
        <v>104400</v>
      </c>
      <c r="H474" s="17" t="n">
        <v>45975</v>
      </c>
      <c r="I474" s="18" t="n">
        <v>90530</v>
      </c>
      <c r="J474" s="18" t="n">
        <v>90530</v>
      </c>
      <c r="K474" s="12" t="n">
        <f aca="false">I474/G474*(1-0.0025)/(1+0.001)-1</f>
        <v>-0.135886383731211</v>
      </c>
      <c r="L474" s="4" t="n">
        <v>7</v>
      </c>
      <c r="M474" s="4" t="s">
        <v>80</v>
      </c>
    </row>
    <row r="475" customFormat="false" ht="17.15" hidden="false" customHeight="false" outlineLevel="0" collapsed="false">
      <c r="A475" s="7" t="s">
        <v>258</v>
      </c>
      <c r="B475" s="4" t="s">
        <v>259</v>
      </c>
      <c r="C475" s="7" t="s">
        <v>49</v>
      </c>
      <c r="D475" s="7" t="s">
        <v>124</v>
      </c>
      <c r="E475" s="17" t="n">
        <v>45974</v>
      </c>
      <c r="F475" s="17" t="n">
        <v>45975</v>
      </c>
      <c r="G475" s="18" t="n">
        <v>24500</v>
      </c>
      <c r="H475" s="17" t="n">
        <v>46007</v>
      </c>
      <c r="I475" s="18" t="n">
        <v>23600</v>
      </c>
      <c r="J475" s="18" t="n">
        <v>21952.5</v>
      </c>
      <c r="K475" s="12" t="n">
        <f aca="false">I475/G475*(1-0.0025)/(1+0.001)-1</f>
        <v>-0.0401027543884684</v>
      </c>
      <c r="L475" s="4" t="n">
        <v>22</v>
      </c>
      <c r="M475" s="4" t="s">
        <v>76</v>
      </c>
    </row>
    <row r="476" customFormat="false" ht="17.15" hidden="false" customHeight="false" outlineLevel="0" collapsed="false">
      <c r="A476" s="7" t="s">
        <v>513</v>
      </c>
      <c r="B476" s="4" t="s">
        <v>514</v>
      </c>
      <c r="C476" s="7" t="s">
        <v>49</v>
      </c>
      <c r="D476" s="7" t="s">
        <v>124</v>
      </c>
      <c r="E476" s="17" t="n">
        <v>45881</v>
      </c>
      <c r="F476" s="17" t="n">
        <v>45882</v>
      </c>
      <c r="G476" s="18" t="n">
        <v>49450</v>
      </c>
      <c r="H476" s="17" t="n">
        <v>46008</v>
      </c>
      <c r="I476" s="18" t="n">
        <v>66400</v>
      </c>
      <c r="J476" s="18" t="n">
        <v>39585</v>
      </c>
      <c r="K476" s="12" t="n">
        <f aca="false">I476/G476*(1-0.0025)/(1+0.001)-1</f>
        <v>0.338075473565868</v>
      </c>
      <c r="L476" s="4" t="n">
        <v>84</v>
      </c>
      <c r="M476" s="4" t="s">
        <v>76</v>
      </c>
    </row>
    <row r="477" customFormat="false" ht="17.15" hidden="false" customHeight="false" outlineLevel="0" collapsed="false">
      <c r="A477" s="7" t="s">
        <v>292</v>
      </c>
      <c r="B477" s="4" t="s">
        <v>293</v>
      </c>
      <c r="C477" s="7" t="s">
        <v>49</v>
      </c>
      <c r="D477" s="7" t="s">
        <v>124</v>
      </c>
      <c r="E477" s="17" t="n">
        <v>45971</v>
      </c>
      <c r="F477" s="17" t="n">
        <v>45972</v>
      </c>
      <c r="G477" s="18" t="n">
        <v>78200</v>
      </c>
      <c r="H477" s="17" t="n">
        <v>46009</v>
      </c>
      <c r="I477" s="18" t="n">
        <v>74400</v>
      </c>
      <c r="J477" s="18" t="n">
        <v>69860</v>
      </c>
      <c r="K477" s="12" t="n">
        <f aca="false">I477/G477*(1-0.0025)/(1+0.001)-1</f>
        <v>-0.0519199470606119</v>
      </c>
      <c r="L477" s="4" t="n">
        <v>27</v>
      </c>
      <c r="M477" s="4" t="s">
        <v>76</v>
      </c>
    </row>
    <row r="478" customFormat="false" ht="17.15" hidden="false" customHeight="false" outlineLevel="0" collapsed="false">
      <c r="A478" s="7" t="s">
        <v>286</v>
      </c>
      <c r="B478" s="4" t="s">
        <v>287</v>
      </c>
      <c r="C478" s="7" t="s">
        <v>49</v>
      </c>
      <c r="D478" s="7" t="s">
        <v>124</v>
      </c>
      <c r="E478" s="17" t="n">
        <v>45890</v>
      </c>
      <c r="F478" s="17" t="n">
        <v>45891</v>
      </c>
      <c r="G478" s="18" t="n">
        <v>1199000</v>
      </c>
      <c r="H478" s="17" t="n">
        <v>46010</v>
      </c>
      <c r="I478" s="18" t="n">
        <v>1848000</v>
      </c>
      <c r="J478" s="18" t="n">
        <v>988200</v>
      </c>
      <c r="K478" s="12" t="n">
        <f aca="false">I478/G478*(1-0.0025)/(1+0.001)-1</f>
        <v>0.535895297363188</v>
      </c>
      <c r="L478" s="4" t="n">
        <v>80</v>
      </c>
      <c r="M478" s="4" t="s">
        <v>76</v>
      </c>
    </row>
    <row r="479" customFormat="false" ht="17.15" hidden="false" customHeight="false" outlineLevel="0" collapsed="false">
      <c r="A479" s="7" t="s">
        <v>242</v>
      </c>
      <c r="B479" s="4" t="s">
        <v>243</v>
      </c>
      <c r="C479" s="7" t="s">
        <v>49</v>
      </c>
      <c r="D479" s="7" t="s">
        <v>124</v>
      </c>
      <c r="E479" s="17" t="n">
        <v>46008</v>
      </c>
      <c r="F479" s="17" t="n">
        <v>46009</v>
      </c>
      <c r="G479" s="18" t="n">
        <v>57100</v>
      </c>
      <c r="H479" s="17" t="n">
        <v>46010</v>
      </c>
      <c r="I479" s="18" t="n">
        <v>58600</v>
      </c>
      <c r="J479" s="18" t="n">
        <v>58430</v>
      </c>
      <c r="K479" s="12" t="n">
        <f aca="false">I479/G479*(1-0.0025)/(1+0.001)-1</f>
        <v>0.0226813466743416</v>
      </c>
      <c r="L479" s="4" t="n">
        <v>1</v>
      </c>
      <c r="M479" s="4" t="s">
        <v>76</v>
      </c>
    </row>
    <row r="480" customFormat="false" ht="17.15" hidden="false" customHeight="false" outlineLevel="0" collapsed="false">
      <c r="A480" s="7" t="s">
        <v>240</v>
      </c>
      <c r="B480" s="4" t="s">
        <v>241</v>
      </c>
      <c r="C480" s="7" t="s">
        <v>48</v>
      </c>
      <c r="D480" s="7" t="s">
        <v>75</v>
      </c>
      <c r="E480" s="17" t="n">
        <v>46009</v>
      </c>
      <c r="F480" s="17" t="n">
        <v>46010</v>
      </c>
      <c r="G480" s="18" t="n">
        <v>38550</v>
      </c>
      <c r="H480" s="17" t="n">
        <v>46013</v>
      </c>
      <c r="I480" s="18" t="n">
        <v>39400</v>
      </c>
      <c r="J480" s="18" t="n">
        <v>34565</v>
      </c>
      <c r="K480" s="12" t="n">
        <f aca="false">I480/G480*(1-0.0025)/(1+0.001)-1</f>
        <v>0.0184756877363883</v>
      </c>
      <c r="L480" s="4" t="n">
        <v>1</v>
      </c>
      <c r="M480" s="4" t="s">
        <v>76</v>
      </c>
    </row>
    <row r="481" customFormat="false" ht="17.15" hidden="false" customHeight="false" outlineLevel="0" collapsed="false">
      <c r="A481" s="7" t="s">
        <v>515</v>
      </c>
      <c r="B481" s="4" t="s">
        <v>516</v>
      </c>
      <c r="C481" s="7" t="s">
        <v>52</v>
      </c>
      <c r="D481" s="7" t="s">
        <v>79</v>
      </c>
      <c r="E481" s="17" t="n">
        <v>45968</v>
      </c>
      <c r="F481" s="17" t="n">
        <v>45971</v>
      </c>
      <c r="G481" s="18" t="n">
        <v>108500</v>
      </c>
      <c r="H481" s="17" t="n">
        <v>46014</v>
      </c>
      <c r="I481" s="18" t="n">
        <v>99240</v>
      </c>
      <c r="J481" s="18" t="n">
        <v>99240</v>
      </c>
      <c r="K481" s="12" t="n">
        <f aca="false">I481/G481*(1-0.0025)/(1+0.001)-1</f>
        <v>-0.0885437143501658</v>
      </c>
      <c r="L481" s="4" t="n">
        <v>31</v>
      </c>
      <c r="M481" s="4" t="s">
        <v>80</v>
      </c>
    </row>
    <row r="482" customFormat="false" ht="17.15" hidden="false" customHeight="false" outlineLevel="0" collapsed="false">
      <c r="A482" s="7" t="s">
        <v>185</v>
      </c>
      <c r="B482" s="4" t="s">
        <v>186</v>
      </c>
      <c r="C482" s="7" t="s">
        <v>52</v>
      </c>
      <c r="D482" s="7" t="s">
        <v>79</v>
      </c>
      <c r="E482" s="17" t="n">
        <v>46007</v>
      </c>
      <c r="F482" s="17" t="n">
        <v>46008</v>
      </c>
      <c r="G482" s="18" t="n">
        <v>88300</v>
      </c>
      <c r="H482" s="17" t="n">
        <v>46014</v>
      </c>
      <c r="I482" s="18" t="n">
        <v>84790</v>
      </c>
      <c r="J482" s="18" t="n">
        <v>84790</v>
      </c>
      <c r="K482" s="12" t="n">
        <f aca="false">I482/G482*(1-0.0025)/(1+0.001)-1</f>
        <v>-0.0431083638897908</v>
      </c>
      <c r="L482" s="4" t="n">
        <v>4</v>
      </c>
      <c r="M482" s="4" t="s">
        <v>80</v>
      </c>
    </row>
    <row r="483" customFormat="false" ht="17.15" hidden="false" customHeight="false" outlineLevel="0" collapsed="false">
      <c r="A483" s="7" t="s">
        <v>286</v>
      </c>
      <c r="B483" s="4" t="s">
        <v>287</v>
      </c>
      <c r="C483" s="7" t="s">
        <v>51</v>
      </c>
      <c r="D483" s="7" t="s">
        <v>117</v>
      </c>
      <c r="E483" s="17" t="n">
        <v>46010</v>
      </c>
      <c r="F483" s="17" t="n">
        <v>46013</v>
      </c>
      <c r="G483" s="18" t="n">
        <v>1850000</v>
      </c>
      <c r="H483" s="17" t="n">
        <v>46015</v>
      </c>
      <c r="I483" s="18" t="n">
        <v>1834000</v>
      </c>
      <c r="J483" s="18" t="n">
        <v>1666000</v>
      </c>
      <c r="K483" s="12" t="n">
        <f aca="false">I483/G483*(1-0.0025)/(1+0.001)-1</f>
        <v>-0.0121149121149119</v>
      </c>
      <c r="L483" s="4" t="n">
        <v>2</v>
      </c>
      <c r="M483" s="4" t="s">
        <v>76</v>
      </c>
    </row>
    <row r="484" customFormat="false" ht="17.15" hidden="false" customHeight="false" outlineLevel="0" collapsed="false">
      <c r="A484" s="7" t="s">
        <v>258</v>
      </c>
      <c r="B484" s="4" t="s">
        <v>259</v>
      </c>
      <c r="C484" s="7" t="s">
        <v>48</v>
      </c>
      <c r="D484" s="7" t="s">
        <v>75</v>
      </c>
      <c r="E484" s="17" t="n">
        <v>46014</v>
      </c>
      <c r="F484" s="17" t="n">
        <v>46015</v>
      </c>
      <c r="G484" s="18" t="n">
        <v>24050</v>
      </c>
      <c r="H484" s="17" t="n">
        <v>46017</v>
      </c>
      <c r="I484" s="18" t="n">
        <v>24250</v>
      </c>
      <c r="J484" s="18" t="n">
        <v>21805</v>
      </c>
      <c r="K484" s="12" t="n">
        <f aca="false">I484/G484*(1-0.0025)/(1+0.001)-1</f>
        <v>0.00479042786735118</v>
      </c>
      <c r="L484" s="4" t="n">
        <v>1</v>
      </c>
      <c r="M484" s="4" t="s">
        <v>76</v>
      </c>
    </row>
    <row r="485" customFormat="false" ht="17.15" hidden="false" customHeight="false" outlineLevel="0" collapsed="false">
      <c r="A485" s="7" t="s">
        <v>473</v>
      </c>
      <c r="B485" s="4" t="s">
        <v>474</v>
      </c>
      <c r="C485" s="7" t="s">
        <v>53</v>
      </c>
      <c r="D485" s="7" t="s">
        <v>131</v>
      </c>
      <c r="E485" s="17" t="n">
        <v>45860</v>
      </c>
      <c r="F485" s="17" t="n">
        <v>45861</v>
      </c>
      <c r="G485" s="18" t="n">
        <v>45050</v>
      </c>
      <c r="H485" s="17" t="n">
        <v>46044</v>
      </c>
      <c r="I485" s="18" t="n">
        <v>118600</v>
      </c>
      <c r="J485" s="18" t="n">
        <v>37700</v>
      </c>
      <c r="K485" s="12" t="n">
        <f aca="false">I485/G485*(1-0.0025)/(1+0.001)-1</f>
        <v>1.62342540921897</v>
      </c>
      <c r="L485" s="4" t="n">
        <v>122</v>
      </c>
      <c r="M485" s="4" t="s">
        <v>76</v>
      </c>
    </row>
    <row r="486" customFormat="false" ht="17.15" hidden="false" customHeight="false" outlineLevel="0" collapsed="false">
      <c r="A486" s="7" t="s">
        <v>517</v>
      </c>
      <c r="B486" s="4" t="s">
        <v>518</v>
      </c>
      <c r="C486" s="7" t="s">
        <v>56</v>
      </c>
      <c r="D486" s="4" t="s">
        <v>93</v>
      </c>
      <c r="E486" s="17" t="n">
        <v>45880</v>
      </c>
      <c r="F486" s="17" t="n">
        <v>45881</v>
      </c>
      <c r="G486" s="18" t="n">
        <v>33283</v>
      </c>
      <c r="H486" s="17" t="n">
        <v>46044</v>
      </c>
      <c r="I486" s="18" t="n">
        <v>81200</v>
      </c>
      <c r="J486" s="18" t="n">
        <v>29153.8</v>
      </c>
      <c r="K486" s="12" t="n">
        <f aca="false">I486/G486*(1-0.0025)/(1+0.001)-1</f>
        <v>1.43115355935715</v>
      </c>
      <c r="L486" s="4" t="n">
        <v>108</v>
      </c>
      <c r="M486" s="4" t="s">
        <v>76</v>
      </c>
    </row>
    <row r="487" customFormat="false" ht="17.15" hidden="false" customHeight="false" outlineLevel="0" collapsed="false">
      <c r="A487" s="7" t="s">
        <v>387</v>
      </c>
      <c r="B487" s="4" t="s">
        <v>388</v>
      </c>
      <c r="C487" s="7" t="s">
        <v>57</v>
      </c>
      <c r="D487" s="4" t="s">
        <v>140</v>
      </c>
      <c r="E487" s="17" t="n">
        <v>45791</v>
      </c>
      <c r="F487" s="17" t="n">
        <v>45792</v>
      </c>
      <c r="G487" s="18" t="n">
        <v>53560</v>
      </c>
      <c r="H487" s="17" t="n">
        <v>46045</v>
      </c>
      <c r="I487" s="18" t="n">
        <v>245500</v>
      </c>
      <c r="J487" s="18" t="n">
        <v>43821.5</v>
      </c>
      <c r="K487" s="12" t="n">
        <f aca="false">I487/G487*(1-0.0025)/(1+0.001)-1</f>
        <v>3.56761778177014</v>
      </c>
      <c r="L487" s="4" t="n">
        <v>170</v>
      </c>
      <c r="M487" s="4" t="s">
        <v>76</v>
      </c>
    </row>
    <row r="488" customFormat="false" ht="17.15" hidden="false" customHeight="false" outlineLevel="0" collapsed="false">
      <c r="A488" s="7" t="s">
        <v>519</v>
      </c>
      <c r="B488" s="4" t="s">
        <v>520</v>
      </c>
      <c r="C488" s="7" t="s">
        <v>52</v>
      </c>
      <c r="D488" s="7" t="s">
        <v>79</v>
      </c>
      <c r="E488" s="17" t="n">
        <v>46043</v>
      </c>
      <c r="F488" s="17" t="n">
        <v>46044</v>
      </c>
      <c r="G488" s="18" t="n">
        <v>529000</v>
      </c>
      <c r="H488" s="17" t="n">
        <v>46048</v>
      </c>
      <c r="I488" s="18" t="n">
        <v>496650</v>
      </c>
      <c r="J488" s="18" t="n">
        <v>496650</v>
      </c>
      <c r="K488" s="12" t="n">
        <f aca="false">I488/G488*(1-0.0025)/(1+0.001)-1</f>
        <v>-0.0644358004944015</v>
      </c>
      <c r="L488" s="4" t="n">
        <v>2</v>
      </c>
      <c r="M488" s="4" t="s">
        <v>80</v>
      </c>
    </row>
    <row r="489" customFormat="false" ht="17.15" hidden="false" customHeight="false" outlineLevel="0" collapsed="false">
      <c r="A489" s="7" t="s">
        <v>302</v>
      </c>
      <c r="B489" s="7" t="s">
        <v>303</v>
      </c>
      <c r="C489" s="7" t="s">
        <v>52</v>
      </c>
      <c r="D489" s="7" t="s">
        <v>79</v>
      </c>
      <c r="E489" s="17" t="n">
        <v>46043</v>
      </c>
      <c r="F489" s="17" t="n">
        <v>46044</v>
      </c>
      <c r="G489" s="18" t="n">
        <v>67900</v>
      </c>
      <c r="H489" s="17" t="n">
        <v>46055</v>
      </c>
      <c r="I489" s="18" t="n">
        <v>60840</v>
      </c>
      <c r="J489" s="18" t="n">
        <v>60840</v>
      </c>
      <c r="K489" s="12" t="n">
        <f aca="false">I489/G489*(1-0.0025)/(1+0.001)-1</f>
        <v>-0.107109385459901</v>
      </c>
      <c r="L489" s="4" t="n">
        <v>7</v>
      </c>
      <c r="M489" s="4" t="s">
        <v>80</v>
      </c>
    </row>
    <row r="490" customFormat="false" ht="17.15" hidden="false" customHeight="false" outlineLevel="0" collapsed="false">
      <c r="A490" s="7" t="s">
        <v>387</v>
      </c>
      <c r="B490" s="4" t="s">
        <v>388</v>
      </c>
      <c r="C490" s="7" t="s">
        <v>56</v>
      </c>
      <c r="D490" s="4" t="s">
        <v>90</v>
      </c>
      <c r="E490" s="17" t="n">
        <v>46048</v>
      </c>
      <c r="F490" s="17" t="n">
        <v>46049</v>
      </c>
      <c r="G490" s="18" t="n">
        <v>290000</v>
      </c>
      <c r="H490" s="17" t="n">
        <v>46085</v>
      </c>
      <c r="I490" s="18" t="n">
        <v>240000</v>
      </c>
      <c r="J490" s="18" t="n">
        <v>242500</v>
      </c>
      <c r="K490" s="12" t="n">
        <f aca="false">I490/G490*(1-0.0025)/(1+0.001)-1</f>
        <v>-0.17530745116952</v>
      </c>
      <c r="L490" s="4" t="n">
        <v>22</v>
      </c>
      <c r="M490" s="4" t="s">
        <v>76</v>
      </c>
    </row>
    <row r="491" customFormat="false" ht="17.15" hidden="false" customHeight="false" outlineLevel="0" collapsed="false">
      <c r="A491" s="7" t="s">
        <v>471</v>
      </c>
      <c r="B491" s="4" t="s">
        <v>472</v>
      </c>
      <c r="C491" s="7" t="s">
        <v>52</v>
      </c>
      <c r="D491" s="7" t="s">
        <v>79</v>
      </c>
      <c r="E491" s="17" t="n">
        <v>46044</v>
      </c>
      <c r="F491" s="17" t="n">
        <v>46045</v>
      </c>
      <c r="G491" s="18" t="n">
        <v>96600</v>
      </c>
      <c r="H491" s="17" t="n">
        <v>46085</v>
      </c>
      <c r="I491" s="18" t="n">
        <v>90820</v>
      </c>
      <c r="J491" s="18" t="n">
        <v>90820</v>
      </c>
      <c r="K491" s="12" t="n">
        <f aca="false">I491/G491*(1-0.0025)/(1+0.001)-1</f>
        <v>-0.0631216609477476</v>
      </c>
      <c r="L491" s="4" t="n">
        <v>24</v>
      </c>
      <c r="M491" s="4" t="s">
        <v>80</v>
      </c>
    </row>
    <row r="492" customFormat="false" ht="17.15" hidden="false" customHeight="false" outlineLevel="0" collapsed="false">
      <c r="A492" s="7" t="s">
        <v>200</v>
      </c>
      <c r="B492" s="4" t="s">
        <v>201</v>
      </c>
      <c r="C492" s="7" t="s">
        <v>51</v>
      </c>
      <c r="D492" s="7" t="s">
        <v>117</v>
      </c>
      <c r="E492" s="17" t="n">
        <v>46015</v>
      </c>
      <c r="F492" s="17" t="n">
        <v>46017</v>
      </c>
      <c r="G492" s="18" t="n">
        <v>47150</v>
      </c>
      <c r="H492" s="17" t="n">
        <v>46086</v>
      </c>
      <c r="I492" s="18" t="n">
        <v>59600</v>
      </c>
      <c r="J492" s="18" t="n">
        <v>42970</v>
      </c>
      <c r="K492" s="12" t="n">
        <f aca="false">I492/G492*(1-0.0025)/(1+0.001)-1</f>
        <v>0.259631142982151</v>
      </c>
      <c r="L492" s="4" t="n">
        <v>43</v>
      </c>
      <c r="M492" s="4" t="s">
        <v>76</v>
      </c>
    </row>
    <row r="493" customFormat="false" ht="17.15" hidden="false" customHeight="false" outlineLevel="0" collapsed="false">
      <c r="A493" s="7" t="s">
        <v>499</v>
      </c>
      <c r="B493" s="4" t="s">
        <v>500</v>
      </c>
      <c r="C493" s="7" t="s">
        <v>52</v>
      </c>
      <c r="D493" s="7" t="s">
        <v>79</v>
      </c>
      <c r="E493" s="17" t="n">
        <v>46084</v>
      </c>
      <c r="F493" s="17" t="n">
        <v>46085</v>
      </c>
      <c r="G493" s="18" t="n">
        <v>116000</v>
      </c>
      <c r="H493" s="17" t="n">
        <v>46086</v>
      </c>
      <c r="I493" s="18" t="n">
        <v>126900</v>
      </c>
      <c r="J493" s="18" t="n">
        <v>127415</v>
      </c>
      <c r="K493" s="12" t="n">
        <f aca="false">I493/G493*(1-0.0025)/(1+0.001)-1</f>
        <v>0.0901404629852907</v>
      </c>
      <c r="L493" s="4" t="n">
        <v>1</v>
      </c>
      <c r="M493" s="4" t="s">
        <v>80</v>
      </c>
    </row>
    <row r="494" customFormat="false" ht="17.15" hidden="false" customHeight="false" outlineLevel="0" collapsed="false">
      <c r="A494" s="7" t="s">
        <v>185</v>
      </c>
      <c r="B494" s="4" t="s">
        <v>186</v>
      </c>
      <c r="C494" s="7" t="s">
        <v>50</v>
      </c>
      <c r="D494" s="7" t="s">
        <v>105</v>
      </c>
      <c r="E494" s="17" t="n">
        <v>46043</v>
      </c>
      <c r="F494" s="17" t="n">
        <v>46044</v>
      </c>
      <c r="G494" s="18" t="n">
        <v>108300</v>
      </c>
      <c r="H494" s="17" t="n">
        <v>46098</v>
      </c>
      <c r="I494" s="18" t="n">
        <v>94000</v>
      </c>
      <c r="J494" s="18" t="n">
        <v>88940</v>
      </c>
      <c r="K494" s="12" t="n">
        <f aca="false">I494/G494*(1-0.0025)/(1+0.001)-1</f>
        <v>-0.135075450864924</v>
      </c>
      <c r="L494" s="4" t="n">
        <v>34</v>
      </c>
      <c r="M494" s="4" t="s">
        <v>76</v>
      </c>
    </row>
    <row r="495" customFormat="false" ht="17.15" hidden="false" customHeight="false" outlineLevel="0" collapsed="false">
      <c r="A495" s="7" t="s">
        <v>521</v>
      </c>
      <c r="B495" s="4" t="s">
        <v>522</v>
      </c>
      <c r="C495" s="7" t="s">
        <v>50</v>
      </c>
      <c r="D495" s="7" t="s">
        <v>105</v>
      </c>
      <c r="E495" s="17" t="n">
        <v>46085</v>
      </c>
      <c r="F495" s="17" t="n">
        <v>46086</v>
      </c>
      <c r="G495" s="18" t="n">
        <v>54900</v>
      </c>
      <c r="H495" s="17" t="n">
        <v>46100</v>
      </c>
      <c r="I495" s="18" t="n">
        <v>46505</v>
      </c>
      <c r="J495" s="18" t="n">
        <v>46505</v>
      </c>
      <c r="K495" s="12" t="n">
        <f aca="false">I495/G495*(1-0.0025)/(1+0.001)-1</f>
        <v>-0.155876227597539</v>
      </c>
      <c r="L495" s="4" t="n">
        <v>10</v>
      </c>
      <c r="M495" s="4" t="s">
        <v>80</v>
      </c>
    </row>
    <row r="496" customFormat="false" ht="17.15" hidden="false" customHeight="false" outlineLevel="0" collapsed="false">
      <c r="A496" s="7" t="s">
        <v>523</v>
      </c>
      <c r="B496" s="4" t="s">
        <v>524</v>
      </c>
      <c r="C496" s="7" t="s">
        <v>52</v>
      </c>
      <c r="D496" s="7" t="s">
        <v>79</v>
      </c>
      <c r="E496" s="17" t="n">
        <v>46006</v>
      </c>
      <c r="F496" s="17" t="n">
        <v>46007</v>
      </c>
      <c r="G496" s="18" t="n">
        <v>81900</v>
      </c>
      <c r="H496" s="17" t="n">
        <v>46105</v>
      </c>
      <c r="I496" s="18" t="n">
        <v>115200</v>
      </c>
      <c r="J496" s="18" t="n">
        <v>66070</v>
      </c>
      <c r="K496" s="12" t="n">
        <f aca="false">I496/G496*(1-0.0025)/(1+0.001)-1</f>
        <v>0.401675247829094</v>
      </c>
      <c r="L496" s="4" t="n">
        <v>63</v>
      </c>
      <c r="M496" s="4" t="s">
        <v>76</v>
      </c>
    </row>
    <row r="497" customFormat="false" ht="17.15" hidden="false" customHeight="false" outlineLevel="0" collapsed="false">
      <c r="A497" s="7" t="s">
        <v>525</v>
      </c>
      <c r="B497" s="4" t="s">
        <v>526</v>
      </c>
      <c r="C497" s="7" t="s">
        <v>52</v>
      </c>
      <c r="D497" s="7" t="s">
        <v>79</v>
      </c>
      <c r="E497" s="17" t="n">
        <v>46013</v>
      </c>
      <c r="F497" s="17" t="n">
        <v>46014</v>
      </c>
      <c r="G497" s="18" t="n">
        <v>16900</v>
      </c>
      <c r="H497" s="17" t="n">
        <v>46105</v>
      </c>
      <c r="I497" s="18" t="n">
        <v>29150</v>
      </c>
      <c r="J497" s="18" t="n">
        <v>13804</v>
      </c>
      <c r="K497" s="12" t="n">
        <f aca="false">I497/G497*(1-0.0025)/(1+0.001)-1</f>
        <v>0.718821119708694</v>
      </c>
      <c r="L497" s="4" t="n">
        <v>58</v>
      </c>
      <c r="M497" s="4" t="s">
        <v>76</v>
      </c>
    </row>
    <row r="498" customFormat="false" ht="17.15" hidden="false" customHeight="false" outlineLevel="0" collapsed="false">
      <c r="A498" s="7" t="s">
        <v>527</v>
      </c>
      <c r="B498" s="7" t="s">
        <v>528</v>
      </c>
      <c r="C498" s="7" t="s">
        <v>56</v>
      </c>
      <c r="D498" s="4" t="s">
        <v>114</v>
      </c>
      <c r="E498" s="17" t="n">
        <v>46009</v>
      </c>
      <c r="F498" s="17" t="n">
        <v>46010</v>
      </c>
      <c r="G498" s="18" t="n">
        <v>290500</v>
      </c>
      <c r="H498" s="17" t="n">
        <v>46112</v>
      </c>
      <c r="I498" s="18" t="n">
        <v>473500</v>
      </c>
      <c r="J498" s="18" t="n">
        <v>255500</v>
      </c>
      <c r="K498" s="12" t="n">
        <f aca="false">I498/G498*(1-0.0025)/(1+0.001)-1</f>
        <v>0.624249244731173</v>
      </c>
      <c r="L498" s="4" t="n">
        <v>65</v>
      </c>
      <c r="M498" s="4" t="s">
        <v>76</v>
      </c>
    </row>
    <row r="499" customFormat="false" ht="17.15" hidden="false" customHeight="false" outlineLevel="0" collapsed="false">
      <c r="A499" s="7" t="s">
        <v>529</v>
      </c>
      <c r="B499" s="4" t="s">
        <v>530</v>
      </c>
      <c r="C499" s="7" t="s">
        <v>50</v>
      </c>
      <c r="D499" s="7" t="s">
        <v>105</v>
      </c>
      <c r="E499" s="17" t="n">
        <v>46104</v>
      </c>
      <c r="F499" s="17" t="n">
        <v>46105</v>
      </c>
      <c r="G499" s="18" t="n">
        <v>15450</v>
      </c>
      <c r="H499" s="17" t="n">
        <v>46112</v>
      </c>
      <c r="I499" s="18" t="n">
        <v>13690</v>
      </c>
      <c r="J499" s="18" t="n">
        <v>12714</v>
      </c>
      <c r="K499" s="12" t="n">
        <f aca="false">I499/G499*(1-0.0025)/(1+0.001)-1</f>
        <v>-0.117014053907258</v>
      </c>
      <c r="L499" s="4" t="n">
        <v>5</v>
      </c>
      <c r="M499" s="4" t="s">
        <v>76</v>
      </c>
    </row>
    <row r="500" customFormat="false" ht="17.15" hidden="false" customHeight="false" outlineLevel="0" collapsed="false">
      <c r="A500" s="7" t="s">
        <v>531</v>
      </c>
      <c r="B500" s="4" t="s">
        <v>532</v>
      </c>
      <c r="C500" s="7" t="s">
        <v>52</v>
      </c>
      <c r="D500" s="7" t="s">
        <v>79</v>
      </c>
      <c r="E500" s="17" t="n">
        <v>46044</v>
      </c>
      <c r="F500" s="17" t="n">
        <v>46045</v>
      </c>
      <c r="G500" s="18" t="n">
        <v>152100</v>
      </c>
      <c r="H500" s="17" t="n">
        <v>46113</v>
      </c>
      <c r="I500" s="18" t="n">
        <v>179000</v>
      </c>
      <c r="J500" s="18" t="n">
        <v>141640</v>
      </c>
      <c r="K500" s="12" t="n">
        <f aca="false">I500/G500*(1-0.0025)/(1+0.001)-1</f>
        <v>0.172742444931794</v>
      </c>
      <c r="L500" s="4" t="n">
        <v>44</v>
      </c>
      <c r="M500" s="4" t="s">
        <v>76</v>
      </c>
    </row>
    <row r="501" customFormat="false" ht="17.15" hidden="false" customHeight="false" outlineLevel="0" collapsed="false">
      <c r="A501" s="7" t="s">
        <v>120</v>
      </c>
      <c r="B501" s="4" t="s">
        <v>121</v>
      </c>
      <c r="C501" s="7" t="s">
        <v>56</v>
      </c>
      <c r="D501" s="4" t="s">
        <v>90</v>
      </c>
      <c r="E501" s="17" t="n">
        <v>46086</v>
      </c>
      <c r="F501" s="17" t="n">
        <v>46087</v>
      </c>
      <c r="G501" s="18" t="n">
        <v>764000</v>
      </c>
      <c r="H501" s="17" t="n">
        <v>46114</v>
      </c>
      <c r="I501" s="18" t="n">
        <v>650800</v>
      </c>
      <c r="J501" s="18" t="n">
        <v>650800</v>
      </c>
      <c r="K501" s="12" t="n">
        <f aca="false">I501/G501*(1-0.0025)/(1+0.001)-1</f>
        <v>-0.151145974444404</v>
      </c>
      <c r="L501" s="4" t="n">
        <v>19</v>
      </c>
      <c r="M501" s="4" t="s">
        <v>80</v>
      </c>
    </row>
    <row r="502" customFormat="false" ht="17.15" hidden="false" customHeight="false" outlineLevel="0" collapsed="false">
      <c r="A502" s="7" t="s">
        <v>525</v>
      </c>
      <c r="B502" s="4" t="s">
        <v>526</v>
      </c>
      <c r="C502" s="7" t="s">
        <v>56</v>
      </c>
      <c r="D502" s="4" t="s">
        <v>90</v>
      </c>
      <c r="E502" s="17" t="n">
        <v>46114</v>
      </c>
      <c r="F502" s="17" t="n">
        <v>46115</v>
      </c>
      <c r="G502" s="18" t="n">
        <v>27300</v>
      </c>
      <c r="H502" s="17" t="n">
        <v>46118</v>
      </c>
      <c r="I502" s="18" t="n">
        <v>26900</v>
      </c>
      <c r="J502" s="18" t="n">
        <v>22440</v>
      </c>
      <c r="K502" s="12" t="n">
        <f aca="false">I502/G502*(1-0.0025)/(1+0.001)-1</f>
        <v>-0.0180972873280564</v>
      </c>
      <c r="L502" s="4" t="n">
        <v>1</v>
      </c>
      <c r="M502" s="4" t="s">
        <v>76</v>
      </c>
    </row>
    <row r="503" customFormat="false" ht="17.15" hidden="false" customHeight="false" outlineLevel="0" collapsed="false">
      <c r="A503" s="7" t="s">
        <v>521</v>
      </c>
      <c r="B503" s="4" t="s">
        <v>522</v>
      </c>
      <c r="C503" s="7" t="s">
        <v>50</v>
      </c>
      <c r="D503" s="7" t="s">
        <v>105</v>
      </c>
      <c r="E503" s="17" t="n">
        <v>46112</v>
      </c>
      <c r="F503" s="17" t="n">
        <v>46113</v>
      </c>
      <c r="G503" s="18" t="n">
        <v>72000</v>
      </c>
      <c r="H503" s="17" t="n">
        <v>46129</v>
      </c>
      <c r="I503" s="18" t="n">
        <v>54115</v>
      </c>
      <c r="J503" s="18" t="n">
        <v>54115</v>
      </c>
      <c r="K503" s="12" t="n">
        <f aca="false">I503/G503*(1-0.0025)/(1+0.001)-1</f>
        <v>-0.25103074009324</v>
      </c>
      <c r="L503" s="4" t="n">
        <v>12</v>
      </c>
      <c r="M503" s="4" t="s">
        <v>80</v>
      </c>
    </row>
    <row r="504" customFormat="false" ht="17.15" hidden="false" customHeight="false" outlineLevel="0" collapsed="false">
      <c r="A504" s="7" t="s">
        <v>523</v>
      </c>
      <c r="B504" s="4" t="s">
        <v>524</v>
      </c>
      <c r="C504" s="7" t="s">
        <v>50</v>
      </c>
      <c r="D504" s="7" t="s">
        <v>105</v>
      </c>
      <c r="E504" s="17" t="n">
        <v>46129</v>
      </c>
      <c r="F504" s="17" t="n">
        <v>46132</v>
      </c>
      <c r="G504" s="18" t="n">
        <v>116500</v>
      </c>
      <c r="H504" s="17" t="n">
        <v>46133</v>
      </c>
      <c r="I504" s="18" t="n">
        <v>119200</v>
      </c>
      <c r="J504" s="18" t="n">
        <v>99080</v>
      </c>
      <c r="K504" s="12" t="n">
        <f aca="false">I504/G504*(1-0.0025)/(1+0.001)-1</f>
        <v>0.0195984273237493</v>
      </c>
      <c r="L504" s="4" t="n">
        <v>1</v>
      </c>
      <c r="M504" s="4" t="s">
        <v>76</v>
      </c>
    </row>
    <row r="505" customFormat="false" ht="17.15" hidden="false" customHeight="false" outlineLevel="0" collapsed="false">
      <c r="A505" s="7" t="s">
        <v>242</v>
      </c>
      <c r="B505" s="4" t="s">
        <v>243</v>
      </c>
      <c r="C505" s="7" t="s">
        <v>51</v>
      </c>
      <c r="D505" s="7" t="s">
        <v>117</v>
      </c>
      <c r="E505" s="17" t="n">
        <v>46013</v>
      </c>
      <c r="F505" s="17" t="n">
        <v>46014</v>
      </c>
      <c r="G505" s="18" t="n">
        <v>62800</v>
      </c>
      <c r="H505" s="17" t="n">
        <v>46136</v>
      </c>
      <c r="I505" s="18" t="n">
        <v>113200</v>
      </c>
      <c r="J505" s="18" t="n">
        <v>57070</v>
      </c>
      <c r="K505" s="12" t="n">
        <f aca="false">I505/G505*(1-0.0025)/(1+0.001)-1</f>
        <v>0.796245156117768</v>
      </c>
      <c r="L505" s="4" t="n">
        <v>81</v>
      </c>
      <c r="M505" s="4" t="s">
        <v>76</v>
      </c>
    </row>
    <row r="506" customFormat="false" ht="17.15" hidden="false" customHeight="false" outlineLevel="0" collapsed="false">
      <c r="A506" s="7" t="s">
        <v>499</v>
      </c>
      <c r="B506" s="4" t="s">
        <v>500</v>
      </c>
      <c r="C506" s="7" t="s">
        <v>56</v>
      </c>
      <c r="D506" s="4" t="s">
        <v>93</v>
      </c>
      <c r="E506" s="17" t="n">
        <v>46100</v>
      </c>
      <c r="F506" s="17" t="n">
        <v>46101</v>
      </c>
      <c r="G506" s="18" t="n">
        <v>136000</v>
      </c>
      <c r="H506" s="17" t="n">
        <v>46141</v>
      </c>
      <c r="I506" s="18" t="n">
        <v>120500</v>
      </c>
      <c r="J506" s="18" t="n">
        <v>111430</v>
      </c>
      <c r="K506" s="12" t="n">
        <f aca="false">I506/G506*(1-0.0025)/(1+0.001)-1</f>
        <v>-0.117068593171534</v>
      </c>
      <c r="L506" s="4" t="n">
        <v>28</v>
      </c>
      <c r="M506" s="4" t="s">
        <v>76</v>
      </c>
    </row>
    <row r="507" customFormat="false" ht="17.15" hidden="false" customHeight="false" outlineLevel="0" collapsed="false">
      <c r="A507" s="7" t="s">
        <v>465</v>
      </c>
      <c r="B507" s="4" t="s">
        <v>466</v>
      </c>
      <c r="C507" s="7" t="s">
        <v>56</v>
      </c>
      <c r="D507" s="4" t="s">
        <v>93</v>
      </c>
      <c r="E507" s="17" t="n">
        <v>46111</v>
      </c>
      <c r="F507" s="17" t="n">
        <v>46112</v>
      </c>
      <c r="G507" s="18" t="n">
        <v>307000</v>
      </c>
      <c r="H507" s="17" t="n">
        <v>46146</v>
      </c>
      <c r="I507" s="18" t="n">
        <v>290000</v>
      </c>
      <c r="J507" s="18" t="n">
        <v>255250</v>
      </c>
      <c r="K507" s="12" t="n">
        <f aca="false">I507/G507*(1-0.0025)/(1+0.001)-1</f>
        <v>-0.0586774788729185</v>
      </c>
      <c r="L507" s="4" t="n">
        <v>23</v>
      </c>
      <c r="M507" s="4" t="s">
        <v>76</v>
      </c>
    </row>
    <row r="508" customFormat="false" ht="17.15" hidden="false" customHeight="false" outlineLevel="0" collapsed="false">
      <c r="A508" s="7" t="s">
        <v>334</v>
      </c>
      <c r="B508" s="4" t="s">
        <v>335</v>
      </c>
      <c r="C508" s="7" t="s">
        <v>52</v>
      </c>
      <c r="D508" s="7" t="s">
        <v>79</v>
      </c>
      <c r="E508" s="17" t="n">
        <v>46140</v>
      </c>
      <c r="F508" s="17" t="n">
        <v>46141</v>
      </c>
      <c r="G508" s="18" t="n">
        <v>100900</v>
      </c>
      <c r="H508" s="17" t="n">
        <v>46153</v>
      </c>
      <c r="I508" s="18" t="n">
        <v>87720</v>
      </c>
      <c r="J508" s="18" t="n">
        <v>87720</v>
      </c>
      <c r="K508" s="12" t="n">
        <f aca="false">I508/G508*(1-0.0025)/(1+0.001)-1</f>
        <v>-0.133664155467922</v>
      </c>
      <c r="L508" s="4" t="n">
        <v>6</v>
      </c>
      <c r="M508" s="4" t="s">
        <v>80</v>
      </c>
    </row>
    <row r="509" customFormat="false" ht="17.15" hidden="false" customHeight="false" outlineLevel="0" collapsed="false">
      <c r="A509" s="7" t="s">
        <v>136</v>
      </c>
      <c r="B509" s="4" t="s">
        <v>137</v>
      </c>
      <c r="C509" s="7" t="s">
        <v>56</v>
      </c>
      <c r="D509" s="4" t="s">
        <v>90</v>
      </c>
      <c r="E509" s="17" t="n">
        <v>46086</v>
      </c>
      <c r="F509" s="17" t="n">
        <v>46087</v>
      </c>
      <c r="G509" s="18" t="n">
        <v>17230</v>
      </c>
      <c r="H509" s="17" t="n">
        <v>46154</v>
      </c>
      <c r="I509" s="18" t="n">
        <v>19320</v>
      </c>
      <c r="J509" s="18" t="n">
        <v>12979</v>
      </c>
      <c r="K509" s="12" t="n">
        <f aca="false">I509/G509*(1-0.0025)/(1+0.001)-1</f>
        <v>0.117379428464745</v>
      </c>
      <c r="L509" s="4" t="n">
        <v>45</v>
      </c>
      <c r="M509" s="4" t="s">
        <v>76</v>
      </c>
    </row>
    <row r="510" customFormat="false" ht="17.15" hidden="false" customHeight="false" outlineLevel="0" collapsed="false">
      <c r="A510" s="7" t="s">
        <v>330</v>
      </c>
      <c r="B510" s="4" t="s">
        <v>331</v>
      </c>
      <c r="C510" s="7" t="s">
        <v>52</v>
      </c>
      <c r="D510" s="7" t="s">
        <v>79</v>
      </c>
      <c r="E510" s="17" t="n">
        <v>46153</v>
      </c>
      <c r="F510" s="17" t="n">
        <v>46154</v>
      </c>
      <c r="G510" s="18" t="n">
        <v>156000</v>
      </c>
      <c r="H510" s="17" t="n">
        <v>46157</v>
      </c>
      <c r="I510" s="18" t="n">
        <v>137430</v>
      </c>
      <c r="J510" s="18" t="n">
        <v>137430</v>
      </c>
      <c r="K510" s="12" t="n">
        <f aca="false">I510/G510*(1-0.0025)/(1+0.001)-1</f>
        <v>-0.122118746637977</v>
      </c>
      <c r="L510" s="4" t="n">
        <v>3</v>
      </c>
      <c r="M510" s="4" t="s">
        <v>80</v>
      </c>
    </row>
    <row r="511" customFormat="false" ht="17.15" hidden="false" customHeight="false" outlineLevel="0" collapsed="false">
      <c r="A511" s="7" t="s">
        <v>533</v>
      </c>
      <c r="B511" s="4" t="s">
        <v>534</v>
      </c>
      <c r="C511" s="7" t="s">
        <v>52</v>
      </c>
      <c r="D511" s="7" t="s">
        <v>79</v>
      </c>
      <c r="E511" s="17" t="n">
        <v>46142</v>
      </c>
      <c r="F511" s="17" t="n">
        <v>46146</v>
      </c>
      <c r="G511" s="18" t="n">
        <v>17930</v>
      </c>
      <c r="H511" s="17" t="n">
        <v>46160</v>
      </c>
      <c r="I511" s="18" t="n">
        <v>14448</v>
      </c>
      <c r="J511" s="18" t="n">
        <v>14448</v>
      </c>
      <c r="K511" s="12" t="n">
        <f aca="false">I511/G511*(1-0.0025)/(1+0.001)-1</f>
        <v>-0.197017149052843</v>
      </c>
      <c r="L511" s="4" t="n">
        <v>9</v>
      </c>
      <c r="M511" s="4" t="s">
        <v>80</v>
      </c>
    </row>
    <row r="512" customFormat="false" ht="17.15" hidden="false" customHeight="false" outlineLevel="0" collapsed="false">
      <c r="A512" s="7" t="s">
        <v>527</v>
      </c>
      <c r="B512" s="7" t="s">
        <v>528</v>
      </c>
      <c r="C512" s="7" t="s">
        <v>52</v>
      </c>
      <c r="D512" s="7" t="s">
        <v>79</v>
      </c>
      <c r="E512" s="17" t="n">
        <v>46153</v>
      </c>
      <c r="F512" s="17" t="n">
        <v>46154</v>
      </c>
      <c r="G512" s="18" t="n">
        <v>1126000</v>
      </c>
      <c r="H512" s="17" t="n">
        <v>46160</v>
      </c>
      <c r="I512" s="18" t="n">
        <v>1066750</v>
      </c>
      <c r="J512" s="18" t="n">
        <v>1066750</v>
      </c>
      <c r="K512" s="12" t="n">
        <f aca="false">I512/G512*(1-0.0025)/(1+0.001)-1</f>
        <v>-0.0559324112832105</v>
      </c>
      <c r="L512" s="4" t="n">
        <v>4</v>
      </c>
      <c r="M512" s="4" t="s">
        <v>80</v>
      </c>
    </row>
    <row r="513" customFormat="false" ht="17.15" hidden="false" customHeight="false" outlineLevel="0" collapsed="false">
      <c r="A513" s="7" t="s">
        <v>535</v>
      </c>
      <c r="B513" s="7" t="s">
        <v>536</v>
      </c>
      <c r="C513" s="7" t="s">
        <v>52</v>
      </c>
      <c r="D513" s="7" t="s">
        <v>79</v>
      </c>
      <c r="E513" s="17" t="n">
        <v>46097</v>
      </c>
      <c r="F513" s="17" t="n">
        <v>46098</v>
      </c>
      <c r="G513" s="18" t="n">
        <v>211000</v>
      </c>
      <c r="H513" s="17" t="n">
        <v>46161</v>
      </c>
      <c r="I513" s="18" t="n">
        <v>209500</v>
      </c>
      <c r="J513" s="18" t="n">
        <v>183170</v>
      </c>
      <c r="K513" s="12" t="n">
        <f aca="false">I513/G513*(1-0.0025)/(1+0.001)-1</f>
        <v>-0.0105806515759121</v>
      </c>
      <c r="L513" s="4" t="n">
        <v>43</v>
      </c>
      <c r="M513" s="4" t="s">
        <v>76</v>
      </c>
    </row>
    <row r="514" customFormat="false" ht="17.15" hidden="false" customHeight="false" outlineLevel="0" collapsed="false">
      <c r="A514" s="7" t="s">
        <v>346</v>
      </c>
      <c r="B514" s="4" t="s">
        <v>347</v>
      </c>
      <c r="C514" s="7" t="s">
        <v>50</v>
      </c>
      <c r="D514" s="7" t="s">
        <v>105</v>
      </c>
      <c r="E514" s="17" t="n">
        <v>46104</v>
      </c>
      <c r="F514" s="17" t="n">
        <v>46105</v>
      </c>
      <c r="G514" s="18" t="n">
        <v>392000</v>
      </c>
      <c r="H514" s="17" t="n">
        <v>46161</v>
      </c>
      <c r="I514" s="18" t="n">
        <v>430000</v>
      </c>
      <c r="J514" s="18" t="n">
        <v>312450</v>
      </c>
      <c r="K514" s="12" t="n">
        <f aca="false">I514/G514*(1-0.0025)/(1+0.001)-1</f>
        <v>0.0931033252461824</v>
      </c>
      <c r="L514" s="4" t="n">
        <v>38</v>
      </c>
      <c r="M514" s="4" t="s">
        <v>76</v>
      </c>
    </row>
    <row r="515" customFormat="false" ht="17.15" hidden="false" customHeight="false" outlineLevel="0" collapsed="false">
      <c r="A515" s="7" t="s">
        <v>537</v>
      </c>
      <c r="B515" s="4" t="s">
        <v>538</v>
      </c>
      <c r="C515" s="7" t="s">
        <v>57</v>
      </c>
      <c r="D515" s="4" t="s">
        <v>140</v>
      </c>
      <c r="E515" s="17" t="n">
        <v>46157</v>
      </c>
      <c r="F515" s="17" t="n">
        <v>46160</v>
      </c>
      <c r="G515" s="18" t="n">
        <v>64800</v>
      </c>
      <c r="H515" s="17" t="n">
        <v>46161</v>
      </c>
      <c r="I515" s="18" t="n">
        <v>63635</v>
      </c>
      <c r="J515" s="18" t="n">
        <v>63635</v>
      </c>
      <c r="K515" s="12" t="n">
        <f aca="false">I515/G515*(1-0.0025)/(1+0.001)-1</f>
        <v>-0.0214120370370369</v>
      </c>
      <c r="L515" s="4" t="n">
        <v>1</v>
      </c>
      <c r="M515" s="4" t="s">
        <v>80</v>
      </c>
    </row>
    <row r="516" customFormat="false" ht="17.15" hidden="false" customHeight="false" outlineLevel="0" collapsed="false">
      <c r="A516" s="7" t="s">
        <v>274</v>
      </c>
      <c r="B516" s="4" t="s">
        <v>275</v>
      </c>
      <c r="C516" s="7" t="s">
        <v>56</v>
      </c>
      <c r="D516" s="4" t="s">
        <v>114</v>
      </c>
      <c r="E516" s="17" t="n">
        <v>46160</v>
      </c>
      <c r="F516" s="17" t="n">
        <v>46161</v>
      </c>
      <c r="G516" s="18" t="n">
        <v>146700</v>
      </c>
      <c r="H516" s="17" t="n">
        <v>46162</v>
      </c>
      <c r="I516" s="18" t="n">
        <v>131045</v>
      </c>
      <c r="J516" s="18" t="n">
        <v>131045</v>
      </c>
      <c r="K516" s="12" t="n">
        <f aca="false">I516/G516*(1-0.0025)/(1+0.001)-1</f>
        <v>-0.109837759377637</v>
      </c>
      <c r="L516" s="4" t="n">
        <v>1</v>
      </c>
      <c r="M516" s="4" t="s">
        <v>80</v>
      </c>
    </row>
    <row r="517" customFormat="false" ht="17.15" hidden="false" customHeight="false" outlineLevel="0" collapsed="false">
      <c r="A517" s="7" t="s">
        <v>539</v>
      </c>
      <c r="B517" s="4" t="s">
        <v>540</v>
      </c>
      <c r="C517" s="7" t="s">
        <v>52</v>
      </c>
      <c r="D517" s="7" t="s">
        <v>79</v>
      </c>
      <c r="E517" s="17" t="n">
        <v>46160</v>
      </c>
      <c r="F517" s="17" t="n">
        <v>46161</v>
      </c>
      <c r="G517" s="18" t="n">
        <v>210000</v>
      </c>
      <c r="H517" s="17" t="n">
        <v>46170</v>
      </c>
      <c r="I517" s="18" t="n">
        <v>191840</v>
      </c>
      <c r="J517" s="18" t="n">
        <v>191840</v>
      </c>
      <c r="K517" s="12" t="n">
        <f aca="false">I517/G517*(1-0.0025)/(1+0.001)-1</f>
        <v>-0.0896703296703295</v>
      </c>
      <c r="L517" s="4" t="n">
        <v>6</v>
      </c>
      <c r="M517" s="4" t="s">
        <v>80</v>
      </c>
    </row>
    <row r="518" customFormat="false" ht="17.15" hidden="false" customHeight="false" outlineLevel="0" collapsed="false">
      <c r="A518" s="7" t="s">
        <v>541</v>
      </c>
      <c r="B518" s="7" t="s">
        <v>542</v>
      </c>
      <c r="C518" s="7" t="s">
        <v>52</v>
      </c>
      <c r="D518" s="7" t="s">
        <v>79</v>
      </c>
      <c r="E518" s="17" t="n">
        <v>46132</v>
      </c>
      <c r="F518" s="17" t="n">
        <v>46133</v>
      </c>
      <c r="G518" s="18" t="n">
        <v>99500</v>
      </c>
      <c r="H518" s="17" t="n">
        <v>46174</v>
      </c>
      <c r="I518" s="18" t="n">
        <v>84810</v>
      </c>
      <c r="J518" s="18" t="n">
        <v>84810</v>
      </c>
      <c r="K518" s="12" t="n">
        <f aca="false">I518/G518*(1-0.0025)/(1+0.001)-1</f>
        <v>-0.150618477000386</v>
      </c>
      <c r="L518" s="4" t="n">
        <v>26</v>
      </c>
      <c r="M518" s="4" t="s">
        <v>80</v>
      </c>
    </row>
    <row r="519" customFormat="false" ht="17.15" hidden="false" customHeight="false" outlineLevel="0" collapsed="false">
      <c r="A519" s="7" t="s">
        <v>250</v>
      </c>
      <c r="B519" s="7" t="s">
        <v>251</v>
      </c>
      <c r="C519" s="7" t="s">
        <v>52</v>
      </c>
      <c r="D519" s="7" t="s">
        <v>79</v>
      </c>
      <c r="E519" s="17" t="n">
        <v>46171</v>
      </c>
      <c r="F519" s="17" t="n">
        <v>46174</v>
      </c>
      <c r="G519" s="18" t="n">
        <v>1530000</v>
      </c>
      <c r="H519" s="17" t="n">
        <v>46175</v>
      </c>
      <c r="I519" s="18" t="n">
        <v>1254400</v>
      </c>
      <c r="J519" s="18" t="n">
        <v>1254400</v>
      </c>
      <c r="K519" s="12" t="n">
        <f aca="false">I519/G519*(1-0.0025)/(1+0.001)-1</f>
        <v>-0.1829973947621</v>
      </c>
      <c r="L519" s="4" t="n">
        <v>1</v>
      </c>
      <c r="M519" s="4" t="s">
        <v>80</v>
      </c>
    </row>
    <row r="520" customFormat="false" ht="17.15" hidden="false" customHeight="false" outlineLevel="0" collapsed="false">
      <c r="A520" s="7" t="s">
        <v>318</v>
      </c>
      <c r="B520" s="4" t="s">
        <v>319</v>
      </c>
      <c r="C520" s="7" t="s">
        <v>56</v>
      </c>
      <c r="D520" s="4" t="s">
        <v>90</v>
      </c>
      <c r="E520" s="17" t="n">
        <v>46115</v>
      </c>
      <c r="F520" s="17" t="n">
        <v>46118</v>
      </c>
      <c r="G520" s="18" t="n">
        <v>17310</v>
      </c>
      <c r="H520" s="17" t="n">
        <v>46177</v>
      </c>
      <c r="I520" s="18" t="n">
        <v>22450</v>
      </c>
      <c r="J520" s="18" t="n">
        <v>12454</v>
      </c>
      <c r="K520" s="12" t="n">
        <f aca="false">I520/G520*(1-0.0025)/(1+0.001)-1</f>
        <v>0.292403437117476</v>
      </c>
      <c r="L520" s="4" t="n">
        <v>39</v>
      </c>
      <c r="M520" s="4" t="s">
        <v>76</v>
      </c>
    </row>
    <row r="521" customFormat="false" ht="17.15" hidden="false" customHeight="false" outlineLevel="0" collapsed="false">
      <c r="A521" s="7" t="s">
        <v>136</v>
      </c>
      <c r="B521" s="4" t="s">
        <v>137</v>
      </c>
      <c r="C521" s="7" t="s">
        <v>58</v>
      </c>
      <c r="D521" s="7" t="s">
        <v>175</v>
      </c>
      <c r="E521" s="17" t="n">
        <v>46174</v>
      </c>
      <c r="F521" s="17" t="n">
        <v>46175</v>
      </c>
      <c r="G521" s="18" t="n">
        <v>14550</v>
      </c>
      <c r="H521" s="17" t="n">
        <v>46177</v>
      </c>
      <c r="I521" s="18" t="n">
        <v>14550</v>
      </c>
      <c r="J521" s="18" t="n">
        <v>12827</v>
      </c>
      <c r="K521" s="12" t="n">
        <f aca="false">I521/G521*(1-0.0025)/(1+0.001)-1</f>
        <v>-0.00349650349650332</v>
      </c>
      <c r="L521" s="4" t="n">
        <v>1</v>
      </c>
      <c r="M521" s="4" t="s">
        <v>76</v>
      </c>
    </row>
    <row r="522" customFormat="false" ht="17.15" hidden="false" customHeight="false" outlineLevel="0" collapsed="false">
      <c r="A522" s="7" t="s">
        <v>535</v>
      </c>
      <c r="B522" s="7" t="s">
        <v>536</v>
      </c>
      <c r="C522" s="7" t="s">
        <v>56</v>
      </c>
      <c r="D522" s="4" t="s">
        <v>114</v>
      </c>
      <c r="E522" s="17" t="n">
        <v>46175</v>
      </c>
      <c r="F522" s="17" t="n">
        <v>46177</v>
      </c>
      <c r="G522" s="18" t="n">
        <v>214000</v>
      </c>
      <c r="H522" s="17" t="n">
        <v>46178</v>
      </c>
      <c r="I522" s="18" t="n">
        <v>211000</v>
      </c>
      <c r="J522" s="18" t="n">
        <v>171850</v>
      </c>
      <c r="K522" s="12" t="n">
        <f aca="false">I522/G522*(1-0.0025)/(1+0.001)-1</f>
        <v>-0.0174661786811318</v>
      </c>
      <c r="L522" s="4" t="n">
        <v>1</v>
      </c>
      <c r="M522" s="4" t="s">
        <v>76</v>
      </c>
    </row>
    <row r="523" customFormat="false" ht="17.15" hidden="false" customHeight="false" outlineLevel="0" collapsed="false">
      <c r="A523" s="7" t="s">
        <v>543</v>
      </c>
      <c r="B523" s="4" t="s">
        <v>544</v>
      </c>
      <c r="C523" s="7" t="s">
        <v>52</v>
      </c>
      <c r="D523" s="7" t="s">
        <v>79</v>
      </c>
      <c r="E523" s="17" t="n">
        <v>46175</v>
      </c>
      <c r="F523" s="17" t="n">
        <v>46177</v>
      </c>
      <c r="G523" s="18" t="n">
        <v>157900</v>
      </c>
      <c r="H523" s="17" t="n">
        <v>46178</v>
      </c>
      <c r="I523" s="18" t="n">
        <v>138500</v>
      </c>
      <c r="J523" s="18" t="n">
        <v>141580</v>
      </c>
      <c r="K523" s="12" t="n">
        <f aca="false">I523/G523*(1-0.0025)/(1+0.001)-1</f>
        <v>-0.125929485334172</v>
      </c>
      <c r="L523" s="4" t="n">
        <v>1</v>
      </c>
      <c r="M523" s="4" t="s">
        <v>80</v>
      </c>
    </row>
    <row r="524" customFormat="false" ht="17.15" hidden="false" customHeight="false" outlineLevel="0" collapsed="false">
      <c r="A524" s="7" t="s">
        <v>136</v>
      </c>
      <c r="B524" s="4" t="s">
        <v>137</v>
      </c>
      <c r="C524" s="7" t="s">
        <v>58</v>
      </c>
      <c r="D524" s="7" t="s">
        <v>175</v>
      </c>
      <c r="E524" s="17" t="n">
        <v>46177</v>
      </c>
      <c r="F524" s="17" t="n">
        <v>46178</v>
      </c>
      <c r="G524" s="18" t="n">
        <v>14200</v>
      </c>
      <c r="H524" s="17" t="n">
        <v>46181</v>
      </c>
      <c r="I524" s="18" t="n">
        <v>12920</v>
      </c>
      <c r="J524" s="18" t="n">
        <v>12931</v>
      </c>
      <c r="K524" s="12" t="n">
        <f aca="false">I524/G524*(1-0.0025)/(1+0.001)-1</f>
        <v>-0.0933221707869594</v>
      </c>
      <c r="L524" s="4" t="n">
        <v>1</v>
      </c>
      <c r="M524" s="4" t="s">
        <v>76</v>
      </c>
    </row>
    <row r="525" customFormat="false" ht="17.15" hidden="false" customHeight="false" outlineLevel="0" collapsed="false">
      <c r="A525" s="7" t="s">
        <v>310</v>
      </c>
      <c r="B525" s="7" t="s">
        <v>311</v>
      </c>
      <c r="C525" s="7" t="s">
        <v>52</v>
      </c>
      <c r="D525" s="7" t="s">
        <v>79</v>
      </c>
      <c r="E525" s="17" t="n">
        <v>46135</v>
      </c>
      <c r="F525" s="17" t="n">
        <v>46136</v>
      </c>
      <c r="G525" s="18" t="n">
        <v>384000</v>
      </c>
      <c r="H525" s="17" t="n">
        <v>46181</v>
      </c>
      <c r="I525" s="18" t="n">
        <v>250500</v>
      </c>
      <c r="J525" s="18" t="n">
        <v>268260</v>
      </c>
      <c r="K525" s="12" t="n">
        <f aca="false">I525/G525*(1-0.0025)/(1+0.001)-1</f>
        <v>-0.349937172202797</v>
      </c>
      <c r="L525" s="4" t="n">
        <v>27</v>
      </c>
      <c r="M525" s="4" t="s">
        <v>80</v>
      </c>
    </row>
    <row r="526" customFormat="false" ht="17.15" hidden="false" customHeight="false" outlineLevel="0" collapsed="false">
      <c r="A526" s="7" t="s">
        <v>141</v>
      </c>
      <c r="B526" s="4" t="s">
        <v>142</v>
      </c>
      <c r="C526" s="7" t="s">
        <v>56</v>
      </c>
      <c r="D526" s="4" t="s">
        <v>93</v>
      </c>
      <c r="E526" s="17" t="n">
        <v>46111</v>
      </c>
      <c r="F526" s="17" t="n">
        <v>46112</v>
      </c>
      <c r="G526" s="18" t="n">
        <v>408000</v>
      </c>
      <c r="H526" s="17" t="n">
        <v>46182</v>
      </c>
      <c r="I526" s="18" t="n">
        <v>516000</v>
      </c>
      <c r="J526" s="18" t="n">
        <v>358950</v>
      </c>
      <c r="K526" s="12" t="n">
        <f aca="false">I526/G526*(1-0.0025)/(1+0.001)-1</f>
        <v>0.260283833813246</v>
      </c>
      <c r="L526" s="4" t="n">
        <v>46</v>
      </c>
      <c r="M526" s="4" t="s">
        <v>76</v>
      </c>
    </row>
    <row r="527" customFormat="false" ht="17.15" hidden="false" customHeight="false" outlineLevel="0" collapsed="false">
      <c r="A527" s="7" t="s">
        <v>204</v>
      </c>
      <c r="B527" s="4" t="s">
        <v>205</v>
      </c>
      <c r="C527" s="7" t="s">
        <v>56</v>
      </c>
      <c r="D527" s="4" t="s">
        <v>90</v>
      </c>
      <c r="E527" s="17" t="n">
        <v>46161</v>
      </c>
      <c r="F527" s="17" t="n">
        <v>46162</v>
      </c>
      <c r="G527" s="18" t="n">
        <v>30350</v>
      </c>
      <c r="H527" s="17" t="n">
        <v>46182</v>
      </c>
      <c r="I527" s="18" t="n">
        <v>30750</v>
      </c>
      <c r="J527" s="18" t="n">
        <v>26690</v>
      </c>
      <c r="K527" s="12" t="n">
        <f aca="false">I527/G527*(1-0.0025)/(1+0.001)-1</f>
        <v>0.00963698574901239</v>
      </c>
      <c r="L527" s="4" t="n">
        <v>12</v>
      </c>
      <c r="M527" s="4" t="s">
        <v>76</v>
      </c>
    </row>
    <row r="528" customFormat="false" ht="17.15" hidden="false" customHeight="false" outlineLevel="0" collapsed="false">
      <c r="A528" s="7" t="s">
        <v>527</v>
      </c>
      <c r="B528" s="7" t="s">
        <v>528</v>
      </c>
      <c r="C528" s="7" t="s">
        <v>52</v>
      </c>
      <c r="D528" s="7" t="s">
        <v>79</v>
      </c>
      <c r="E528" s="17" t="n">
        <v>46169</v>
      </c>
      <c r="F528" s="17" t="n">
        <v>46170</v>
      </c>
      <c r="G528" s="18" t="n">
        <v>1237000</v>
      </c>
      <c r="H528" s="17" t="n">
        <v>46184</v>
      </c>
      <c r="I528" s="18" t="n">
        <v>1081750</v>
      </c>
      <c r="J528" s="18" t="n">
        <v>1081750</v>
      </c>
      <c r="K528" s="12" t="n">
        <f aca="false">I528/G528*(1-0.0025)/(1+0.001)-1</f>
        <v>-0.128562928583139</v>
      </c>
      <c r="L528" s="4" t="n">
        <v>9</v>
      </c>
      <c r="M528" s="4" t="s">
        <v>80</v>
      </c>
    </row>
    <row r="529" customFormat="false" ht="17.15" hidden="false" customHeight="false" outlineLevel="0" collapsed="false">
      <c r="A529" s="7" t="s">
        <v>545</v>
      </c>
      <c r="B529" s="4" t="s">
        <v>546</v>
      </c>
      <c r="C529" s="7" t="s">
        <v>52</v>
      </c>
      <c r="D529" s="7" t="s">
        <v>79</v>
      </c>
      <c r="E529" s="17" t="n">
        <v>46160</v>
      </c>
      <c r="F529" s="17" t="n">
        <v>46161</v>
      </c>
      <c r="G529" s="18" t="n">
        <v>69800</v>
      </c>
      <c r="H529" s="17" t="n">
        <v>46196</v>
      </c>
      <c r="I529" s="18" t="n">
        <v>61570</v>
      </c>
      <c r="J529" s="18" t="n">
        <v>61570</v>
      </c>
      <c r="K529" s="12" t="n">
        <f aca="false">I529/G529*(1-0.0025)/(1+0.001)-1</f>
        <v>-0.120992546135812</v>
      </c>
      <c r="L529" s="4" t="n">
        <v>23</v>
      </c>
      <c r="M529" s="4" t="s">
        <v>80</v>
      </c>
    </row>
    <row r="530" customFormat="false" ht="17.15" hidden="false" customHeight="false" outlineLevel="0" collapsed="false">
      <c r="A530" s="7" t="s">
        <v>547</v>
      </c>
      <c r="B530" s="4" t="s">
        <v>548</v>
      </c>
      <c r="C530" s="7" t="s">
        <v>53</v>
      </c>
      <c r="D530" s="7" t="s">
        <v>131</v>
      </c>
      <c r="E530" s="17" t="n">
        <v>46181</v>
      </c>
      <c r="F530" s="17" t="n">
        <v>46182</v>
      </c>
      <c r="G530" s="18" t="n">
        <v>7600</v>
      </c>
      <c r="H530" s="17" t="n">
        <v>46197</v>
      </c>
      <c r="I530" s="18" t="n">
        <v>5480</v>
      </c>
      <c r="J530" s="18" t="n">
        <v>5100.5</v>
      </c>
      <c r="K530" s="12" t="n">
        <f aca="false">I530/G530*(1-0.0025)/(1+0.001)-1</f>
        <v>-0.281468531468531</v>
      </c>
      <c r="L530" s="4" t="n">
        <v>11</v>
      </c>
      <c r="M530" s="4" t="s">
        <v>76</v>
      </c>
    </row>
    <row r="531" customFormat="false" ht="17.15" hidden="false" customHeight="false" outlineLevel="0" collapsed="false">
      <c r="A531" s="7" t="s">
        <v>200</v>
      </c>
      <c r="B531" s="4" t="s">
        <v>201</v>
      </c>
      <c r="C531" s="7" t="s">
        <v>56</v>
      </c>
      <c r="D531" s="4" t="s">
        <v>90</v>
      </c>
      <c r="E531" s="17" t="n">
        <v>46183</v>
      </c>
      <c r="F531" s="17" t="n">
        <v>46184</v>
      </c>
      <c r="G531" s="18" t="n">
        <v>152200</v>
      </c>
      <c r="H531" s="17" t="n">
        <v>46197</v>
      </c>
      <c r="I531" s="18" t="n">
        <v>125700</v>
      </c>
      <c r="J531" s="18" t="n">
        <v>95360</v>
      </c>
      <c r="K531" s="12" t="n">
        <f aca="false">I531/G531*(1-0.0025)/(1+0.001)-1</f>
        <v>-0.177000725949477</v>
      </c>
      <c r="L531" s="4" t="n">
        <v>9</v>
      </c>
      <c r="M531" s="4" t="s">
        <v>76</v>
      </c>
    </row>
    <row r="532" customFormat="false" ht="17.15" hidden="false" customHeight="false" outlineLevel="0" collapsed="false">
      <c r="A532" s="7" t="s">
        <v>334</v>
      </c>
      <c r="B532" s="4" t="s">
        <v>335</v>
      </c>
      <c r="C532" s="7" t="s">
        <v>56</v>
      </c>
      <c r="D532" s="4" t="s">
        <v>114</v>
      </c>
      <c r="E532" s="17" t="n">
        <v>46196</v>
      </c>
      <c r="F532" s="17" t="n">
        <v>46197</v>
      </c>
      <c r="G532" s="18" t="n">
        <v>66200</v>
      </c>
      <c r="H532" s="17" t="n">
        <v>46198</v>
      </c>
      <c r="I532" s="18" t="n">
        <v>66500</v>
      </c>
      <c r="J532" s="18" t="n">
        <v>55490</v>
      </c>
      <c r="K532" s="12" t="n">
        <f aca="false">I532/G532*(1-0.0025)/(1+0.001)-1</f>
        <v>0.00101937337586877</v>
      </c>
      <c r="L532" s="4" t="n">
        <v>1</v>
      </c>
      <c r="M532" s="4" t="s">
        <v>76</v>
      </c>
    </row>
    <row r="533" customFormat="false" ht="17.15" hidden="false" customHeight="false" outlineLevel="0" collapsed="false">
      <c r="A533" s="7" t="s">
        <v>547</v>
      </c>
      <c r="B533" s="4" t="s">
        <v>548</v>
      </c>
      <c r="C533" s="7" t="s">
        <v>51</v>
      </c>
      <c r="D533" s="7" t="s">
        <v>117</v>
      </c>
      <c r="E533" s="17" t="n">
        <v>46197</v>
      </c>
      <c r="F533" s="17" t="n">
        <v>46198</v>
      </c>
      <c r="G533" s="18" t="n">
        <v>5350</v>
      </c>
      <c r="H533" s="17" t="n">
        <v>46199</v>
      </c>
      <c r="I533" s="18" t="n">
        <v>5350</v>
      </c>
      <c r="J533" s="18" t="n">
        <v>3646.5</v>
      </c>
      <c r="K533" s="12" t="n">
        <f aca="false">I533/G533*(1-0.0025)/(1+0.001)-1</f>
        <v>-0.00349650349650332</v>
      </c>
      <c r="L533" s="4" t="n">
        <v>1</v>
      </c>
      <c r="M533" s="4" t="s">
        <v>76</v>
      </c>
    </row>
    <row r="534" customFormat="false" ht="17.15" hidden="false" customHeight="false" outlineLevel="0" collapsed="false">
      <c r="A534" s="7" t="s">
        <v>549</v>
      </c>
      <c r="B534" s="7" t="s">
        <v>550</v>
      </c>
      <c r="C534" s="7" t="s">
        <v>52</v>
      </c>
      <c r="D534" s="7" t="s">
        <v>79</v>
      </c>
      <c r="E534" s="17" t="n">
        <v>46198</v>
      </c>
      <c r="F534" s="17" t="n">
        <v>46199</v>
      </c>
      <c r="G534" s="18" t="n">
        <v>815000</v>
      </c>
      <c r="H534" s="17" t="n">
        <v>46204</v>
      </c>
      <c r="I534" s="18" t="n">
        <v>737600</v>
      </c>
      <c r="J534" s="18" t="n">
        <v>737600</v>
      </c>
      <c r="K534" s="12" t="n">
        <f aca="false">I534/G534*(1-0.0025)/(1+0.001)-1</f>
        <v>-0.0981337680724181</v>
      </c>
      <c r="L534" s="4" t="n">
        <v>3</v>
      </c>
      <c r="M534" s="4" t="s">
        <v>80</v>
      </c>
    </row>
    <row r="535" customFormat="false" ht="17.15" hidden="false" customHeight="false" outlineLevel="0" collapsed="false">
      <c r="A535" s="7" t="s">
        <v>531</v>
      </c>
      <c r="B535" s="4" t="s">
        <v>532</v>
      </c>
      <c r="C535" s="7" t="s">
        <v>56</v>
      </c>
      <c r="D535" s="4" t="s">
        <v>90</v>
      </c>
      <c r="E535" s="17" t="n">
        <v>46197</v>
      </c>
      <c r="F535" s="17" t="n">
        <v>46198</v>
      </c>
      <c r="G535" s="18" t="n">
        <v>358500</v>
      </c>
      <c r="H535" s="17" t="n">
        <v>46205</v>
      </c>
      <c r="I535" s="18" t="n">
        <v>288750</v>
      </c>
      <c r="J535" s="18" t="n">
        <v>288750</v>
      </c>
      <c r="K535" s="12" t="n">
        <f aca="false">I535/G535*(1-0.0025)/(1+0.001)-1</f>
        <v>-0.197376890891535</v>
      </c>
      <c r="L535" s="4" t="n">
        <v>5</v>
      </c>
      <c r="M535" s="4" t="s">
        <v>80</v>
      </c>
    </row>
    <row r="536" customFormat="false" ht="17.15" hidden="false" customHeight="false" outlineLevel="0" collapsed="false">
      <c r="A536" s="7" t="s">
        <v>419</v>
      </c>
      <c r="B536" s="4" t="s">
        <v>420</v>
      </c>
      <c r="C536" s="7" t="s">
        <v>56</v>
      </c>
      <c r="D536" s="4" t="s">
        <v>90</v>
      </c>
      <c r="E536" s="17" t="n">
        <v>46177</v>
      </c>
      <c r="F536" s="17" t="n">
        <v>46178</v>
      </c>
      <c r="G536" s="18" t="n">
        <v>93500</v>
      </c>
      <c r="H536" s="17" t="n">
        <v>46210</v>
      </c>
      <c r="I536" s="18" t="n">
        <v>81310</v>
      </c>
      <c r="J536" s="18" t="n">
        <v>81310</v>
      </c>
      <c r="K536" s="12" t="n">
        <f aca="false">I536/G536*(1-0.0025)/(1+0.001)-1</f>
        <v>-0.133414980741184</v>
      </c>
      <c r="L536" s="4" t="n">
        <v>22</v>
      </c>
      <c r="M536" s="4" t="s">
        <v>80</v>
      </c>
    </row>
    <row r="537" customFormat="false" ht="17.15" hidden="false" customHeight="false" outlineLevel="0" collapsed="false">
      <c r="A537" s="7" t="s">
        <v>527</v>
      </c>
      <c r="B537" s="7" t="s">
        <v>528</v>
      </c>
      <c r="C537" s="7" t="s">
        <v>56</v>
      </c>
      <c r="D537" s="4" t="s">
        <v>90</v>
      </c>
      <c r="E537" s="17" t="n">
        <v>46203</v>
      </c>
      <c r="F537" s="17" t="n">
        <v>46204</v>
      </c>
      <c r="G537" s="18" t="n">
        <v>1757000</v>
      </c>
      <c r="H537" s="17" t="n">
        <v>46210</v>
      </c>
      <c r="I537" s="18" t="n">
        <v>1339400</v>
      </c>
      <c r="J537" s="18" t="n">
        <v>1339400</v>
      </c>
      <c r="K537" s="12" t="n">
        <f aca="false">I537/G537*(1-0.0025)/(1+0.001)-1</f>
        <v>-0.240343322016629</v>
      </c>
      <c r="L537" s="4" t="n">
        <v>4</v>
      </c>
      <c r="M537" s="4" t="s">
        <v>80</v>
      </c>
    </row>
    <row r="538" customFormat="false" ht="17.15" hidden="false" customHeight="false" outlineLevel="0" collapsed="false">
      <c r="A538" s="7" t="s">
        <v>551</v>
      </c>
      <c r="B538" s="4" t="s">
        <v>552</v>
      </c>
      <c r="C538" s="7" t="s">
        <v>56</v>
      </c>
      <c r="D538" s="4" t="s">
        <v>93</v>
      </c>
      <c r="E538" s="17" t="n">
        <v>46204</v>
      </c>
      <c r="F538" s="17" t="n">
        <v>46205</v>
      </c>
      <c r="G538" s="18" t="n">
        <v>168500</v>
      </c>
      <c r="H538" s="17" t="n">
        <v>46211</v>
      </c>
      <c r="I538" s="18" t="n">
        <v>152190</v>
      </c>
      <c r="J538" s="18" t="n">
        <v>152190</v>
      </c>
      <c r="K538" s="12" t="n">
        <f aca="false">I538/G538*(1-0.0025)/(1+0.001)-1</f>
        <v>-0.0999533107841713</v>
      </c>
      <c r="L538" s="4" t="n">
        <v>4</v>
      </c>
      <c r="M538" s="4" t="s">
        <v>80</v>
      </c>
    </row>
    <row r="539" customFormat="false" ht="17.15" hidden="false" customHeight="false" outlineLevel="0" collapsed="false">
      <c r="A539" s="7" t="s">
        <v>330</v>
      </c>
      <c r="B539" s="4" t="s">
        <v>331</v>
      </c>
      <c r="C539" s="7" t="s">
        <v>56</v>
      </c>
      <c r="D539" s="4" t="s">
        <v>90</v>
      </c>
      <c r="E539" s="17" t="n">
        <v>46160</v>
      </c>
      <c r="F539" s="17" t="n">
        <v>46161</v>
      </c>
      <c r="G539" s="18" t="n">
        <v>176900</v>
      </c>
      <c r="H539" s="17" t="n">
        <v>46212</v>
      </c>
      <c r="I539" s="18" t="n">
        <v>162100</v>
      </c>
      <c r="J539" s="18" t="n">
        <v>141300</v>
      </c>
      <c r="K539" s="12" t="n">
        <f aca="false">I539/G539*(1-0.0025)/(1+0.001)-1</f>
        <v>-0.0868670617116065</v>
      </c>
      <c r="L539" s="4" t="n">
        <v>35</v>
      </c>
      <c r="M539" s="4" t="s">
        <v>76</v>
      </c>
    </row>
    <row r="540" customFormat="false" ht="17.15" hidden="false" customHeight="false" outlineLevel="0" collapsed="false">
      <c r="A540" s="7" t="s">
        <v>413</v>
      </c>
      <c r="B540" s="4" t="s">
        <v>414</v>
      </c>
      <c r="C540" s="7" t="s">
        <v>56</v>
      </c>
      <c r="D540" s="4" t="s">
        <v>90</v>
      </c>
      <c r="E540" s="17" t="n">
        <v>46195</v>
      </c>
      <c r="F540" s="17" t="n">
        <v>46196</v>
      </c>
      <c r="G540" s="18" t="n">
        <v>117500</v>
      </c>
      <c r="H540" s="17" t="n">
        <v>46212</v>
      </c>
      <c r="I540" s="18" t="n">
        <v>120000</v>
      </c>
      <c r="J540" s="18" t="n">
        <v>95480</v>
      </c>
      <c r="K540" s="12" t="n">
        <f aca="false">I540/G540*(1-0.0025)/(1+0.001)-1</f>
        <v>0.0177056985567623</v>
      </c>
      <c r="L540" s="4" t="n">
        <v>12</v>
      </c>
      <c r="M540" s="4" t="s">
        <v>76</v>
      </c>
    </row>
    <row r="541" customFormat="false" ht="17.15" hidden="false" customHeight="false" outlineLevel="0" collapsed="false">
      <c r="A541" s="7" t="s">
        <v>531</v>
      </c>
      <c r="B541" s="4" t="s">
        <v>532</v>
      </c>
      <c r="C541" s="7" t="s">
        <v>49</v>
      </c>
      <c r="D541" s="7" t="s">
        <v>124</v>
      </c>
      <c r="E541" s="17" t="n">
        <v>46209</v>
      </c>
      <c r="F541" s="17" t="n">
        <v>46210</v>
      </c>
      <c r="G541" s="18" t="n">
        <v>296000</v>
      </c>
      <c r="H541" s="17" t="n">
        <v>46212</v>
      </c>
      <c r="I541" s="18" t="n">
        <v>288500</v>
      </c>
      <c r="J541" s="18" t="n">
        <v>265550</v>
      </c>
      <c r="K541" s="12" t="n">
        <f aca="false">I541/G541*(1-0.0025)/(1+0.001)-1</f>
        <v>-0.0287457474957473</v>
      </c>
      <c r="L541" s="4" t="n">
        <v>2</v>
      </c>
      <c r="M541" s="4" t="s">
        <v>76</v>
      </c>
    </row>
    <row r="542" customFormat="false" ht="17.15" hidden="false" customHeight="false" outlineLevel="0" collapsed="false">
      <c r="A542" s="7" t="s">
        <v>501</v>
      </c>
      <c r="B542" s="4" t="s">
        <v>502</v>
      </c>
      <c r="C542" s="7" t="s">
        <v>56</v>
      </c>
      <c r="D542" s="4" t="s">
        <v>93</v>
      </c>
      <c r="E542" s="17" t="n">
        <v>46210</v>
      </c>
      <c r="F542" s="17" t="n">
        <v>46211</v>
      </c>
      <c r="G542" s="18" t="n">
        <v>385500</v>
      </c>
      <c r="H542" s="17" t="n">
        <v>46212</v>
      </c>
      <c r="I542" s="18" t="n">
        <v>398000</v>
      </c>
      <c r="J542" s="18" t="n">
        <v>351625</v>
      </c>
      <c r="K542" s="12" t="n">
        <f aca="false">I542/G542*(1-0.0025)/(1+0.001)-1</f>
        <v>0.0288155424342198</v>
      </c>
      <c r="L542" s="4" t="n">
        <v>1</v>
      </c>
      <c r="M542" s="4" t="s">
        <v>76</v>
      </c>
    </row>
    <row r="543" customFormat="false" ht="17.15" hidden="false" customHeight="false" outlineLevel="0" collapsed="false">
      <c r="A543" s="7" t="s">
        <v>553</v>
      </c>
      <c r="B543" s="4" t="s">
        <v>554</v>
      </c>
      <c r="C543" s="7" t="s">
        <v>56</v>
      </c>
      <c r="D543" s="4" t="s">
        <v>90</v>
      </c>
      <c r="E543" s="17" t="n">
        <v>46209</v>
      </c>
      <c r="F543" s="17" t="n">
        <v>46210</v>
      </c>
      <c r="G543" s="18" t="n">
        <v>375000</v>
      </c>
      <c r="H543" s="17" t="n">
        <v>46212</v>
      </c>
      <c r="I543" s="18" t="n">
        <v>324950</v>
      </c>
      <c r="J543" s="18" t="n">
        <v>324950</v>
      </c>
      <c r="K543" s="12" t="n">
        <f aca="false">I543/G543*(1-0.0025)/(1+0.001)-1</f>
        <v>-0.136496503496503</v>
      </c>
      <c r="L543" s="4" t="n">
        <v>2</v>
      </c>
      <c r="M543" s="4" t="s">
        <v>80</v>
      </c>
    </row>
    <row r="544" customFormat="false" ht="17.15" hidden="false" customHeight="false" outlineLevel="0" collapsed="false">
      <c r="A544" s="7" t="s">
        <v>555</v>
      </c>
      <c r="B544" s="7" t="s">
        <v>556</v>
      </c>
      <c r="C544" s="7" t="s">
        <v>51</v>
      </c>
      <c r="D544" s="7" t="s">
        <v>117</v>
      </c>
      <c r="E544" s="17" t="n">
        <v>46211</v>
      </c>
      <c r="F544" s="17" t="n">
        <v>46212</v>
      </c>
      <c r="G544" s="18" t="n">
        <v>178000</v>
      </c>
      <c r="H544" s="17" t="n">
        <v>46213</v>
      </c>
      <c r="I544" s="18" t="n">
        <v>179700</v>
      </c>
      <c r="J544" s="18" t="n">
        <v>159030</v>
      </c>
      <c r="K544" s="12" t="n">
        <f aca="false">I544/G544*(1-0.0025)/(1+0.001)-1</f>
        <v>0.00602066472852991</v>
      </c>
      <c r="L544" s="4" t="n">
        <v>1</v>
      </c>
      <c r="M544" s="4" t="s">
        <v>76</v>
      </c>
    </row>
    <row r="545" customFormat="false" ht="17.15" hidden="false" customHeight="false" outlineLevel="0" collapsed="false">
      <c r="A545" s="7" t="s">
        <v>557</v>
      </c>
      <c r="B545" s="7" t="s">
        <v>558</v>
      </c>
      <c r="C545" s="7" t="s">
        <v>50</v>
      </c>
      <c r="D545" s="7" t="s">
        <v>105</v>
      </c>
      <c r="E545" s="17" t="n">
        <v>46211</v>
      </c>
      <c r="F545" s="17" t="n">
        <v>46212</v>
      </c>
      <c r="G545" s="18" t="n">
        <v>176400</v>
      </c>
      <c r="H545" s="17" t="n">
        <v>46213</v>
      </c>
      <c r="I545" s="18" t="n">
        <v>180000</v>
      </c>
      <c r="J545" s="18" t="n">
        <v>170060</v>
      </c>
      <c r="K545" s="12" t="n">
        <f aca="false">I545/G545*(1-0.0025)/(1+0.001)-1</f>
        <v>0.0168403025545885</v>
      </c>
      <c r="L545" s="4" t="n">
        <v>1</v>
      </c>
      <c r="M545" s="4" t="s">
        <v>76</v>
      </c>
    </row>
    <row r="546" customFormat="false" ht="17.15" hidden="false" customHeight="false" outlineLevel="0" collapsed="false">
      <c r="A546" s="7" t="s">
        <v>559</v>
      </c>
      <c r="B546" s="7" t="s">
        <v>560</v>
      </c>
      <c r="C546" s="7" t="s">
        <v>48</v>
      </c>
      <c r="D546" s="7" t="s">
        <v>75</v>
      </c>
      <c r="E546" s="17" t="n">
        <v>46211</v>
      </c>
      <c r="F546" s="17" t="n">
        <v>46212</v>
      </c>
      <c r="G546" s="18" t="n">
        <v>101300</v>
      </c>
      <c r="H546" s="17" t="n">
        <v>46213</v>
      </c>
      <c r="I546" s="18" t="n">
        <v>102200</v>
      </c>
      <c r="J546" s="18" t="n">
        <v>89110</v>
      </c>
      <c r="K546" s="12" t="n">
        <f aca="false">I546/G546*(1-0.0025)/(1+0.001)-1</f>
        <v>0.00535693329375464</v>
      </c>
      <c r="L546" s="4" t="n">
        <v>1</v>
      </c>
      <c r="M546" s="4" t="s">
        <v>76</v>
      </c>
    </row>
    <row r="547" customFormat="false" ht="17.15" hidden="false" customHeight="false" outlineLevel="0" collapsed="false">
      <c r="A547" s="7" t="s">
        <v>547</v>
      </c>
      <c r="B547" s="4" t="s">
        <v>548</v>
      </c>
      <c r="C547" s="7" t="s">
        <v>56</v>
      </c>
      <c r="D547" s="4" t="s">
        <v>90</v>
      </c>
      <c r="E547" s="17" t="n">
        <v>46212</v>
      </c>
      <c r="F547" s="17" t="n">
        <v>46213</v>
      </c>
      <c r="G547" s="18" t="n">
        <v>4860</v>
      </c>
      <c r="H547" s="17" t="n">
        <v>46216</v>
      </c>
      <c r="I547" s="18" t="n">
        <v>5010</v>
      </c>
      <c r="J547" s="18" t="n">
        <v>3487.5</v>
      </c>
      <c r="K547" s="12" t="n">
        <f aca="false">I547/G547*(1-0.0025)/(1+0.001)-1</f>
        <v>0.0272597772597774</v>
      </c>
      <c r="L547" s="4" t="n">
        <v>1</v>
      </c>
      <c r="M547" s="4" t="s">
        <v>76</v>
      </c>
    </row>
    <row r="548" customFormat="false" ht="17.15" hidden="false" customHeight="false" outlineLevel="0" collapsed="false">
      <c r="A548" s="7" t="s">
        <v>208</v>
      </c>
      <c r="B548" s="4" t="s">
        <v>209</v>
      </c>
      <c r="C548" s="7" t="s">
        <v>50</v>
      </c>
      <c r="D548" s="7" t="s">
        <v>105</v>
      </c>
      <c r="E548" s="17" t="n">
        <v>46055</v>
      </c>
      <c r="F548" s="17" t="n">
        <v>46056</v>
      </c>
      <c r="G548" s="18" t="n">
        <v>307500</v>
      </c>
      <c r="H548" s="17" t="n">
        <v>46217</v>
      </c>
      <c r="I548" s="18" t="n">
        <v>1270000</v>
      </c>
      <c r="J548" s="18" t="n">
        <v>256900</v>
      </c>
      <c r="K548" s="12" t="n">
        <f aca="false">I548/G548*(1-0.0025)/(1+0.001)-1</f>
        <v>3.11564045710387</v>
      </c>
      <c r="L548" s="4" t="n">
        <v>107</v>
      </c>
      <c r="M548" s="4" t="s">
        <v>76</v>
      </c>
    </row>
    <row r="549" customFormat="false" ht="17.15" hidden="false" customHeight="false" outlineLevel="0" collapsed="false">
      <c r="A549" s="7" t="s">
        <v>318</v>
      </c>
      <c r="B549" s="4" t="s">
        <v>319</v>
      </c>
      <c r="C549" s="7" t="s">
        <v>56</v>
      </c>
      <c r="D549" s="4" t="s">
        <v>90</v>
      </c>
      <c r="E549" s="17" t="n">
        <v>46213</v>
      </c>
      <c r="F549" s="17" t="n">
        <v>46216</v>
      </c>
      <c r="G549" s="18" t="n">
        <v>16010</v>
      </c>
      <c r="H549" s="17" t="n">
        <v>46217</v>
      </c>
      <c r="I549" s="18" t="n">
        <v>16010</v>
      </c>
      <c r="J549" s="18" t="n">
        <v>13013</v>
      </c>
      <c r="K549" s="12" t="n">
        <f aca="false">I549/G549*(1-0.0025)/(1+0.001)-1</f>
        <v>-0.00349650349650332</v>
      </c>
      <c r="L549" s="4" t="n">
        <v>1</v>
      </c>
      <c r="M549" s="4" t="s">
        <v>76</v>
      </c>
    </row>
    <row r="550" customFormat="false" ht="17.15" hidden="false" customHeight="false" outlineLevel="0" collapsed="false">
      <c r="A550" s="7" t="s">
        <v>419</v>
      </c>
      <c r="B550" s="4" t="s">
        <v>420</v>
      </c>
      <c r="C550" s="7" t="s">
        <v>56</v>
      </c>
      <c r="D550" s="4" t="s">
        <v>90</v>
      </c>
      <c r="E550" s="17" t="n">
        <v>46213</v>
      </c>
      <c r="F550" s="17" t="n">
        <v>46216</v>
      </c>
      <c r="G550" s="18" t="n">
        <v>77300</v>
      </c>
      <c r="H550" s="17" t="n">
        <v>46217</v>
      </c>
      <c r="I550" s="18" t="n">
        <v>77300</v>
      </c>
      <c r="J550" s="18" t="n">
        <v>61900</v>
      </c>
      <c r="K550" s="12" t="n">
        <f aca="false">I550/G550*(1-0.0025)/(1+0.001)-1</f>
        <v>-0.00349650349650332</v>
      </c>
      <c r="L550" s="4" t="n">
        <v>1</v>
      </c>
      <c r="M550" s="4" t="s">
        <v>76</v>
      </c>
    </row>
    <row r="551" customFormat="false" ht="17.15" hidden="false" customHeight="false" outlineLevel="0" collapsed="false">
      <c r="A551" s="7" t="s">
        <v>254</v>
      </c>
      <c r="B551" s="4" t="s">
        <v>255</v>
      </c>
      <c r="C551" s="7" t="s">
        <v>56</v>
      </c>
      <c r="D551" s="4" t="s">
        <v>90</v>
      </c>
      <c r="E551" s="17" t="n">
        <v>46212</v>
      </c>
      <c r="F551" s="17" t="n">
        <v>46213</v>
      </c>
      <c r="G551" s="18" t="n">
        <v>165700</v>
      </c>
      <c r="H551" s="17" t="n">
        <v>46218</v>
      </c>
      <c r="I551" s="18" t="n">
        <v>159400</v>
      </c>
      <c r="J551" s="18" t="n">
        <v>103320</v>
      </c>
      <c r="K551" s="12" t="n">
        <f aca="false">I551/G551*(1-0.0025)/(1+0.001)-1</f>
        <v>-0.0413840836291046</v>
      </c>
      <c r="L551" s="4" t="n">
        <v>3</v>
      </c>
      <c r="M551" s="4" t="s">
        <v>76</v>
      </c>
    </row>
    <row r="552" customFormat="false" ht="17.15" hidden="false" customHeight="false" outlineLevel="0" collapsed="false">
      <c r="A552" s="7" t="s">
        <v>310</v>
      </c>
      <c r="B552" s="7" t="s">
        <v>311</v>
      </c>
      <c r="C552" s="7" t="s">
        <v>56</v>
      </c>
      <c r="D552" s="4" t="s">
        <v>90</v>
      </c>
      <c r="E552" s="17" t="n">
        <v>46216</v>
      </c>
      <c r="F552" s="17" t="n">
        <v>46217</v>
      </c>
      <c r="G552" s="18" t="n">
        <v>184000</v>
      </c>
      <c r="H552" s="17" t="n">
        <v>46218</v>
      </c>
      <c r="I552" s="18" t="n">
        <v>191500</v>
      </c>
      <c r="J552" s="18" t="n">
        <v>154620</v>
      </c>
      <c r="K552" s="12" t="n">
        <f aca="false">I552/G552*(1-0.0025)/(1+0.001)-1</f>
        <v>0.0371218455457587</v>
      </c>
      <c r="L552" s="4" t="n">
        <v>1</v>
      </c>
      <c r="M552" s="4" t="s">
        <v>76</v>
      </c>
    </row>
    <row r="553" customFormat="false" ht="17.15" hidden="false" customHeight="false" outlineLevel="0" collapsed="false">
      <c r="A553" s="7" t="s">
        <v>501</v>
      </c>
      <c r="B553" s="4" t="s">
        <v>502</v>
      </c>
      <c r="C553" s="7" t="s">
        <v>56</v>
      </c>
      <c r="D553" s="4" t="s">
        <v>114</v>
      </c>
      <c r="E553" s="17" t="n">
        <v>46216</v>
      </c>
      <c r="F553" s="17" t="n">
        <v>46217</v>
      </c>
      <c r="G553" s="18" t="n">
        <v>375000</v>
      </c>
      <c r="H553" s="17" t="n">
        <v>46218</v>
      </c>
      <c r="I553" s="18" t="n">
        <v>376000</v>
      </c>
      <c r="J553" s="18" t="n">
        <v>318275</v>
      </c>
      <c r="K553" s="12" t="n">
        <f aca="false">I553/G553*(1-0.0025)/(1+0.001)-1</f>
        <v>-0.000839160839160802</v>
      </c>
      <c r="L553" s="4" t="n">
        <v>1</v>
      </c>
      <c r="M553" s="4" t="s">
        <v>76</v>
      </c>
    </row>
    <row r="554" customFormat="false" ht="17.15" hidden="false" customHeight="false" outlineLevel="0" collapsed="false">
      <c r="A554" s="7" t="s">
        <v>527</v>
      </c>
      <c r="B554" s="7" t="s">
        <v>528</v>
      </c>
      <c r="C554" s="7" t="s">
        <v>56</v>
      </c>
      <c r="D554" s="4" t="s">
        <v>90</v>
      </c>
      <c r="E554" s="17" t="n">
        <v>46217</v>
      </c>
      <c r="F554" s="17" t="n">
        <v>46218</v>
      </c>
      <c r="G554" s="18" t="n">
        <v>1382000</v>
      </c>
      <c r="H554" s="17" t="n">
        <v>46223</v>
      </c>
      <c r="I554" s="18" t="n">
        <v>1127000</v>
      </c>
      <c r="J554" s="18" t="n">
        <v>790300</v>
      </c>
      <c r="K554" s="12" t="n">
        <f aca="false">I554/G554*(1-0.0025)/(1+0.001)-1</f>
        <v>-0.187366540839768</v>
      </c>
      <c r="L554" s="4" t="n">
        <v>2</v>
      </c>
      <c r="M554" s="4" t="s">
        <v>76</v>
      </c>
    </row>
    <row r="555" customFormat="false" ht="17.15" hidden="false" customHeight="false" outlineLevel="0" collapsed="false">
      <c r="A555" s="7" t="s">
        <v>224</v>
      </c>
      <c r="B555" s="7" t="s">
        <v>225</v>
      </c>
      <c r="C555" s="7" t="s">
        <v>56</v>
      </c>
      <c r="D555" s="4" t="s">
        <v>90</v>
      </c>
      <c r="E555" s="17" t="n">
        <v>46217</v>
      </c>
      <c r="F555" s="17" t="n">
        <v>46218</v>
      </c>
      <c r="G555" s="18" t="n">
        <v>2082000</v>
      </c>
      <c r="H555" s="17" t="n">
        <v>46223</v>
      </c>
      <c r="I555" s="18" t="n">
        <v>1745000</v>
      </c>
      <c r="J555" s="18" t="n">
        <v>1389200</v>
      </c>
      <c r="K555" s="12" t="n">
        <f aca="false">I555/G555*(1-0.0025)/(1+0.001)-1</f>
        <v>-0.164794139578001</v>
      </c>
      <c r="L555" s="4" t="n">
        <v>2</v>
      </c>
      <c r="M555" s="4" t="s">
        <v>76</v>
      </c>
    </row>
    <row r="556" customFormat="false" ht="17.15" hidden="false" customHeight="false" outlineLevel="0" collapsed="false">
      <c r="A556" s="7" t="s">
        <v>330</v>
      </c>
      <c r="B556" s="4" t="s">
        <v>331</v>
      </c>
      <c r="C556" s="7" t="s">
        <v>51</v>
      </c>
      <c r="D556" s="7" t="s">
        <v>117</v>
      </c>
      <c r="E556" s="17" t="n">
        <v>46212</v>
      </c>
      <c r="F556" s="17" t="n">
        <v>46213</v>
      </c>
      <c r="G556" s="18" t="n">
        <v>191900</v>
      </c>
      <c r="H556" s="17" t="n">
        <v>46224</v>
      </c>
      <c r="I556" s="18" t="n">
        <v>168000</v>
      </c>
      <c r="J556" s="18" t="n">
        <v>123220</v>
      </c>
      <c r="K556" s="12" t="n">
        <f aca="false">I556/G556*(1-0.0025)/(1+0.001)-1</f>
        <v>-0.127605068199128</v>
      </c>
      <c r="L556" s="4" t="n">
        <v>6</v>
      </c>
      <c r="M556" s="4" t="s">
        <v>76</v>
      </c>
    </row>
    <row r="557" customFormat="false" ht="17.15" hidden="false" customHeight="false" outlineLevel="0" collapsed="false">
      <c r="A557" s="7" t="s">
        <v>561</v>
      </c>
      <c r="B557" s="7" t="s">
        <v>562</v>
      </c>
      <c r="C557" s="7" t="s">
        <v>50</v>
      </c>
      <c r="D557" s="7" t="s">
        <v>105</v>
      </c>
      <c r="E557" s="17" t="n">
        <v>46219</v>
      </c>
      <c r="F557" s="17" t="n">
        <v>46223</v>
      </c>
      <c r="G557" s="18" t="n">
        <v>38650</v>
      </c>
      <c r="H557" s="17" t="n">
        <v>46224</v>
      </c>
      <c r="I557" s="18" t="n">
        <v>38500</v>
      </c>
      <c r="J557" s="18" t="n">
        <v>35035</v>
      </c>
      <c r="K557" s="12" t="n">
        <f aca="false">I557/G557*(1-0.0025)/(1+0.001)-1</f>
        <v>-0.00736391680764237</v>
      </c>
      <c r="L557" s="4" t="n">
        <v>1</v>
      </c>
      <c r="M557" s="4" t="s">
        <v>76</v>
      </c>
    </row>
    <row r="558" customFormat="false" ht="17.15" hidden="false" customHeight="false" outlineLevel="0" collapsed="false">
      <c r="A558" s="7" t="s">
        <v>501</v>
      </c>
      <c r="B558" s="4" t="s">
        <v>502</v>
      </c>
      <c r="C558" s="7" t="s">
        <v>56</v>
      </c>
      <c r="D558" s="4" t="s">
        <v>93</v>
      </c>
      <c r="E558" s="17" t="n">
        <v>46219</v>
      </c>
      <c r="F558" s="17" t="n">
        <v>46223</v>
      </c>
      <c r="G558" s="18" t="n">
        <v>368000</v>
      </c>
      <c r="H558" s="17" t="n">
        <v>46224</v>
      </c>
      <c r="I558" s="18" t="n">
        <v>365000</v>
      </c>
      <c r="J558" s="18" t="n">
        <v>335575</v>
      </c>
      <c r="K558" s="12" t="n">
        <f aca="false">I558/G558*(1-0.0025)/(1+0.001)-1</f>
        <v>-0.0116201733049558</v>
      </c>
      <c r="L558" s="4" t="n">
        <v>1</v>
      </c>
      <c r="M558" s="4" t="s">
        <v>76</v>
      </c>
    </row>
    <row r="559" customFormat="false" ht="17.15" hidden="false" customHeight="false" outlineLevel="0" collapsed="false">
      <c r="A559" s="7" t="s">
        <v>563</v>
      </c>
      <c r="B559" s="4" t="s">
        <v>564</v>
      </c>
      <c r="C559" s="7" t="s">
        <v>50</v>
      </c>
      <c r="D559" s="7" t="s">
        <v>105</v>
      </c>
      <c r="E559" s="17" t="n">
        <v>46211</v>
      </c>
      <c r="F559" s="17" t="n">
        <v>46212</v>
      </c>
      <c r="G559" s="18" t="n">
        <v>622000</v>
      </c>
      <c r="H559" s="17" t="n">
        <v>46224</v>
      </c>
      <c r="I559" s="18" t="n">
        <v>592600</v>
      </c>
      <c r="J559" s="18" t="n">
        <v>592600</v>
      </c>
      <c r="K559" s="12" t="n">
        <f aca="false">I559/G559*(1-0.0025)/(1+0.001)-1</f>
        <v>-0.0505981157106559</v>
      </c>
      <c r="L559" s="4" t="n">
        <v>7</v>
      </c>
      <c r="M559" s="4" t="s">
        <v>80</v>
      </c>
    </row>
    <row r="560" customFormat="false" ht="17.15" hidden="false" customHeight="false" outlineLevel="0" collapsed="false">
      <c r="A560" s="7" t="s">
        <v>310</v>
      </c>
      <c r="B560" s="7" t="s">
        <v>311</v>
      </c>
      <c r="C560" s="7" t="s">
        <v>56</v>
      </c>
      <c r="D560" s="4" t="s">
        <v>93</v>
      </c>
      <c r="E560" s="17" t="n">
        <v>46223</v>
      </c>
      <c r="F560" s="17" t="n">
        <v>46224</v>
      </c>
      <c r="G560" s="18" t="n">
        <v>195000</v>
      </c>
      <c r="H560" s="17" t="n">
        <v>46225</v>
      </c>
      <c r="I560" s="18" t="n">
        <v>201000</v>
      </c>
      <c r="J560" s="18" t="n">
        <v>152690</v>
      </c>
      <c r="K560" s="12" t="n">
        <f aca="false">I560/G560*(1-0.0025)/(1+0.001)-1</f>
        <v>0.0271651425497579</v>
      </c>
      <c r="L560" s="4" t="n">
        <v>1</v>
      </c>
      <c r="M560" s="4" t="s">
        <v>76</v>
      </c>
    </row>
    <row r="561" customFormat="false" ht="17.15" hidden="false" customHeight="false" outlineLevel="0" collapsed="false">
      <c r="A561" s="7" t="s">
        <v>258</v>
      </c>
      <c r="B561" s="4" t="s">
        <v>259</v>
      </c>
      <c r="C561" s="7" t="s">
        <v>56</v>
      </c>
      <c r="D561" s="4" t="s">
        <v>90</v>
      </c>
      <c r="E561" s="17" t="n">
        <v>46223</v>
      </c>
      <c r="F561" s="17" t="n">
        <v>46224</v>
      </c>
      <c r="G561" s="18" t="n">
        <v>37000</v>
      </c>
      <c r="H561" s="17" t="n">
        <v>46225</v>
      </c>
      <c r="I561" s="18" t="n">
        <v>38750</v>
      </c>
      <c r="J561" s="18" t="n">
        <v>26015</v>
      </c>
      <c r="K561" s="12" t="n">
        <f aca="false">I561/G561*(1-0.0025)/(1+0.001)-1</f>
        <v>0.0436354186354189</v>
      </c>
      <c r="L561" s="4" t="n">
        <v>1</v>
      </c>
      <c r="M561" s="4" t="s">
        <v>76</v>
      </c>
    </row>
    <row r="562" customFormat="false" ht="17.15" hidden="false" customHeight="false" outlineLevel="0" collapsed="false">
      <c r="A562" s="7" t="s">
        <v>557</v>
      </c>
      <c r="B562" s="7" t="s">
        <v>558</v>
      </c>
      <c r="C562" s="7" t="s">
        <v>50</v>
      </c>
      <c r="D562" s="7" t="s">
        <v>105</v>
      </c>
      <c r="E562" s="17" t="n">
        <v>46223</v>
      </c>
      <c r="F562" s="17" t="n">
        <v>46224</v>
      </c>
      <c r="G562" s="18" t="n">
        <v>178200</v>
      </c>
      <c r="H562" s="17" t="n">
        <v>46225</v>
      </c>
      <c r="I562" s="18" t="n">
        <v>178300</v>
      </c>
      <c r="J562" s="18" t="n">
        <v>163780</v>
      </c>
      <c r="K562" s="12" t="n">
        <f aca="false">I562/G562*(1-0.0025)/(1+0.001)-1</f>
        <v>-0.00293729839184376</v>
      </c>
      <c r="L562" s="4" t="n">
        <v>1</v>
      </c>
      <c r="M562" s="4" t="s">
        <v>76</v>
      </c>
    </row>
    <row r="563" customFormat="false" ht="17.15" hidden="false" customHeight="false" outlineLevel="0" collapsed="false">
      <c r="A563" s="7" t="s">
        <v>413</v>
      </c>
      <c r="B563" s="4" t="s">
        <v>414</v>
      </c>
      <c r="C563" s="7" t="s">
        <v>56</v>
      </c>
      <c r="D563" s="4" t="s">
        <v>93</v>
      </c>
      <c r="E563" s="17" t="n">
        <v>46216</v>
      </c>
      <c r="F563" s="17" t="n">
        <v>46217</v>
      </c>
      <c r="G563" s="18" t="n">
        <v>141000</v>
      </c>
      <c r="H563" s="17" t="n">
        <v>46226</v>
      </c>
      <c r="I563" s="18" t="n">
        <v>123200</v>
      </c>
      <c r="J563" s="18" t="n">
        <v>107100</v>
      </c>
      <c r="K563" s="12" t="n">
        <f aca="false">I563/G563*(1-0.0025)/(1+0.001)-1</f>
        <v>-0.129296235679214</v>
      </c>
      <c r="L563" s="4" t="n">
        <v>6</v>
      </c>
      <c r="M563" s="4" t="s">
        <v>76</v>
      </c>
    </row>
    <row r="564" customFormat="false" ht="17.15" hidden="false" customHeight="false" outlineLevel="0" collapsed="false">
      <c r="A564" s="7" t="s">
        <v>208</v>
      </c>
      <c r="B564" s="4" t="s">
        <v>209</v>
      </c>
      <c r="C564" s="7" t="s">
        <v>56</v>
      </c>
      <c r="D564" s="4" t="s">
        <v>114</v>
      </c>
      <c r="E564" s="17" t="n">
        <v>46224</v>
      </c>
      <c r="F564" s="17" t="n">
        <v>46225</v>
      </c>
      <c r="G564" s="18" t="n">
        <v>1345000</v>
      </c>
      <c r="H564" s="17" t="n">
        <v>46226</v>
      </c>
      <c r="I564" s="18" t="n">
        <v>1412000</v>
      </c>
      <c r="J564" s="18" t="n">
        <v>915100</v>
      </c>
      <c r="K564" s="12" t="n">
        <f aca="false">I564/G564*(1-0.0025)/(1+0.001)-1</f>
        <v>0.0461434476304368</v>
      </c>
      <c r="L564" s="4" t="n">
        <v>1</v>
      </c>
      <c r="M564" s="4" t="s">
        <v>76</v>
      </c>
    </row>
    <row r="565" customFormat="false" ht="17.15" hidden="false" customHeight="false" outlineLevel="0" collapsed="false">
      <c r="A565" s="7" t="s">
        <v>527</v>
      </c>
      <c r="B565" s="7" t="s">
        <v>528</v>
      </c>
      <c r="C565" s="7" t="s">
        <v>56</v>
      </c>
      <c r="D565" s="4" t="s">
        <v>90</v>
      </c>
      <c r="E565" s="17" t="n">
        <v>46224</v>
      </c>
      <c r="F565" s="17" t="n">
        <v>46225</v>
      </c>
      <c r="G565" s="18" t="n">
        <v>1230000</v>
      </c>
      <c r="H565" s="17" t="n">
        <v>46226</v>
      </c>
      <c r="I565" s="18" t="n">
        <v>1291000</v>
      </c>
      <c r="J565" s="18" t="n">
        <v>851700</v>
      </c>
      <c r="K565" s="12" t="n">
        <f aca="false">I565/G565*(1-0.0025)/(1+0.001)-1</f>
        <v>0.0459235886065155</v>
      </c>
      <c r="L565" s="4" t="n">
        <v>1</v>
      </c>
      <c r="M565" s="4" t="s">
        <v>76</v>
      </c>
    </row>
    <row r="566" customFormat="false" ht="17.15" hidden="false" customHeight="false" outlineLevel="0" collapsed="false">
      <c r="A566" s="7" t="s">
        <v>224</v>
      </c>
      <c r="B566" s="7" t="s">
        <v>225</v>
      </c>
      <c r="C566" s="7" t="s">
        <v>56</v>
      </c>
      <c r="D566" s="4" t="s">
        <v>90</v>
      </c>
      <c r="E566" s="17" t="n">
        <v>46224</v>
      </c>
      <c r="F566" s="17" t="n">
        <v>46225</v>
      </c>
      <c r="G566" s="18" t="n">
        <v>1830000</v>
      </c>
      <c r="H566" s="17" t="n">
        <v>46226</v>
      </c>
      <c r="I566" s="18" t="n">
        <v>1910000</v>
      </c>
      <c r="J566" s="18" t="n">
        <v>1311800</v>
      </c>
      <c r="K566" s="12" t="n">
        <f aca="false">I566/G566*(1-0.0025)/(1+0.001)-1</f>
        <v>0.0400664908861632</v>
      </c>
      <c r="L566" s="4" t="n">
        <v>1</v>
      </c>
      <c r="M566" s="4" t="s">
        <v>76</v>
      </c>
    </row>
    <row r="567" customFormat="false" ht="17.15" hidden="false" customHeight="false" outlineLevel="0" collapsed="false">
      <c r="A567" s="7" t="s">
        <v>250</v>
      </c>
      <c r="B567" s="7" t="s">
        <v>251</v>
      </c>
      <c r="C567" s="7" t="s">
        <v>58</v>
      </c>
      <c r="D567" s="7" t="s">
        <v>175</v>
      </c>
      <c r="E567" s="17" t="n">
        <v>46224</v>
      </c>
      <c r="F567" s="17" t="n">
        <v>46225</v>
      </c>
      <c r="G567" s="18" t="n">
        <v>647000</v>
      </c>
      <c r="H567" s="17" t="n">
        <v>46226</v>
      </c>
      <c r="I567" s="18" t="n">
        <v>667000</v>
      </c>
      <c r="J567" s="18" t="n">
        <v>469700</v>
      </c>
      <c r="K567" s="12" t="n">
        <f aca="false">I567/G567*(1-0.0025)/(1+0.001)-1</f>
        <v>0.0273073140151967</v>
      </c>
      <c r="L567" s="4" t="n">
        <v>1</v>
      </c>
      <c r="M567" s="4" t="s">
        <v>76</v>
      </c>
    </row>
    <row r="568" customFormat="false" ht="17.15" hidden="false" customHeight="false" outlineLevel="0" collapsed="false">
      <c r="A568" s="7" t="s">
        <v>551</v>
      </c>
      <c r="B568" s="4" t="s">
        <v>552</v>
      </c>
      <c r="C568" s="7" t="s">
        <v>58</v>
      </c>
      <c r="D568" s="7" t="s">
        <v>175</v>
      </c>
      <c r="E568" s="17" t="n">
        <v>46224</v>
      </c>
      <c r="F568" s="17" t="n">
        <v>46225</v>
      </c>
      <c r="G568" s="18" t="n">
        <v>134400</v>
      </c>
      <c r="H568" s="17" t="n">
        <v>46226</v>
      </c>
      <c r="I568" s="18" t="n">
        <v>129500</v>
      </c>
      <c r="J568" s="18" t="n">
        <v>102940</v>
      </c>
      <c r="K568" s="12" t="n">
        <f aca="false">I568/G568*(1-0.0025)/(1+0.001)-1</f>
        <v>-0.03982736013986</v>
      </c>
      <c r="L568" s="4" t="n">
        <v>1</v>
      </c>
      <c r="M568" s="4" t="s">
        <v>76</v>
      </c>
    </row>
    <row r="569" customFormat="false" ht="17.15" hidden="false" customHeight="false" outlineLevel="0" collapsed="false">
      <c r="A569" s="7" t="s">
        <v>555</v>
      </c>
      <c r="B569" s="7" t="s">
        <v>556</v>
      </c>
      <c r="C569" s="7" t="s">
        <v>56</v>
      </c>
      <c r="D569" s="4" t="s">
        <v>90</v>
      </c>
      <c r="E569" s="17" t="n">
        <v>46225</v>
      </c>
      <c r="F569" s="17" t="n">
        <v>46226</v>
      </c>
      <c r="G569" s="18" t="n">
        <v>187500</v>
      </c>
      <c r="H569" s="17" t="n">
        <v>46227</v>
      </c>
      <c r="I569" s="18" t="n">
        <v>182300</v>
      </c>
      <c r="J569" s="18" t="n">
        <v>153070</v>
      </c>
      <c r="K569" s="12" t="n">
        <f aca="false">I569/G569*(1-0.0025)/(1+0.001)-1</f>
        <v>-0.031132867132867</v>
      </c>
      <c r="L569" s="4" t="n">
        <v>1</v>
      </c>
      <c r="M569" s="4" t="s">
        <v>76</v>
      </c>
    </row>
    <row r="570" customFormat="false" ht="17.15" hidden="false" customHeight="false" outlineLevel="0" collapsed="false">
      <c r="A570" s="7" t="s">
        <v>565</v>
      </c>
      <c r="B570" s="4" t="s">
        <v>566</v>
      </c>
      <c r="C570" s="7" t="s">
        <v>56</v>
      </c>
      <c r="D570" s="4" t="s">
        <v>90</v>
      </c>
      <c r="E570" s="17" t="n">
        <v>46225</v>
      </c>
      <c r="F570" s="17" t="n">
        <v>46226</v>
      </c>
      <c r="G570" s="18" t="n">
        <v>11290</v>
      </c>
      <c r="H570" s="17" t="n">
        <v>46227</v>
      </c>
      <c r="I570" s="18" t="n">
        <v>11050</v>
      </c>
      <c r="J570" s="18" t="n">
        <v>7164</v>
      </c>
      <c r="K570" s="12" t="n">
        <f aca="false">I570/G570*(1-0.0025)/(1+0.001)-1</f>
        <v>-0.0246799259199613</v>
      </c>
      <c r="L570" s="4" t="n">
        <v>1</v>
      </c>
      <c r="M570" s="4" t="s">
        <v>76</v>
      </c>
    </row>
    <row r="571" customFormat="false" ht="17.15" hidden="false" customHeight="false" outlineLevel="0" collapsed="false">
      <c r="A571" s="7" t="s">
        <v>467</v>
      </c>
      <c r="B571" s="4" t="s">
        <v>468</v>
      </c>
      <c r="C571" s="7" t="s">
        <v>56</v>
      </c>
      <c r="D571" s="4" t="s">
        <v>90</v>
      </c>
      <c r="E571" s="17" t="n">
        <v>46225</v>
      </c>
      <c r="F571" s="17" t="n">
        <v>46226</v>
      </c>
      <c r="G571" s="18" t="n">
        <v>1276000</v>
      </c>
      <c r="H571" s="17" t="n">
        <v>46227</v>
      </c>
      <c r="I571" s="18" t="n">
        <v>1256000</v>
      </c>
      <c r="J571" s="18" t="n">
        <v>917500</v>
      </c>
      <c r="K571" s="12" t="n">
        <f aca="false">I571/G571*(1-0.0025)/(1+0.001)-1</f>
        <v>-0.0191156805576866</v>
      </c>
      <c r="L571" s="4" t="n">
        <v>1</v>
      </c>
      <c r="M571" s="4" t="s">
        <v>76</v>
      </c>
    </row>
    <row r="572" customFormat="false" ht="17.15" hidden="false" customHeight="false" outlineLevel="0" collapsed="false">
      <c r="A572" s="7" t="s">
        <v>240</v>
      </c>
      <c r="B572" s="4" t="s">
        <v>241</v>
      </c>
      <c r="C572" s="7" t="s">
        <v>48</v>
      </c>
      <c r="D572" s="7" t="s">
        <v>75</v>
      </c>
      <c r="E572" s="17" t="n">
        <v>46178</v>
      </c>
      <c r="F572" s="17" t="n">
        <v>46181</v>
      </c>
      <c r="G572" s="18" t="n">
        <v>131500</v>
      </c>
      <c r="H572" s="17" t="n">
        <v>46230</v>
      </c>
      <c r="I572" s="18" t="n">
        <v>137400</v>
      </c>
      <c r="J572" s="18" t="n">
        <v>107710</v>
      </c>
      <c r="K572" s="12" t="n">
        <f aca="false">I572/G572*(1-0.0025)/(1+0.001)-1</f>
        <v>0.0412135393123987</v>
      </c>
      <c r="L572" s="4" t="n">
        <v>34</v>
      </c>
      <c r="M572" s="4" t="s">
        <v>76</v>
      </c>
    </row>
    <row r="573" customFormat="false" ht="17.15" hidden="false" customHeight="false" outlineLevel="0" collapsed="false">
      <c r="A573" s="7" t="s">
        <v>539</v>
      </c>
      <c r="B573" s="4" t="s">
        <v>540</v>
      </c>
      <c r="C573" s="7" t="s">
        <v>56</v>
      </c>
      <c r="D573" s="4" t="s">
        <v>90</v>
      </c>
      <c r="E573" s="17" t="n">
        <v>46182</v>
      </c>
      <c r="F573" s="17" t="n">
        <v>46183</v>
      </c>
      <c r="G573" s="18" t="n">
        <v>207500</v>
      </c>
      <c r="H573" s="17" t="n">
        <v>46230</v>
      </c>
      <c r="I573" s="18" t="n">
        <v>215500</v>
      </c>
      <c r="J573" s="18" t="n">
        <v>161790</v>
      </c>
      <c r="K573" s="12" t="n">
        <f aca="false">I573/G573*(1-0.0025)/(1+0.001)-1</f>
        <v>0.0349229084168845</v>
      </c>
      <c r="L573" s="4" t="n">
        <v>32</v>
      </c>
      <c r="M573" s="4" t="s">
        <v>76</v>
      </c>
    </row>
    <row r="574" customFormat="false" ht="17.15" hidden="false" customHeight="false" outlineLevel="0" collapsed="false">
      <c r="A574" s="7" t="s">
        <v>208</v>
      </c>
      <c r="B574" s="4" t="s">
        <v>209</v>
      </c>
      <c r="C574" s="7" t="s">
        <v>56</v>
      </c>
      <c r="D574" s="4" t="s">
        <v>93</v>
      </c>
      <c r="E574" s="17" t="n">
        <v>46226</v>
      </c>
      <c r="F574" s="17" t="n">
        <v>46227</v>
      </c>
      <c r="G574" s="18" t="n">
        <v>1326000</v>
      </c>
      <c r="H574" s="17" t="n">
        <v>46230</v>
      </c>
      <c r="I574" s="18" t="n">
        <v>1399000</v>
      </c>
      <c r="J574" s="18" t="n">
        <v>1067500</v>
      </c>
      <c r="K574" s="12" t="n">
        <f aca="false">I574/G574*(1-0.0025)/(1+0.001)-1</f>
        <v>0.0513637945764645</v>
      </c>
      <c r="L574" s="4" t="n">
        <v>1</v>
      </c>
      <c r="M574" s="4" t="s">
        <v>76</v>
      </c>
    </row>
    <row r="575" customFormat="false" ht="17.15" hidden="false" customHeight="false" outlineLevel="0" collapsed="false">
      <c r="A575" s="7" t="s">
        <v>419</v>
      </c>
      <c r="B575" s="4" t="s">
        <v>420</v>
      </c>
      <c r="C575" s="7" t="s">
        <v>56</v>
      </c>
      <c r="D575" s="4" t="s">
        <v>90</v>
      </c>
      <c r="E575" s="17" t="n">
        <v>46226</v>
      </c>
      <c r="F575" s="17" t="n">
        <v>46227</v>
      </c>
      <c r="G575" s="18" t="n">
        <v>70300</v>
      </c>
      <c r="H575" s="17" t="n">
        <v>46230</v>
      </c>
      <c r="I575" s="18" t="n">
        <v>72300</v>
      </c>
      <c r="J575" s="18" t="n">
        <v>58890</v>
      </c>
      <c r="K575" s="12" t="n">
        <f aca="false">I575/G575*(1-0.0025)/(1+0.001)-1</f>
        <v>0.0248535248535249</v>
      </c>
      <c r="L575" s="4" t="n">
        <v>1</v>
      </c>
      <c r="M575" s="4" t="s">
        <v>76</v>
      </c>
    </row>
    <row r="576" customFormat="false" ht="17.15" hidden="false" customHeight="false" outlineLevel="0" collapsed="false">
      <c r="A576" s="7" t="s">
        <v>224</v>
      </c>
      <c r="B576" s="7" t="s">
        <v>225</v>
      </c>
      <c r="C576" s="7" t="s">
        <v>56</v>
      </c>
      <c r="D576" s="4" t="s">
        <v>114</v>
      </c>
      <c r="E576" s="17" t="n">
        <v>46226</v>
      </c>
      <c r="F576" s="17" t="n">
        <v>46227</v>
      </c>
      <c r="G576" s="18" t="n">
        <v>1759000</v>
      </c>
      <c r="H576" s="17" t="n">
        <v>46230</v>
      </c>
      <c r="I576" s="18" t="n">
        <v>1814000</v>
      </c>
      <c r="J576" s="18" t="n">
        <v>1431100</v>
      </c>
      <c r="K576" s="12" t="n">
        <f aca="false">I576/G576*(1-0.0025)/(1+0.001)-1</f>
        <v>0.0276619344271423</v>
      </c>
      <c r="L576" s="4" t="n">
        <v>1</v>
      </c>
      <c r="M576" s="4" t="s">
        <v>76</v>
      </c>
    </row>
    <row r="577" customFormat="false" ht="17.15" hidden="false" customHeight="false" outlineLevel="0" collapsed="false">
      <c r="A577" s="7" t="s">
        <v>99</v>
      </c>
      <c r="B577" s="4" t="s">
        <v>100</v>
      </c>
      <c r="C577" s="7" t="s">
        <v>48</v>
      </c>
      <c r="D577" s="7" t="s">
        <v>75</v>
      </c>
      <c r="E577" s="17" t="n">
        <v>46227</v>
      </c>
      <c r="F577" s="17" t="n">
        <v>46230</v>
      </c>
      <c r="G577" s="18" t="n">
        <v>24150</v>
      </c>
      <c r="H577" s="17" t="n">
        <v>46231</v>
      </c>
      <c r="I577" s="18" t="n">
        <v>23400</v>
      </c>
      <c r="J577" s="18" t="n">
        <v>19000</v>
      </c>
      <c r="K577" s="12" t="n">
        <f aca="false">I577/G577*(1-0.0025)/(1+0.001)-1</f>
        <v>-0.0344438170525124</v>
      </c>
      <c r="L577" s="4" t="n">
        <v>1</v>
      </c>
      <c r="M577" s="4" t="s">
        <v>76</v>
      </c>
    </row>
    <row r="578" customFormat="false" ht="17.15" hidden="false" customHeight="false" outlineLevel="0" collapsed="false">
      <c r="A578" s="7" t="s">
        <v>475</v>
      </c>
      <c r="B578" s="4" t="s">
        <v>476</v>
      </c>
      <c r="C578" s="7" t="s">
        <v>53</v>
      </c>
      <c r="D578" s="7" t="s">
        <v>193</v>
      </c>
      <c r="E578" s="17" t="n">
        <v>46227</v>
      </c>
      <c r="F578" s="17" t="n">
        <v>46230</v>
      </c>
      <c r="G578" s="18" t="n">
        <v>204500</v>
      </c>
      <c r="H578" s="17" t="n">
        <v>46231</v>
      </c>
      <c r="I578" s="18" t="n">
        <v>197200</v>
      </c>
      <c r="J578" s="18" t="n">
        <v>181880</v>
      </c>
      <c r="K578" s="12" t="n">
        <f aca="false">I578/G578*(1-0.0025)/(1+0.001)-1</f>
        <v>-0.0390685109511514</v>
      </c>
      <c r="L578" s="4" t="n">
        <v>1</v>
      </c>
      <c r="M578" s="4" t="s">
        <v>76</v>
      </c>
    </row>
    <row r="579" customFormat="false" ht="17.15" hidden="false" customHeight="false" outlineLevel="0" collapsed="false">
      <c r="A579" s="7" t="s">
        <v>567</v>
      </c>
      <c r="B579" s="7" t="s">
        <v>568</v>
      </c>
      <c r="C579" s="7" t="s">
        <v>56</v>
      </c>
      <c r="D579" s="4" t="s">
        <v>114</v>
      </c>
      <c r="E579" s="17" t="n">
        <v>46227</v>
      </c>
      <c r="F579" s="17" t="n">
        <v>46230</v>
      </c>
      <c r="G579" s="18" t="n">
        <v>97900</v>
      </c>
      <c r="H579" s="17" t="n">
        <v>46231</v>
      </c>
      <c r="I579" s="18" t="n">
        <v>88830</v>
      </c>
      <c r="J579" s="18" t="n">
        <v>88830</v>
      </c>
      <c r="K579" s="12" t="n">
        <f aca="false">I579/G579*(1-0.0025)/(1+0.001)-1</f>
        <v>-0.0958181246741001</v>
      </c>
      <c r="L579" s="4" t="n">
        <v>1</v>
      </c>
      <c r="M579" s="4" t="s">
        <v>80</v>
      </c>
    </row>
    <row r="580" customFormat="false" ht="17.15" hidden="false" customHeight="false" outlineLevel="0" collapsed="false">
      <c r="A580" s="7" t="s">
        <v>569</v>
      </c>
      <c r="B580" s="7" t="s">
        <v>570</v>
      </c>
      <c r="C580" s="7" t="s">
        <v>51</v>
      </c>
      <c r="D580" s="7" t="s">
        <v>117</v>
      </c>
      <c r="E580" s="17" t="n">
        <v>46227</v>
      </c>
      <c r="F580" s="17" t="n">
        <v>46230</v>
      </c>
      <c r="G580" s="18" t="n">
        <v>18090</v>
      </c>
      <c r="H580" s="17" t="n">
        <v>46231</v>
      </c>
      <c r="I580" s="18" t="n">
        <v>16501</v>
      </c>
      <c r="J580" s="18" t="n">
        <v>16501</v>
      </c>
      <c r="K580" s="12" t="n">
        <f aca="false">I580/G580*(1-0.0025)/(1+0.001)-1</f>
        <v>-0.0910279604309454</v>
      </c>
      <c r="L580" s="4" t="n">
        <v>1</v>
      </c>
      <c r="M580" s="4" t="s">
        <v>80</v>
      </c>
    </row>
    <row r="581" customFormat="false" ht="17.15" hidden="false" customHeight="false" outlineLevel="0" collapsed="false">
      <c r="A581" s="7" t="s">
        <v>549</v>
      </c>
      <c r="B581" s="7" t="s">
        <v>550</v>
      </c>
      <c r="C581" s="7" t="s">
        <v>51</v>
      </c>
      <c r="D581" s="7" t="s">
        <v>117</v>
      </c>
      <c r="E581" s="17" t="n">
        <v>46225</v>
      </c>
      <c r="F581" s="17" t="n">
        <v>46226</v>
      </c>
      <c r="G581" s="18" t="n">
        <v>655000</v>
      </c>
      <c r="H581" s="17" t="n">
        <v>46232</v>
      </c>
      <c r="I581" s="18" t="n">
        <v>532000</v>
      </c>
      <c r="J581" s="18" t="n">
        <v>483200</v>
      </c>
      <c r="K581" s="12" t="n">
        <f aca="false">I581/G581*(1-0.0025)/(1+0.001)-1</f>
        <v>-0.190626167725404</v>
      </c>
      <c r="L581" s="4" t="n">
        <v>4</v>
      </c>
      <c r="M581" s="4" t="s">
        <v>76</v>
      </c>
    </row>
    <row r="582" customFormat="false" ht="17.15" hidden="false" customHeight="false" outlineLevel="0" collapsed="false">
      <c r="A582" s="7" t="s">
        <v>423</v>
      </c>
      <c r="B582" s="4" t="s">
        <v>424</v>
      </c>
      <c r="C582" s="7" t="s">
        <v>50</v>
      </c>
      <c r="D582" s="7" t="s">
        <v>105</v>
      </c>
      <c r="E582" s="17" t="n">
        <v>46225</v>
      </c>
      <c r="F582" s="17" t="n">
        <v>46226</v>
      </c>
      <c r="G582" s="18" t="n">
        <v>218000</v>
      </c>
      <c r="H582" s="17" t="n">
        <v>46232</v>
      </c>
      <c r="I582" s="18" t="n">
        <v>201000</v>
      </c>
      <c r="J582" s="18" t="n">
        <v>170080</v>
      </c>
      <c r="K582" s="12" t="n">
        <f aca="false">I582/G582*(1-0.0025)/(1+0.001)-1</f>
        <v>-0.0812054917559503</v>
      </c>
      <c r="L582" s="4" t="n">
        <v>4</v>
      </c>
      <c r="M582" s="4" t="s">
        <v>76</v>
      </c>
    </row>
    <row r="583" customFormat="false" ht="17.15" hidden="false" customHeight="false" outlineLevel="0" collapsed="false">
      <c r="A583" s="7" t="s">
        <v>571</v>
      </c>
      <c r="B583" s="4" t="s">
        <v>572</v>
      </c>
      <c r="C583" s="7" t="s">
        <v>58</v>
      </c>
      <c r="D583" s="7" t="s">
        <v>175</v>
      </c>
      <c r="E583" s="17" t="n">
        <v>46230</v>
      </c>
      <c r="F583" s="17" t="n">
        <v>46231</v>
      </c>
      <c r="G583" s="18" t="n">
        <v>127400</v>
      </c>
      <c r="H583" s="17" t="n">
        <v>46232</v>
      </c>
      <c r="I583" s="18" t="n">
        <v>128600</v>
      </c>
      <c r="J583" s="18" t="n">
        <v>110430</v>
      </c>
      <c r="K583" s="12" t="n">
        <f aca="false">I583/G583*(1-0.0025)/(1+0.001)-1</f>
        <v>0.00588971468092381</v>
      </c>
      <c r="L583" s="4" t="n">
        <v>1</v>
      </c>
      <c r="M583" s="4" t="s">
        <v>76</v>
      </c>
    </row>
    <row r="584" customFormat="false" ht="17.15" hidden="false" customHeight="false" outlineLevel="0" collapsed="false">
      <c r="A584" s="7" t="s">
        <v>573</v>
      </c>
      <c r="B584" s="7" t="s">
        <v>574</v>
      </c>
      <c r="C584" s="7" t="s">
        <v>54</v>
      </c>
      <c r="D584" s="7" t="s">
        <v>85</v>
      </c>
      <c r="E584" s="17" t="n">
        <v>46216</v>
      </c>
      <c r="F584" s="17" t="n">
        <v>46217</v>
      </c>
      <c r="G584" s="18" t="n">
        <v>131400</v>
      </c>
      <c r="H584" s="17" t="n">
        <v>46232</v>
      </c>
      <c r="I584" s="18" t="n">
        <v>124330</v>
      </c>
      <c r="J584" s="18" t="n">
        <v>124330</v>
      </c>
      <c r="K584" s="12" t="n">
        <f aca="false">I584/G584*(1-0.0025)/(1+0.001)-1</f>
        <v>-0.0571135485519045</v>
      </c>
      <c r="L584" s="4" t="n">
        <v>10</v>
      </c>
      <c r="M584" s="4" t="s">
        <v>80</v>
      </c>
    </row>
    <row r="585" customFormat="false" ht="17.15" hidden="false" customHeight="false" outlineLevel="0" collapsed="false">
      <c r="A585" s="7" t="s">
        <v>563</v>
      </c>
      <c r="B585" s="4" t="s">
        <v>564</v>
      </c>
      <c r="C585" s="7" t="s">
        <v>50</v>
      </c>
      <c r="D585" s="7" t="s">
        <v>105</v>
      </c>
      <c r="E585" s="17" t="n">
        <v>46225</v>
      </c>
      <c r="F585" s="17" t="n">
        <v>46226</v>
      </c>
      <c r="G585" s="18" t="n">
        <v>638000</v>
      </c>
      <c r="H585" s="17" t="n">
        <v>46233</v>
      </c>
      <c r="I585" s="18" t="n">
        <v>599000</v>
      </c>
      <c r="J585" s="18" t="n">
        <v>545400</v>
      </c>
      <c r="K585" s="12" t="n">
        <f aca="false">I585/G585*(1-0.0025)/(1+0.001)-1</f>
        <v>-0.0644112940351184</v>
      </c>
      <c r="L585" s="4" t="n">
        <v>5</v>
      </c>
      <c r="M585" s="4" t="s">
        <v>76</v>
      </c>
    </row>
    <row r="586" customFormat="false" ht="17.15" hidden="false" customHeight="false" outlineLevel="0" collapsed="false">
      <c r="A586" s="7" t="s">
        <v>575</v>
      </c>
      <c r="B586" s="4" t="s">
        <v>576</v>
      </c>
      <c r="C586" s="7" t="s">
        <v>49</v>
      </c>
      <c r="D586" s="7" t="s">
        <v>124</v>
      </c>
      <c r="E586" s="17" t="n">
        <v>46230</v>
      </c>
      <c r="F586" s="17" t="n">
        <v>46231</v>
      </c>
      <c r="G586" s="18" t="n">
        <v>98900</v>
      </c>
      <c r="H586" s="17" t="n">
        <v>46234</v>
      </c>
      <c r="I586" s="18" t="n">
        <v>94100</v>
      </c>
      <c r="J586" s="18" t="n">
        <v>85170</v>
      </c>
      <c r="K586" s="12" t="n">
        <f aca="false">I586/G586*(1-0.0025)/(1+0.001)-1</f>
        <v>-0.051860677239848</v>
      </c>
      <c r="L586" s="4" t="n">
        <v>3</v>
      </c>
      <c r="M586" s="4" t="s">
        <v>76</v>
      </c>
    </row>
    <row r="587" customFormat="false" ht="17.15" hidden="false" customHeight="false" outlineLevel="0" collapsed="false">
      <c r="A587" s="7" t="s">
        <v>577</v>
      </c>
      <c r="B587" s="7" t="s">
        <v>578</v>
      </c>
      <c r="C587" s="7" t="s">
        <v>51</v>
      </c>
      <c r="D587" s="7" t="s">
        <v>117</v>
      </c>
      <c r="E587" s="17" t="n">
        <v>46232</v>
      </c>
      <c r="F587" s="17" t="n">
        <v>46233</v>
      </c>
      <c r="G587" s="18" t="n">
        <v>78900</v>
      </c>
      <c r="H587" s="17" t="n">
        <v>46237</v>
      </c>
      <c r="I587" s="18" t="n">
        <v>68390</v>
      </c>
      <c r="J587" s="18" t="n">
        <v>68390</v>
      </c>
      <c r="K587" s="12" t="n">
        <f aca="false">I587/G587*(1-0.0025)/(1+0.001)-1</f>
        <v>-0.136237336807679</v>
      </c>
      <c r="L587" s="4" t="n">
        <v>2</v>
      </c>
      <c r="M587" s="4" t="s">
        <v>80</v>
      </c>
    </row>
    <row r="588" customFormat="false" ht="17.15" hidden="false" customHeight="false" outlineLevel="0" collapsed="false">
      <c r="A588" s="7" t="s">
        <v>579</v>
      </c>
      <c r="B588" s="4" t="s">
        <v>580</v>
      </c>
      <c r="C588" s="7" t="s">
        <v>48</v>
      </c>
      <c r="D588" s="7" t="s">
        <v>75</v>
      </c>
      <c r="E588" s="17" t="n">
        <v>46237</v>
      </c>
      <c r="F588" s="17" t="n">
        <v>46238</v>
      </c>
      <c r="G588" s="18" t="n">
        <v>61500</v>
      </c>
      <c r="H588" s="17" t="n">
        <v>46239</v>
      </c>
      <c r="I588" s="18" t="n">
        <v>60900</v>
      </c>
      <c r="J588" s="18" t="n">
        <v>53960</v>
      </c>
      <c r="K588" s="12" t="n">
        <f aca="false">I588/G588*(1-0.0025)/(1+0.001)-1</f>
        <v>-0.0132184888282447</v>
      </c>
      <c r="L588" s="4" t="n">
        <v>1</v>
      </c>
      <c r="M588" s="4" t="s">
        <v>76</v>
      </c>
    </row>
    <row r="589" customFormat="false" ht="17.15" hidden="false" customHeight="false" outlineLevel="0" collapsed="false">
      <c r="A589" s="7" t="s">
        <v>563</v>
      </c>
      <c r="B589" s="4" t="s">
        <v>564</v>
      </c>
      <c r="C589" s="7" t="s">
        <v>51</v>
      </c>
      <c r="D589" s="7" t="s">
        <v>117</v>
      </c>
      <c r="E589" s="17" t="n">
        <v>46233</v>
      </c>
      <c r="F589" s="17" t="n">
        <v>46234</v>
      </c>
      <c r="G589" s="18" t="n">
        <v>632000</v>
      </c>
      <c r="H589" s="17" t="n">
        <v>46247</v>
      </c>
      <c r="I589" s="18" t="n">
        <v>629000</v>
      </c>
      <c r="J589" s="18" t="n">
        <v>530800</v>
      </c>
      <c r="K589" s="12" t="n">
        <f aca="false">I589/G589*(1-0.0025)/(1+0.001)-1</f>
        <v>-0.00822674161281745</v>
      </c>
      <c r="L589" s="4" t="n">
        <v>9</v>
      </c>
      <c r="M589" s="4" t="s">
        <v>76</v>
      </c>
    </row>
    <row r="590" customFormat="false" ht="17.15" hidden="false" customHeight="false" outlineLevel="0" collapsed="false">
      <c r="A590" s="7" t="s">
        <v>326</v>
      </c>
      <c r="B590" s="4" t="s">
        <v>327</v>
      </c>
      <c r="C590" s="7" t="s">
        <v>56</v>
      </c>
      <c r="D590" s="4" t="s">
        <v>93</v>
      </c>
      <c r="E590" s="17" t="n">
        <v>46233</v>
      </c>
      <c r="F590" s="17" t="n">
        <v>46234</v>
      </c>
      <c r="G590" s="18" t="n">
        <v>125400</v>
      </c>
      <c r="H590" s="17" t="n">
        <v>46255</v>
      </c>
      <c r="I590" s="18" t="n">
        <v>124500</v>
      </c>
      <c r="J590" s="18" t="n">
        <v>109750</v>
      </c>
      <c r="K590" s="12" t="n">
        <f aca="false">I590/G590*(1-0.0025)/(1+0.001)-1</f>
        <v>-0.010648442466624</v>
      </c>
      <c r="L590" s="4" t="n">
        <v>14</v>
      </c>
      <c r="M590" s="4" t="s">
        <v>76</v>
      </c>
    </row>
    <row r="591" customFormat="false" ht="17.15" hidden="false" customHeight="false" outlineLevel="0" collapsed="false">
      <c r="A591" s="7" t="s">
        <v>581</v>
      </c>
      <c r="B591" s="7" t="s">
        <v>582</v>
      </c>
      <c r="C591" s="7" t="s">
        <v>56</v>
      </c>
      <c r="D591" s="4" t="s">
        <v>114</v>
      </c>
      <c r="E591" s="17" t="n">
        <v>46233</v>
      </c>
      <c r="F591" s="17" t="n">
        <v>46234</v>
      </c>
      <c r="G591" s="18" t="n">
        <v>168500</v>
      </c>
      <c r="H591" s="17" t="n">
        <v>46255</v>
      </c>
      <c r="I591" s="18" t="n">
        <v>161000</v>
      </c>
      <c r="J591" s="18" t="n">
        <v>147480</v>
      </c>
      <c r="K591" s="12" t="n">
        <f aca="false">I591/G591*(1-0.0025)/(1+0.001)-1</f>
        <v>-0.0478512585337509</v>
      </c>
      <c r="L591" s="4" t="n">
        <v>14</v>
      </c>
      <c r="M591" s="4" t="s">
        <v>76</v>
      </c>
    </row>
    <row r="592" customFormat="false" ht="17.15" hidden="false" customHeight="false" outlineLevel="0" collapsed="false">
      <c r="A592" s="7" t="s">
        <v>583</v>
      </c>
      <c r="B592" s="4" t="s">
        <v>584</v>
      </c>
      <c r="C592" s="7" t="s">
        <v>56</v>
      </c>
      <c r="D592" s="4" t="s">
        <v>93</v>
      </c>
      <c r="E592" s="17" t="n">
        <v>46233</v>
      </c>
      <c r="F592" s="17" t="n">
        <v>46234</v>
      </c>
      <c r="G592" s="18" t="n">
        <v>100700</v>
      </c>
      <c r="H592" s="17" t="n">
        <v>46255</v>
      </c>
      <c r="I592" s="18" t="n">
        <v>102000</v>
      </c>
      <c r="J592" s="18" t="n">
        <v>88780</v>
      </c>
      <c r="K592" s="12" t="n">
        <f aca="false">I592/G592*(1-0.0025)/(1+0.001)-1</f>
        <v>0.00936799050006609</v>
      </c>
      <c r="L592" s="4" t="n">
        <v>14</v>
      </c>
      <c r="M592" s="4" t="s">
        <v>76</v>
      </c>
    </row>
    <row r="593" customFormat="false" ht="17.15" hidden="false" customHeight="false" outlineLevel="0" collapsed="false">
      <c r="A593" s="7" t="s">
        <v>585</v>
      </c>
      <c r="B593" s="7" t="s">
        <v>586</v>
      </c>
      <c r="C593" s="7" t="s">
        <v>54</v>
      </c>
      <c r="D593" s="7" t="s">
        <v>85</v>
      </c>
      <c r="E593" s="17" t="n">
        <v>46233</v>
      </c>
      <c r="F593" s="17" t="n">
        <v>46234</v>
      </c>
      <c r="G593" s="18" t="n">
        <v>287000</v>
      </c>
      <c r="H593" s="17" t="n">
        <v>46295</v>
      </c>
      <c r="I593" s="18" t="n">
        <v>281000</v>
      </c>
      <c r="J593" s="18" t="n">
        <v>265600</v>
      </c>
      <c r="K593" s="12" t="n">
        <f aca="false">I593/G593*(1-0.0025)/(1+0.001)-1</f>
        <v>-0.0243293292073778</v>
      </c>
      <c r="L593" s="4" t="n">
        <v>40</v>
      </c>
      <c r="M593" s="4" t="s">
        <v>76</v>
      </c>
    </row>
  </sheetData>
  <autoFilter ref="A4:M5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0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10" min="9" style="0" width="11"/>
    <col collapsed="false" customWidth="true" hidden="false" outlineLevel="0" max="11" min="11" style="0" width="14"/>
  </cols>
  <sheetData>
    <row r="1" customFormat="false" ht="19.4" hidden="false" customHeight="false" outlineLevel="0" collapsed="false">
      <c r="A1" s="19" t="s">
        <v>587</v>
      </c>
    </row>
    <row r="3" customFormat="false" ht="32.8" hidden="false" customHeight="false" outlineLevel="0" collapsed="false">
      <c r="A3" s="3" t="s">
        <v>588</v>
      </c>
      <c r="B3" s="3" t="s">
        <v>61</v>
      </c>
      <c r="C3" s="3" t="s">
        <v>62</v>
      </c>
      <c r="D3" s="3" t="s">
        <v>44</v>
      </c>
      <c r="E3" s="3" t="s">
        <v>589</v>
      </c>
      <c r="F3" s="3" t="s">
        <v>590</v>
      </c>
      <c r="G3" s="3" t="s">
        <v>591</v>
      </c>
      <c r="H3" s="3" t="s">
        <v>592</v>
      </c>
      <c r="I3" s="20" t="s">
        <v>593</v>
      </c>
      <c r="J3" s="20" t="s">
        <v>594</v>
      </c>
      <c r="K3" s="20" t="s">
        <v>595</v>
      </c>
    </row>
    <row r="4" customFormat="false" ht="17.15" hidden="false" customHeight="false" outlineLevel="0" collapsed="false">
      <c r="A4" s="4" t="n">
        <v>1</v>
      </c>
      <c r="B4" s="7" t="s">
        <v>413</v>
      </c>
      <c r="C4" s="4" t="s">
        <v>414</v>
      </c>
      <c r="D4" s="7" t="s">
        <v>596</v>
      </c>
      <c r="E4" s="7" t="s">
        <v>597</v>
      </c>
      <c r="F4" s="18" t="n">
        <v>209500</v>
      </c>
      <c r="G4" s="18" t="n">
        <v>179640</v>
      </c>
      <c r="H4" s="12" t="n">
        <v>-0.142529832935561</v>
      </c>
      <c r="I4" s="12" t="n">
        <v>0.974552309142319</v>
      </c>
      <c r="J4" s="18" t="n">
        <v>134583.870967742</v>
      </c>
      <c r="K4" s="18" t="n">
        <v>321.49317395</v>
      </c>
    </row>
    <row r="5" customFormat="false" ht="17.15" hidden="false" customHeight="false" outlineLevel="0" collapsed="false">
      <c r="A5" s="4" t="n">
        <v>2</v>
      </c>
      <c r="B5" s="7" t="s">
        <v>200</v>
      </c>
      <c r="C5" s="4" t="s">
        <v>201</v>
      </c>
      <c r="D5" s="7" t="s">
        <v>598</v>
      </c>
      <c r="E5" s="7" t="s">
        <v>599</v>
      </c>
      <c r="F5" s="18" t="n">
        <v>123300</v>
      </c>
      <c r="G5" s="18" t="n">
        <v>106295</v>
      </c>
      <c r="H5" s="12" t="n">
        <v>-0.137915652879157</v>
      </c>
      <c r="I5" s="12" t="n">
        <v>0.39795918367347</v>
      </c>
      <c r="J5" s="18" t="n">
        <v>83088.7096774194</v>
      </c>
      <c r="K5" s="18" t="n">
        <v>403.20917705</v>
      </c>
    </row>
    <row r="6" customFormat="false" ht="17.15" hidden="false" customHeight="false" outlineLevel="0" collapsed="false">
      <c r="A6" s="4" t="n">
        <v>3</v>
      </c>
      <c r="B6" s="7" t="s">
        <v>600</v>
      </c>
      <c r="C6" s="4" t="s">
        <v>601</v>
      </c>
      <c r="D6" s="7" t="s">
        <v>598</v>
      </c>
      <c r="E6" s="7" t="s">
        <v>599</v>
      </c>
      <c r="F6" s="18" t="n">
        <v>37350</v>
      </c>
      <c r="G6" s="18" t="n">
        <v>33735</v>
      </c>
      <c r="H6" s="12" t="n">
        <v>-0.0967871485943775</v>
      </c>
      <c r="I6" s="12" t="n">
        <v>0.36563071297989</v>
      </c>
      <c r="J6" s="18" t="n">
        <v>28752.4193548387</v>
      </c>
      <c r="K6" s="18" t="n">
        <v>478.71009275</v>
      </c>
    </row>
    <row r="7" customFormat="false" ht="17.15" hidden="false" customHeight="false" outlineLevel="0" collapsed="false">
      <c r="A7" s="4" t="n">
        <v>4</v>
      </c>
      <c r="B7" s="7" t="s">
        <v>141</v>
      </c>
      <c r="C7" s="4" t="s">
        <v>142</v>
      </c>
      <c r="D7" s="7" t="s">
        <v>602</v>
      </c>
      <c r="E7" s="7" t="s">
        <v>603</v>
      </c>
      <c r="F7" s="18" t="n">
        <v>567000</v>
      </c>
      <c r="G7" s="18" t="n">
        <v>520400</v>
      </c>
      <c r="H7" s="12" t="n">
        <v>-0.0821869488536155</v>
      </c>
      <c r="I7" s="12" t="n">
        <v>0.178794178794179</v>
      </c>
      <c r="J7" s="18" t="n">
        <v>490217.741935484</v>
      </c>
      <c r="K7" s="18" t="n">
        <v>1979.2720065</v>
      </c>
    </row>
    <row r="8" customFormat="false" ht="17.15" hidden="false" customHeight="false" outlineLevel="0" collapsed="false">
      <c r="A8" s="4" t="n">
        <v>5</v>
      </c>
      <c r="B8" s="7" t="s">
        <v>604</v>
      </c>
      <c r="C8" s="7" t="s">
        <v>605</v>
      </c>
      <c r="D8" s="7" t="s">
        <v>606</v>
      </c>
      <c r="E8" s="7" t="s">
        <v>607</v>
      </c>
      <c r="F8" s="18" t="n">
        <v>403000</v>
      </c>
      <c r="G8" s="18" t="n">
        <v>372000</v>
      </c>
      <c r="H8" s="12" t="n">
        <v>-0.0769230769230769</v>
      </c>
      <c r="I8" s="12" t="n">
        <v>-0.0218446601941748</v>
      </c>
      <c r="J8" s="18" t="n">
        <v>349806.451612903</v>
      </c>
      <c r="K8" s="18" t="n">
        <v>1187.9392155</v>
      </c>
    </row>
    <row r="9" customFormat="false" ht="17.15" hidden="false" customHeight="false" outlineLevel="0" collapsed="false">
      <c r="A9" s="4" t="n">
        <v>6</v>
      </c>
      <c r="B9" s="7" t="s">
        <v>125</v>
      </c>
      <c r="C9" s="4" t="s">
        <v>126</v>
      </c>
      <c r="D9" s="7" t="s">
        <v>598</v>
      </c>
      <c r="E9" s="7" t="s">
        <v>599</v>
      </c>
      <c r="F9" s="18" t="n">
        <v>50200</v>
      </c>
      <c r="G9" s="18" t="n">
        <v>45435</v>
      </c>
      <c r="H9" s="12" t="n">
        <v>-0.0949203187250996</v>
      </c>
      <c r="I9" s="12" t="n">
        <v>-0.0703703703703704</v>
      </c>
      <c r="J9" s="18" t="n">
        <v>38631.4516129032</v>
      </c>
      <c r="K9" s="18" t="n">
        <v>32.109523525</v>
      </c>
    </row>
    <row r="10" customFormat="false" ht="17.15" hidden="false" customHeight="false" outlineLevel="0" collapsed="false">
      <c r="A10" s="4" t="n">
        <v>7</v>
      </c>
      <c r="B10" s="7" t="s">
        <v>608</v>
      </c>
      <c r="C10" s="7" t="s">
        <v>609</v>
      </c>
      <c r="D10" s="7" t="s">
        <v>598</v>
      </c>
      <c r="E10" s="7" t="s">
        <v>599</v>
      </c>
      <c r="F10" s="18" t="n">
        <v>16430</v>
      </c>
      <c r="G10" s="18" t="n">
        <v>14326</v>
      </c>
      <c r="H10" s="12" t="n">
        <v>-0.128058429701765</v>
      </c>
      <c r="I10" s="12" t="n">
        <v>-0.177677677677678</v>
      </c>
      <c r="J10" s="18" t="n">
        <v>12059.0322580645</v>
      </c>
      <c r="K10" s="18" t="n">
        <v>218.930092345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20"/>
  </cols>
  <sheetData>
    <row r="1" customFormat="false" ht="19.4" hidden="false" customHeight="false" outlineLevel="0" collapsed="false">
      <c r="A1" s="1" t="s">
        <v>610</v>
      </c>
    </row>
    <row r="3" customFormat="false" ht="17.15" hidden="false" customHeight="false" outlineLevel="0" collapsed="false">
      <c r="A3" s="3" t="s">
        <v>61</v>
      </c>
      <c r="B3" s="3" t="s">
        <v>62</v>
      </c>
      <c r="C3" s="3" t="s">
        <v>611</v>
      </c>
      <c r="D3" s="3" t="s">
        <v>66</v>
      </c>
      <c r="E3" s="3" t="s">
        <v>67</v>
      </c>
      <c r="F3" s="3" t="s">
        <v>68</v>
      </c>
      <c r="G3" s="3" t="s">
        <v>612</v>
      </c>
      <c r="H3" s="3" t="s">
        <v>71</v>
      </c>
      <c r="I3" s="3" t="s">
        <v>72</v>
      </c>
    </row>
    <row r="4" customFormat="false" ht="17.15" hidden="false" customHeight="false" outlineLevel="0" collapsed="false">
      <c r="A4" s="7" t="s">
        <v>129</v>
      </c>
      <c r="B4" s="4" t="s">
        <v>130</v>
      </c>
      <c r="C4" s="17" t="n">
        <v>43039</v>
      </c>
      <c r="D4" s="18" t="n">
        <v>9830</v>
      </c>
      <c r="E4" s="17" t="n">
        <v>43041</v>
      </c>
      <c r="F4" s="18" t="n">
        <v>10392</v>
      </c>
      <c r="G4" s="12" t="n">
        <v>0.0534744638860631</v>
      </c>
      <c r="H4" s="4" t="n">
        <v>2</v>
      </c>
      <c r="I4" s="7" t="s">
        <v>613</v>
      </c>
    </row>
    <row r="5" customFormat="false" ht="17.15" hidden="false" customHeight="false" outlineLevel="0" collapsed="false">
      <c r="A5" s="7" t="s">
        <v>115</v>
      </c>
      <c r="B5" s="4" t="s">
        <v>116</v>
      </c>
      <c r="C5" s="17" t="n">
        <v>43039</v>
      </c>
      <c r="D5" s="18" t="n">
        <v>3612</v>
      </c>
      <c r="E5" s="17" t="n">
        <v>43041</v>
      </c>
      <c r="F5" s="18" t="n">
        <v>3680</v>
      </c>
      <c r="G5" s="12" t="n">
        <v>0.0152627906976746</v>
      </c>
      <c r="H5" s="4" t="n">
        <v>2</v>
      </c>
      <c r="I5" s="7" t="s">
        <v>613</v>
      </c>
    </row>
    <row r="6" customFormat="false" ht="17.15" hidden="false" customHeight="false" outlineLevel="0" collapsed="false">
      <c r="A6" s="7" t="s">
        <v>81</v>
      </c>
      <c r="B6" s="4" t="s">
        <v>82</v>
      </c>
      <c r="C6" s="17" t="n">
        <v>43039</v>
      </c>
      <c r="D6" s="18" t="n">
        <v>29993</v>
      </c>
      <c r="E6" s="17" t="n">
        <v>43041</v>
      </c>
      <c r="F6" s="18" t="n">
        <v>32031</v>
      </c>
      <c r="G6" s="12" t="n">
        <v>0.0642140358583669</v>
      </c>
      <c r="H6" s="4" t="n">
        <v>2</v>
      </c>
      <c r="I6" s="7" t="s">
        <v>613</v>
      </c>
    </row>
    <row r="7" customFormat="false" ht="15" hidden="false" customHeight="false" outlineLevel="0" collapsed="false">
      <c r="A7" s="7" t="s">
        <v>73</v>
      </c>
      <c r="B7" s="4" t="s">
        <v>74</v>
      </c>
      <c r="C7" s="17" t="n">
        <v>43039</v>
      </c>
      <c r="D7" s="18" t="n">
        <v>20600</v>
      </c>
      <c r="E7" s="17" t="n">
        <v>43069</v>
      </c>
      <c r="F7" s="18" t="n">
        <v>22000</v>
      </c>
      <c r="G7" s="12" t="n">
        <v>0.0642259708737862</v>
      </c>
      <c r="H7" s="4" t="n">
        <v>22</v>
      </c>
      <c r="I7" s="4" t="s">
        <v>614</v>
      </c>
    </row>
    <row r="8" customFormat="false" ht="15" hidden="false" customHeight="false" outlineLevel="0" collapsed="false">
      <c r="A8" s="7" t="s">
        <v>615</v>
      </c>
      <c r="B8" s="4" t="s">
        <v>616</v>
      </c>
      <c r="C8" s="17" t="n">
        <v>43039</v>
      </c>
      <c r="D8" s="18" t="n">
        <v>554234</v>
      </c>
      <c r="E8" s="17" t="n">
        <v>43069</v>
      </c>
      <c r="F8" s="18" t="n">
        <v>494337</v>
      </c>
      <c r="G8" s="12" t="n">
        <v>-0.111191200210561</v>
      </c>
      <c r="H8" s="4" t="n">
        <v>22</v>
      </c>
      <c r="I8" s="4" t="s">
        <v>614</v>
      </c>
    </row>
    <row r="9" customFormat="false" ht="17.15" hidden="false" customHeight="false" outlineLevel="0" collapsed="false">
      <c r="A9" s="7" t="s">
        <v>97</v>
      </c>
      <c r="B9" s="4" t="s">
        <v>98</v>
      </c>
      <c r="C9" s="17" t="n">
        <v>43039</v>
      </c>
      <c r="D9" s="18" t="n">
        <v>1770</v>
      </c>
      <c r="E9" s="17" t="n">
        <v>43081</v>
      </c>
      <c r="F9" s="18" t="n">
        <v>1950</v>
      </c>
      <c r="G9" s="12" t="n">
        <v>0.0978417372881357</v>
      </c>
      <c r="H9" s="4" t="n">
        <v>30</v>
      </c>
      <c r="I9" s="7" t="s">
        <v>613</v>
      </c>
    </row>
    <row r="10" customFormat="false" ht="17.15" hidden="false" customHeight="false" outlineLevel="0" collapsed="false">
      <c r="A10" s="7" t="s">
        <v>81</v>
      </c>
      <c r="B10" s="4" t="s">
        <v>82</v>
      </c>
      <c r="C10" s="17" t="n">
        <v>43069</v>
      </c>
      <c r="D10" s="18" t="n">
        <v>39636</v>
      </c>
      <c r="E10" s="17" t="n">
        <v>43088</v>
      </c>
      <c r="F10" s="18" t="n">
        <v>36435</v>
      </c>
      <c r="G10" s="12" t="n">
        <v>-0.0839749574250681</v>
      </c>
      <c r="H10" s="4" t="n">
        <v>13</v>
      </c>
      <c r="I10" s="7" t="s">
        <v>613</v>
      </c>
    </row>
    <row r="11" customFormat="false" ht="15" hidden="false" customHeight="false" outlineLevel="0" collapsed="false">
      <c r="A11" s="7" t="s">
        <v>108</v>
      </c>
      <c r="B11" s="4" t="s">
        <v>109</v>
      </c>
      <c r="C11" s="17" t="n">
        <v>43039</v>
      </c>
      <c r="D11" s="18" t="n">
        <v>129662</v>
      </c>
      <c r="E11" s="17" t="n">
        <v>43097</v>
      </c>
      <c r="F11" s="18" t="n">
        <v>168908</v>
      </c>
      <c r="G11" s="12" t="n">
        <v>0.298123153044068</v>
      </c>
      <c r="H11" s="4" t="n">
        <v>41</v>
      </c>
      <c r="I11" s="4" t="s">
        <v>614</v>
      </c>
    </row>
    <row r="12" customFormat="false" ht="17.15" hidden="false" customHeight="false" outlineLevel="0" collapsed="false">
      <c r="A12" s="7" t="s">
        <v>433</v>
      </c>
      <c r="B12" s="4" t="s">
        <v>434</v>
      </c>
      <c r="C12" s="17" t="n">
        <v>43097</v>
      </c>
      <c r="D12" s="18" t="n">
        <v>7290</v>
      </c>
      <c r="E12" s="17" t="n">
        <v>43124</v>
      </c>
      <c r="F12" s="18" t="n">
        <v>5700</v>
      </c>
      <c r="G12" s="12" t="n">
        <v>-0.220841666666667</v>
      </c>
      <c r="H12" s="4" t="n">
        <v>17</v>
      </c>
      <c r="I12" s="7" t="s">
        <v>613</v>
      </c>
    </row>
    <row r="13" customFormat="false" ht="15" hidden="false" customHeight="false" outlineLevel="0" collapsed="false">
      <c r="A13" s="7" t="s">
        <v>110</v>
      </c>
      <c r="B13" s="4" t="s">
        <v>111</v>
      </c>
      <c r="C13" s="17" t="n">
        <v>43039</v>
      </c>
      <c r="D13" s="18" t="n">
        <v>25565</v>
      </c>
      <c r="E13" s="17" t="n">
        <v>43131</v>
      </c>
      <c r="F13" s="18" t="n">
        <v>44944</v>
      </c>
      <c r="G13" s="12" t="n">
        <v>0.751879849794641</v>
      </c>
      <c r="H13" s="4" t="n">
        <v>63</v>
      </c>
      <c r="I13" s="4" t="s">
        <v>614</v>
      </c>
    </row>
    <row r="14" customFormat="false" ht="15" hidden="false" customHeight="false" outlineLevel="0" collapsed="false">
      <c r="A14" s="7" t="s">
        <v>115</v>
      </c>
      <c r="B14" s="4" t="s">
        <v>116</v>
      </c>
      <c r="C14" s="17" t="n">
        <v>43069</v>
      </c>
      <c r="D14" s="18" t="n">
        <v>4698</v>
      </c>
      <c r="E14" s="17" t="n">
        <v>43131</v>
      </c>
      <c r="F14" s="18" t="n">
        <v>5098</v>
      </c>
      <c r="G14" s="12" t="n">
        <v>0.0813473275862069</v>
      </c>
      <c r="H14" s="4" t="n">
        <v>41</v>
      </c>
      <c r="I14" s="4" t="s">
        <v>614</v>
      </c>
    </row>
    <row r="15" customFormat="false" ht="15" hidden="false" customHeight="false" outlineLevel="0" collapsed="false">
      <c r="A15" s="7" t="s">
        <v>274</v>
      </c>
      <c r="B15" s="4" t="s">
        <v>275</v>
      </c>
      <c r="C15" s="17" t="n">
        <v>43069</v>
      </c>
      <c r="D15" s="18" t="n">
        <v>13650</v>
      </c>
      <c r="E15" s="17" t="n">
        <v>43131</v>
      </c>
      <c r="F15" s="18" t="n">
        <v>16800</v>
      </c>
      <c r="G15" s="12" t="n">
        <v>0.226464615384615</v>
      </c>
      <c r="H15" s="4" t="n">
        <v>41</v>
      </c>
      <c r="I15" s="4" t="s">
        <v>614</v>
      </c>
    </row>
    <row r="16" customFormat="false" ht="17.15" hidden="false" customHeight="false" outlineLevel="0" collapsed="false">
      <c r="A16" s="7" t="s">
        <v>234</v>
      </c>
      <c r="B16" s="7" t="s">
        <v>235</v>
      </c>
      <c r="C16" s="17" t="n">
        <v>43039</v>
      </c>
      <c r="D16" s="18" t="n">
        <v>9929</v>
      </c>
      <c r="E16" s="17" t="n">
        <v>43139</v>
      </c>
      <c r="F16" s="18" t="n">
        <v>14726</v>
      </c>
      <c r="G16" s="12" t="n">
        <v>0.477942976634102</v>
      </c>
      <c r="H16" s="4" t="n">
        <v>69</v>
      </c>
      <c r="I16" s="7" t="s">
        <v>613</v>
      </c>
    </row>
    <row r="17" customFormat="false" ht="17.15" hidden="false" customHeight="false" outlineLevel="0" collapsed="false">
      <c r="A17" s="7" t="s">
        <v>103</v>
      </c>
      <c r="B17" s="4" t="s">
        <v>104</v>
      </c>
      <c r="C17" s="17" t="n">
        <v>43039</v>
      </c>
      <c r="D17" s="18" t="n">
        <v>25320</v>
      </c>
      <c r="E17" s="17" t="n">
        <v>43159</v>
      </c>
      <c r="F17" s="18" t="n">
        <v>68683</v>
      </c>
      <c r="G17" s="12" t="n">
        <v>1.70311142209716</v>
      </c>
      <c r="H17" s="4" t="n">
        <v>81</v>
      </c>
      <c r="I17" s="4" t="s">
        <v>617</v>
      </c>
    </row>
    <row r="18" customFormat="false" ht="17.15" hidden="false" customHeight="false" outlineLevel="0" collapsed="false">
      <c r="A18" s="7" t="s">
        <v>129</v>
      </c>
      <c r="B18" s="4" t="s">
        <v>130</v>
      </c>
      <c r="C18" s="17" t="n">
        <v>43069</v>
      </c>
      <c r="D18" s="18" t="n">
        <v>13094</v>
      </c>
      <c r="E18" s="17" t="n">
        <v>43159</v>
      </c>
      <c r="F18" s="18" t="n">
        <v>20750</v>
      </c>
      <c r="G18" s="12" t="n">
        <v>0.579152808538262</v>
      </c>
      <c r="H18" s="4" t="n">
        <v>59</v>
      </c>
      <c r="I18" s="4" t="s">
        <v>617</v>
      </c>
    </row>
    <row r="19" customFormat="false" ht="17.15" hidden="false" customHeight="false" outlineLevel="0" collapsed="false">
      <c r="A19" s="7" t="s">
        <v>99</v>
      </c>
      <c r="B19" s="4" t="s">
        <v>100</v>
      </c>
      <c r="C19" s="17" t="n">
        <v>43069</v>
      </c>
      <c r="D19" s="18" t="n">
        <v>16471</v>
      </c>
      <c r="E19" s="17" t="n">
        <v>43159</v>
      </c>
      <c r="F19" s="18" t="n">
        <v>31700</v>
      </c>
      <c r="G19" s="12" t="n">
        <v>0.917863472163196</v>
      </c>
      <c r="H19" s="4" t="n">
        <v>59</v>
      </c>
      <c r="I19" s="4" t="s">
        <v>617</v>
      </c>
    </row>
    <row r="20" customFormat="false" ht="17.15" hidden="false" customHeight="false" outlineLevel="0" collapsed="false">
      <c r="A20" s="7" t="s">
        <v>173</v>
      </c>
      <c r="B20" s="4" t="s">
        <v>174</v>
      </c>
      <c r="C20" s="17" t="n">
        <v>43097</v>
      </c>
      <c r="D20" s="18" t="n">
        <v>15881</v>
      </c>
      <c r="E20" s="17" t="n">
        <v>43159</v>
      </c>
      <c r="F20" s="18" t="n">
        <v>18102</v>
      </c>
      <c r="G20" s="12" t="n">
        <v>0.135866019457213</v>
      </c>
      <c r="H20" s="4" t="n">
        <v>40</v>
      </c>
      <c r="I20" s="4" t="s">
        <v>617</v>
      </c>
    </row>
    <row r="21" customFormat="false" ht="17.15" hidden="false" customHeight="false" outlineLevel="0" collapsed="false">
      <c r="A21" s="7" t="s">
        <v>97</v>
      </c>
      <c r="B21" s="4" t="s">
        <v>98</v>
      </c>
      <c r="C21" s="17" t="n">
        <v>43097</v>
      </c>
      <c r="D21" s="18" t="n">
        <v>3355</v>
      </c>
      <c r="E21" s="17" t="n">
        <v>43159</v>
      </c>
      <c r="F21" s="18" t="n">
        <v>5360</v>
      </c>
      <c r="G21" s="12" t="n">
        <v>0.5920278390462</v>
      </c>
      <c r="H21" s="4" t="n">
        <v>40</v>
      </c>
      <c r="I21" s="4" t="s">
        <v>617</v>
      </c>
    </row>
    <row r="22" customFormat="false" ht="17.15" hidden="false" customHeight="false" outlineLevel="0" collapsed="false">
      <c r="A22" s="7" t="s">
        <v>106</v>
      </c>
      <c r="B22" s="4" t="s">
        <v>107</v>
      </c>
      <c r="C22" s="17" t="n">
        <v>43131</v>
      </c>
      <c r="D22" s="18" t="n">
        <v>39950</v>
      </c>
      <c r="E22" s="17" t="n">
        <v>43159</v>
      </c>
      <c r="F22" s="18" t="n">
        <v>32600</v>
      </c>
      <c r="G22" s="12" t="n">
        <v>-0.186834005006258</v>
      </c>
      <c r="H22" s="4" t="n">
        <v>18</v>
      </c>
      <c r="I22" s="4" t="s">
        <v>617</v>
      </c>
    </row>
    <row r="23" customFormat="false" ht="17.15" hidden="false" customHeight="false" outlineLevel="0" collapsed="false">
      <c r="A23" s="7" t="s">
        <v>120</v>
      </c>
      <c r="B23" s="4" t="s">
        <v>121</v>
      </c>
      <c r="C23" s="17" t="n">
        <v>43131</v>
      </c>
      <c r="D23" s="18" t="n">
        <v>39750</v>
      </c>
      <c r="E23" s="17" t="n">
        <v>43159</v>
      </c>
      <c r="F23" s="18" t="n">
        <v>35250</v>
      </c>
      <c r="G23" s="12" t="n">
        <v>-0.116309103773585</v>
      </c>
      <c r="H23" s="4" t="n">
        <v>18</v>
      </c>
      <c r="I23" s="4" t="s">
        <v>617</v>
      </c>
    </row>
    <row r="24" customFormat="false" ht="17.15" hidden="false" customHeight="false" outlineLevel="0" collapsed="false">
      <c r="A24" s="7" t="s">
        <v>101</v>
      </c>
      <c r="B24" s="4" t="s">
        <v>102</v>
      </c>
      <c r="C24" s="17" t="n">
        <v>43131</v>
      </c>
      <c r="D24" s="18" t="n">
        <v>35864</v>
      </c>
      <c r="E24" s="17" t="n">
        <v>43159</v>
      </c>
      <c r="F24" s="18" t="n">
        <v>30140</v>
      </c>
      <c r="G24" s="12" t="n">
        <v>-0.162542233158599</v>
      </c>
      <c r="H24" s="4" t="n">
        <v>18</v>
      </c>
      <c r="I24" s="4" t="s">
        <v>617</v>
      </c>
    </row>
    <row r="25" customFormat="false" ht="17.15" hidden="false" customHeight="false" outlineLevel="0" collapsed="false">
      <c r="A25" s="7" t="s">
        <v>328</v>
      </c>
      <c r="B25" s="4" t="s">
        <v>329</v>
      </c>
      <c r="C25" s="17" t="n">
        <v>43524</v>
      </c>
      <c r="D25" s="18" t="n">
        <v>7650</v>
      </c>
      <c r="E25" s="17" t="n">
        <v>43529</v>
      </c>
      <c r="F25" s="18" t="n">
        <v>7550</v>
      </c>
      <c r="G25" s="12" t="n">
        <v>-0.0165236764705882</v>
      </c>
      <c r="H25" s="4" t="n">
        <v>2</v>
      </c>
      <c r="I25" s="7" t="s">
        <v>613</v>
      </c>
    </row>
    <row r="26" customFormat="false" ht="17.15" hidden="false" customHeight="false" outlineLevel="0" collapsed="false">
      <c r="A26" s="7" t="s">
        <v>161</v>
      </c>
      <c r="B26" s="4" t="s">
        <v>162</v>
      </c>
      <c r="C26" s="17" t="n">
        <v>43524</v>
      </c>
      <c r="D26" s="18" t="n">
        <v>21100</v>
      </c>
      <c r="E26" s="17" t="n">
        <v>43529</v>
      </c>
      <c r="F26" s="18" t="n">
        <v>20300</v>
      </c>
      <c r="G26" s="12" t="n">
        <v>-0.041279585308057</v>
      </c>
      <c r="H26" s="4" t="n">
        <v>2</v>
      </c>
      <c r="I26" s="7" t="s">
        <v>613</v>
      </c>
    </row>
    <row r="27" customFormat="false" ht="17.15" hidden="false" customHeight="false" outlineLevel="0" collapsed="false">
      <c r="A27" s="7" t="s">
        <v>118</v>
      </c>
      <c r="B27" s="4" t="s">
        <v>119</v>
      </c>
      <c r="C27" s="17" t="n">
        <v>43524</v>
      </c>
      <c r="D27" s="18" t="n">
        <v>25500</v>
      </c>
      <c r="E27" s="17" t="n">
        <v>43529</v>
      </c>
      <c r="F27" s="18" t="n">
        <v>27700</v>
      </c>
      <c r="G27" s="12" t="n">
        <v>0.0824752647058822</v>
      </c>
      <c r="H27" s="4" t="n">
        <v>2</v>
      </c>
      <c r="I27" s="7" t="s">
        <v>613</v>
      </c>
    </row>
    <row r="28" customFormat="false" ht="17.15" hidden="false" customHeight="false" outlineLevel="0" collapsed="false">
      <c r="A28" s="7" t="s">
        <v>147</v>
      </c>
      <c r="B28" s="4" t="s">
        <v>148</v>
      </c>
      <c r="C28" s="17" t="n">
        <v>43524</v>
      </c>
      <c r="D28" s="18" t="n">
        <v>4723</v>
      </c>
      <c r="E28" s="17" t="n">
        <v>43529</v>
      </c>
      <c r="F28" s="18" t="n">
        <v>4645</v>
      </c>
      <c r="G28" s="12" t="n">
        <v>-0.0199546659961889</v>
      </c>
      <c r="H28" s="4" t="n">
        <v>2</v>
      </c>
      <c r="I28" s="7" t="s">
        <v>613</v>
      </c>
    </row>
    <row r="29" customFormat="false" ht="17.15" hidden="false" customHeight="false" outlineLevel="0" collapsed="false">
      <c r="A29" s="7" t="s">
        <v>91</v>
      </c>
      <c r="B29" s="4" t="s">
        <v>92</v>
      </c>
      <c r="C29" s="17" t="n">
        <v>43524</v>
      </c>
      <c r="D29" s="18" t="n">
        <v>12950</v>
      </c>
      <c r="E29" s="17" t="n">
        <v>43549</v>
      </c>
      <c r="F29" s="18" t="n">
        <v>11300</v>
      </c>
      <c r="G29" s="12" t="n">
        <v>-0.130465</v>
      </c>
      <c r="H29" s="4" t="n">
        <v>16</v>
      </c>
      <c r="I29" s="7" t="s">
        <v>613</v>
      </c>
    </row>
    <row r="30" customFormat="false" ht="17.15" hidden="false" customHeight="false" outlineLevel="0" collapsed="false">
      <c r="A30" s="7" t="s">
        <v>159</v>
      </c>
      <c r="B30" s="4" t="s">
        <v>160</v>
      </c>
      <c r="C30" s="17" t="n">
        <v>43524</v>
      </c>
      <c r="D30" s="18" t="n">
        <v>7030</v>
      </c>
      <c r="E30" s="17" t="n">
        <v>43552</v>
      </c>
      <c r="F30" s="18" t="n">
        <v>6770</v>
      </c>
      <c r="G30" s="12" t="n">
        <v>-0.0403525000000001</v>
      </c>
      <c r="H30" s="4" t="n">
        <v>19</v>
      </c>
      <c r="I30" s="7" t="s">
        <v>613</v>
      </c>
    </row>
    <row r="31" customFormat="false" ht="17.15" hidden="false" customHeight="false" outlineLevel="0" collapsed="false">
      <c r="A31" s="7" t="s">
        <v>99</v>
      </c>
      <c r="B31" s="4" t="s">
        <v>100</v>
      </c>
      <c r="C31" s="17" t="n">
        <v>43524</v>
      </c>
      <c r="D31" s="18" t="n">
        <v>13081</v>
      </c>
      <c r="E31" s="17" t="n">
        <v>43552</v>
      </c>
      <c r="F31" s="18" t="n">
        <v>11935</v>
      </c>
      <c r="G31" s="12" t="n">
        <v>-0.0907990721275132</v>
      </c>
      <c r="H31" s="4" t="n">
        <v>19</v>
      </c>
      <c r="I31" s="7" t="s">
        <v>613</v>
      </c>
    </row>
    <row r="32" customFormat="false" ht="17.15" hidden="false" customHeight="false" outlineLevel="0" collapsed="false">
      <c r="A32" s="7" t="s">
        <v>159</v>
      </c>
      <c r="B32" s="4" t="s">
        <v>160</v>
      </c>
      <c r="C32" s="17" t="n">
        <v>43553</v>
      </c>
      <c r="D32" s="18" t="n">
        <v>6390</v>
      </c>
      <c r="E32" s="17" t="n">
        <v>43557</v>
      </c>
      <c r="F32" s="18" t="n">
        <v>6870</v>
      </c>
      <c r="G32" s="12" t="n">
        <v>0.0713571478873241</v>
      </c>
      <c r="H32" s="4" t="n">
        <v>2</v>
      </c>
      <c r="I32" s="7" t="s">
        <v>613</v>
      </c>
    </row>
    <row r="33" customFormat="false" ht="17.15" hidden="false" customHeight="false" outlineLevel="0" collapsed="false">
      <c r="A33" s="7" t="s">
        <v>161</v>
      </c>
      <c r="B33" s="4" t="s">
        <v>162</v>
      </c>
      <c r="C33" s="17" t="n">
        <v>43553</v>
      </c>
      <c r="D33" s="18" t="n">
        <v>15350</v>
      </c>
      <c r="E33" s="17" t="n">
        <v>43557</v>
      </c>
      <c r="F33" s="18" t="n">
        <v>16350</v>
      </c>
      <c r="G33" s="12" t="n">
        <v>0.0614212296416938</v>
      </c>
      <c r="H33" s="4" t="n">
        <v>2</v>
      </c>
      <c r="I33" s="7" t="s">
        <v>613</v>
      </c>
    </row>
    <row r="34" customFormat="false" ht="17.15" hidden="false" customHeight="false" outlineLevel="0" collapsed="false">
      <c r="A34" s="7" t="s">
        <v>91</v>
      </c>
      <c r="B34" s="4" t="s">
        <v>92</v>
      </c>
      <c r="C34" s="17" t="n">
        <v>43553</v>
      </c>
      <c r="D34" s="18" t="n">
        <v>11650</v>
      </c>
      <c r="E34" s="17" t="n">
        <v>43557</v>
      </c>
      <c r="F34" s="18" t="n">
        <v>11750</v>
      </c>
      <c r="G34" s="12" t="n">
        <v>0.005056169527897</v>
      </c>
      <c r="H34" s="4" t="n">
        <v>2</v>
      </c>
      <c r="I34" s="7" t="s">
        <v>613</v>
      </c>
    </row>
    <row r="35" customFormat="false" ht="17.15" hidden="false" customHeight="false" outlineLevel="0" collapsed="false">
      <c r="A35" s="7" t="s">
        <v>374</v>
      </c>
      <c r="B35" s="4" t="s">
        <v>375</v>
      </c>
      <c r="C35" s="17" t="n">
        <v>43553</v>
      </c>
      <c r="D35" s="18" t="n">
        <v>35041</v>
      </c>
      <c r="E35" s="17" t="n">
        <v>43566</v>
      </c>
      <c r="F35" s="18" t="n">
        <v>32544</v>
      </c>
      <c r="G35" s="12" t="n">
        <v>-0.074507652178876</v>
      </c>
      <c r="H35" s="4" t="n">
        <v>9</v>
      </c>
      <c r="I35" s="7" t="s">
        <v>613</v>
      </c>
    </row>
    <row r="36" customFormat="false" ht="17.15" hidden="false" customHeight="false" outlineLevel="0" collapsed="false">
      <c r="A36" s="7" t="s">
        <v>183</v>
      </c>
      <c r="B36" s="4" t="s">
        <v>184</v>
      </c>
      <c r="C36" s="17" t="n">
        <v>43524</v>
      </c>
      <c r="D36" s="18" t="n">
        <v>24702</v>
      </c>
      <c r="E36" s="17" t="n">
        <v>43584</v>
      </c>
      <c r="F36" s="18" t="n">
        <v>22782</v>
      </c>
      <c r="G36" s="12" t="n">
        <v>-0.0809521514452272</v>
      </c>
      <c r="H36" s="4" t="n">
        <v>41</v>
      </c>
      <c r="I36" s="7" t="s">
        <v>613</v>
      </c>
    </row>
    <row r="37" customFormat="false" ht="15" hidden="false" customHeight="false" outlineLevel="0" collapsed="false">
      <c r="A37" s="7" t="s">
        <v>185</v>
      </c>
      <c r="B37" s="4" t="s">
        <v>186</v>
      </c>
      <c r="C37" s="17" t="n">
        <v>43524</v>
      </c>
      <c r="D37" s="18" t="n">
        <v>38920</v>
      </c>
      <c r="E37" s="17" t="n">
        <v>43585</v>
      </c>
      <c r="F37" s="18" t="n">
        <v>40055</v>
      </c>
      <c r="G37" s="12" t="n">
        <v>0.0255628889388491</v>
      </c>
      <c r="H37" s="4" t="n">
        <v>42</v>
      </c>
      <c r="I37" s="4" t="s">
        <v>614</v>
      </c>
    </row>
    <row r="38" customFormat="false" ht="15" hidden="false" customHeight="false" outlineLevel="0" collapsed="false">
      <c r="A38" s="7" t="s">
        <v>222</v>
      </c>
      <c r="B38" s="7" t="s">
        <v>223</v>
      </c>
      <c r="C38" s="17" t="n">
        <v>43553</v>
      </c>
      <c r="D38" s="18" t="n">
        <v>54700</v>
      </c>
      <c r="E38" s="17" t="n">
        <v>43585</v>
      </c>
      <c r="F38" s="18" t="n">
        <v>63900</v>
      </c>
      <c r="G38" s="12" t="n">
        <v>0.164104382998172</v>
      </c>
      <c r="H38" s="4" t="n">
        <v>22</v>
      </c>
      <c r="I38" s="4" t="s">
        <v>614</v>
      </c>
    </row>
    <row r="39" customFormat="false" ht="15" hidden="false" customHeight="false" outlineLevel="0" collapsed="false">
      <c r="A39" s="7" t="s">
        <v>196</v>
      </c>
      <c r="B39" s="4" t="s">
        <v>197</v>
      </c>
      <c r="C39" s="17" t="n">
        <v>43553</v>
      </c>
      <c r="D39" s="18" t="n">
        <v>39300</v>
      </c>
      <c r="E39" s="17" t="n">
        <v>43585</v>
      </c>
      <c r="F39" s="18" t="n">
        <v>41250</v>
      </c>
      <c r="G39" s="12" t="n">
        <v>0.0459472805343513</v>
      </c>
      <c r="H39" s="4" t="n">
        <v>22</v>
      </c>
      <c r="I39" s="4" t="s">
        <v>614</v>
      </c>
    </row>
    <row r="40" customFormat="false" ht="17.15" hidden="false" customHeight="false" outlineLevel="0" collapsed="false">
      <c r="A40" s="7" t="s">
        <v>159</v>
      </c>
      <c r="B40" s="4" t="s">
        <v>160</v>
      </c>
      <c r="C40" s="17" t="n">
        <v>43585</v>
      </c>
      <c r="D40" s="18" t="n">
        <v>6530</v>
      </c>
      <c r="E40" s="17" t="n">
        <v>43588</v>
      </c>
      <c r="F40" s="18" t="n">
        <v>6790</v>
      </c>
      <c r="G40" s="12" t="n">
        <v>0.036179475497703</v>
      </c>
      <c r="H40" s="4" t="n">
        <v>2</v>
      </c>
      <c r="I40" s="7" t="s">
        <v>613</v>
      </c>
    </row>
    <row r="41" customFormat="false" ht="17.15" hidden="false" customHeight="false" outlineLevel="0" collapsed="false">
      <c r="A41" s="7" t="s">
        <v>183</v>
      </c>
      <c r="B41" s="4" t="s">
        <v>184</v>
      </c>
      <c r="C41" s="17" t="n">
        <v>43585</v>
      </c>
      <c r="D41" s="18" t="n">
        <v>24248</v>
      </c>
      <c r="E41" s="17" t="n">
        <v>43593</v>
      </c>
      <c r="F41" s="18" t="n">
        <v>22555</v>
      </c>
      <c r="G41" s="12" t="n">
        <v>-0.0730734952367206</v>
      </c>
      <c r="H41" s="4" t="n">
        <v>4</v>
      </c>
      <c r="I41" s="7" t="s">
        <v>613</v>
      </c>
    </row>
    <row r="42" customFormat="false" ht="17.15" hidden="false" customHeight="false" outlineLevel="0" collapsed="false">
      <c r="A42" s="7" t="s">
        <v>187</v>
      </c>
      <c r="B42" s="4" t="s">
        <v>188</v>
      </c>
      <c r="C42" s="17" t="n">
        <v>43585</v>
      </c>
      <c r="D42" s="18" t="n">
        <v>103000</v>
      </c>
      <c r="E42" s="17" t="n">
        <v>43595</v>
      </c>
      <c r="F42" s="18" t="n">
        <v>88900</v>
      </c>
      <c r="G42" s="12" t="n">
        <v>-0.139911919902912</v>
      </c>
      <c r="H42" s="4" t="n">
        <v>6</v>
      </c>
      <c r="I42" s="7" t="s">
        <v>613</v>
      </c>
    </row>
    <row r="43" customFormat="false" ht="17.15" hidden="false" customHeight="false" outlineLevel="0" collapsed="false">
      <c r="A43" s="7" t="s">
        <v>266</v>
      </c>
      <c r="B43" s="4" t="s">
        <v>267</v>
      </c>
      <c r="C43" s="17" t="n">
        <v>43585</v>
      </c>
      <c r="D43" s="18" t="n">
        <v>7756</v>
      </c>
      <c r="E43" s="17" t="n">
        <v>43595</v>
      </c>
      <c r="F43" s="18" t="n">
        <v>6467</v>
      </c>
      <c r="G43" s="12" t="n">
        <v>-0.169110151173285</v>
      </c>
      <c r="H43" s="4" t="n">
        <v>6</v>
      </c>
      <c r="I43" s="7" t="s">
        <v>613</v>
      </c>
    </row>
    <row r="44" customFormat="false" ht="17.15" hidden="false" customHeight="false" outlineLevel="0" collapsed="false">
      <c r="A44" s="7" t="s">
        <v>198</v>
      </c>
      <c r="B44" s="4" t="s">
        <v>199</v>
      </c>
      <c r="C44" s="17" t="n">
        <v>43524</v>
      </c>
      <c r="D44" s="18" t="n">
        <v>8270</v>
      </c>
      <c r="E44" s="17" t="n">
        <v>43616</v>
      </c>
      <c r="F44" s="18" t="n">
        <v>19100</v>
      </c>
      <c r="G44" s="12" t="n">
        <v>1.30147493954051</v>
      </c>
      <c r="H44" s="4" t="n">
        <v>63</v>
      </c>
      <c r="I44" s="4" t="s">
        <v>617</v>
      </c>
    </row>
    <row r="45" customFormat="false" ht="17.15" hidden="false" customHeight="false" outlineLevel="0" collapsed="false">
      <c r="A45" s="7" t="s">
        <v>151</v>
      </c>
      <c r="B45" s="4" t="s">
        <v>152</v>
      </c>
      <c r="C45" s="17" t="n">
        <v>43553</v>
      </c>
      <c r="D45" s="18" t="n">
        <v>78000</v>
      </c>
      <c r="E45" s="17" t="n">
        <v>43616</v>
      </c>
      <c r="F45" s="18" t="n">
        <v>78000</v>
      </c>
      <c r="G45" s="12" t="n">
        <v>-0.00349750000000004</v>
      </c>
      <c r="H45" s="4" t="n">
        <v>43</v>
      </c>
      <c r="I45" s="4" t="s">
        <v>617</v>
      </c>
    </row>
    <row r="46" customFormat="false" ht="17.15" hidden="false" customHeight="false" outlineLevel="0" collapsed="false">
      <c r="A46" s="7" t="s">
        <v>202</v>
      </c>
      <c r="B46" s="4" t="s">
        <v>203</v>
      </c>
      <c r="C46" s="17" t="n">
        <v>43585</v>
      </c>
      <c r="D46" s="18" t="n">
        <v>9270</v>
      </c>
      <c r="E46" s="17" t="n">
        <v>43616</v>
      </c>
      <c r="F46" s="18" t="n">
        <v>12100</v>
      </c>
      <c r="G46" s="12" t="n">
        <v>0.300720631067961</v>
      </c>
      <c r="H46" s="4" t="n">
        <v>21</v>
      </c>
      <c r="I46" s="4" t="s">
        <v>617</v>
      </c>
    </row>
    <row r="47" customFormat="false" ht="17.15" hidden="false" customHeight="false" outlineLevel="0" collapsed="false">
      <c r="A47" s="7" t="s">
        <v>204</v>
      </c>
      <c r="B47" s="4" t="s">
        <v>205</v>
      </c>
      <c r="C47" s="17" t="n">
        <v>43585</v>
      </c>
      <c r="D47" s="18" t="n">
        <v>21475</v>
      </c>
      <c r="E47" s="17" t="n">
        <v>43616</v>
      </c>
      <c r="F47" s="18" t="n">
        <v>38400</v>
      </c>
      <c r="G47" s="12" t="n">
        <v>0.781871757857975</v>
      </c>
      <c r="H47" s="4" t="n">
        <v>21</v>
      </c>
      <c r="I47" s="4" t="s">
        <v>617</v>
      </c>
    </row>
    <row r="48" customFormat="false" ht="17.15" hidden="false" customHeight="false" outlineLevel="0" collapsed="false">
      <c r="A48" s="7" t="s">
        <v>194</v>
      </c>
      <c r="B48" s="4" t="s">
        <v>195</v>
      </c>
      <c r="C48" s="17" t="n">
        <v>43585</v>
      </c>
      <c r="D48" s="18" t="n">
        <v>7821</v>
      </c>
      <c r="E48" s="17" t="n">
        <v>43616</v>
      </c>
      <c r="F48" s="18" t="n">
        <v>8222</v>
      </c>
      <c r="G48" s="12" t="n">
        <v>0.0475953912543154</v>
      </c>
      <c r="H48" s="4" t="n">
        <v>21</v>
      </c>
      <c r="I48" s="4" t="s">
        <v>617</v>
      </c>
    </row>
    <row r="49" customFormat="false" ht="17.15" hidden="false" customHeight="false" outlineLevel="0" collapsed="false">
      <c r="A49" s="7" t="s">
        <v>204</v>
      </c>
      <c r="B49" s="4" t="s">
        <v>205</v>
      </c>
      <c r="C49" s="17" t="n">
        <v>43769</v>
      </c>
      <c r="D49" s="18" t="n">
        <v>53600</v>
      </c>
      <c r="E49" s="17" t="n">
        <v>43773</v>
      </c>
      <c r="F49" s="18" t="n">
        <v>57700</v>
      </c>
      <c r="G49" s="12" t="n">
        <v>0.0727275046641793</v>
      </c>
      <c r="H49" s="4" t="n">
        <v>2</v>
      </c>
      <c r="I49" s="7" t="s">
        <v>613</v>
      </c>
    </row>
    <row r="50" customFormat="false" ht="17.15" hidden="false" customHeight="false" outlineLevel="0" collapsed="false">
      <c r="A50" s="7" t="s">
        <v>206</v>
      </c>
      <c r="B50" s="4" t="s">
        <v>207</v>
      </c>
      <c r="C50" s="17" t="n">
        <v>43769</v>
      </c>
      <c r="D50" s="18" t="n">
        <v>9680</v>
      </c>
      <c r="E50" s="17" t="n">
        <v>43775</v>
      </c>
      <c r="F50" s="18" t="n">
        <v>9240</v>
      </c>
      <c r="G50" s="12" t="n">
        <v>-0.0487930681818182</v>
      </c>
      <c r="H50" s="4" t="n">
        <v>4</v>
      </c>
      <c r="I50" s="7" t="s">
        <v>613</v>
      </c>
    </row>
    <row r="51" customFormat="false" ht="17.15" hidden="false" customHeight="false" outlineLevel="0" collapsed="false">
      <c r="A51" s="7" t="s">
        <v>125</v>
      </c>
      <c r="B51" s="4" t="s">
        <v>126</v>
      </c>
      <c r="C51" s="17" t="n">
        <v>43769</v>
      </c>
      <c r="D51" s="18" t="n">
        <v>36167</v>
      </c>
      <c r="E51" s="17" t="n">
        <v>43777</v>
      </c>
      <c r="F51" s="18" t="n">
        <v>35399</v>
      </c>
      <c r="G51" s="12" t="n">
        <v>-0.0246580585201979</v>
      </c>
      <c r="H51" s="4" t="n">
        <v>6</v>
      </c>
      <c r="I51" s="7" t="s">
        <v>613</v>
      </c>
    </row>
    <row r="52" customFormat="false" ht="17.15" hidden="false" customHeight="false" outlineLevel="0" collapsed="false">
      <c r="A52" s="7" t="s">
        <v>73</v>
      </c>
      <c r="B52" s="4" t="s">
        <v>74</v>
      </c>
      <c r="C52" s="17" t="n">
        <v>43769</v>
      </c>
      <c r="D52" s="18" t="n">
        <v>16700</v>
      </c>
      <c r="E52" s="17" t="n">
        <v>43777</v>
      </c>
      <c r="F52" s="18" t="n">
        <v>15900</v>
      </c>
      <c r="G52" s="12" t="n">
        <v>-0.0512341467065868</v>
      </c>
      <c r="H52" s="4" t="n">
        <v>6</v>
      </c>
      <c r="I52" s="7" t="s">
        <v>613</v>
      </c>
    </row>
    <row r="53" customFormat="false" ht="17.15" hidden="false" customHeight="false" outlineLevel="0" collapsed="false">
      <c r="A53" s="7" t="s">
        <v>244</v>
      </c>
      <c r="B53" s="4" t="s">
        <v>245</v>
      </c>
      <c r="C53" s="17" t="n">
        <v>43769</v>
      </c>
      <c r="D53" s="18" t="n">
        <v>32716</v>
      </c>
      <c r="E53" s="17" t="n">
        <v>43777</v>
      </c>
      <c r="F53" s="18" t="n">
        <v>29939</v>
      </c>
      <c r="G53" s="12" t="n">
        <v>-0.0880826400690793</v>
      </c>
      <c r="H53" s="4" t="n">
        <v>6</v>
      </c>
      <c r="I53" s="7" t="s">
        <v>613</v>
      </c>
    </row>
    <row r="54" customFormat="false" ht="17.15" hidden="false" customHeight="false" outlineLevel="0" collapsed="false">
      <c r="A54" s="7" t="s">
        <v>185</v>
      </c>
      <c r="B54" s="4" t="s">
        <v>186</v>
      </c>
      <c r="C54" s="17" t="n">
        <v>43769</v>
      </c>
      <c r="D54" s="18" t="n">
        <v>64255</v>
      </c>
      <c r="E54" s="17" t="n">
        <v>43790</v>
      </c>
      <c r="F54" s="18" t="n">
        <v>52405</v>
      </c>
      <c r="G54" s="12" t="n">
        <v>-0.187273931795191</v>
      </c>
      <c r="H54" s="4" t="n">
        <v>15</v>
      </c>
      <c r="I54" s="7" t="s">
        <v>613</v>
      </c>
    </row>
    <row r="55" customFormat="false" ht="17.15" hidden="false" customHeight="false" outlineLevel="0" collapsed="false">
      <c r="A55" s="7" t="s">
        <v>210</v>
      </c>
      <c r="B55" s="7" t="s">
        <v>211</v>
      </c>
      <c r="C55" s="17" t="n">
        <v>43769</v>
      </c>
      <c r="D55" s="18" t="n">
        <v>12185</v>
      </c>
      <c r="E55" s="17" t="n">
        <v>43791</v>
      </c>
      <c r="F55" s="18" t="n">
        <v>11985</v>
      </c>
      <c r="G55" s="12" t="n">
        <v>-0.0198537166598276</v>
      </c>
      <c r="H55" s="4" t="n">
        <v>16</v>
      </c>
      <c r="I55" s="7" t="s">
        <v>613</v>
      </c>
    </row>
    <row r="56" customFormat="false" ht="15" hidden="false" customHeight="false" outlineLevel="0" collapsed="false">
      <c r="A56" s="7" t="s">
        <v>202</v>
      </c>
      <c r="B56" s="4" t="s">
        <v>203</v>
      </c>
      <c r="C56" s="17" t="n">
        <v>43769</v>
      </c>
      <c r="D56" s="18" t="n">
        <v>14750</v>
      </c>
      <c r="E56" s="17" t="n">
        <v>43798</v>
      </c>
      <c r="F56" s="18" t="n">
        <v>15400</v>
      </c>
      <c r="G56" s="12" t="n">
        <v>0.0404161694915255</v>
      </c>
      <c r="H56" s="4" t="n">
        <v>21</v>
      </c>
      <c r="I56" s="4" t="s">
        <v>614</v>
      </c>
    </row>
    <row r="57" customFormat="false" ht="17.15" hidden="false" customHeight="false" outlineLevel="0" collapsed="false">
      <c r="A57" s="7" t="s">
        <v>210</v>
      </c>
      <c r="B57" s="7" t="s">
        <v>211</v>
      </c>
      <c r="C57" s="17" t="n">
        <v>43798</v>
      </c>
      <c r="D57" s="18" t="n">
        <v>11125</v>
      </c>
      <c r="E57" s="17" t="n">
        <v>43802</v>
      </c>
      <c r="F57" s="18" t="n">
        <v>10923</v>
      </c>
      <c r="G57" s="12" t="n">
        <v>-0.021591298202247</v>
      </c>
      <c r="H57" s="4" t="n">
        <v>2</v>
      </c>
      <c r="I57" s="7" t="s">
        <v>613</v>
      </c>
    </row>
    <row r="58" customFormat="false" ht="17.15" hidden="false" customHeight="false" outlineLevel="0" collapsed="false">
      <c r="A58" s="7" t="s">
        <v>125</v>
      </c>
      <c r="B58" s="4" t="s">
        <v>126</v>
      </c>
      <c r="C58" s="17" t="n">
        <v>43798</v>
      </c>
      <c r="D58" s="18" t="n">
        <v>33769</v>
      </c>
      <c r="E58" s="17" t="n">
        <v>43802</v>
      </c>
      <c r="F58" s="18" t="n">
        <v>33432</v>
      </c>
      <c r="G58" s="12" t="n">
        <v>-0.0134421635227575</v>
      </c>
      <c r="H58" s="4" t="n">
        <v>2</v>
      </c>
      <c r="I58" s="7" t="s">
        <v>613</v>
      </c>
    </row>
    <row r="59" customFormat="false" ht="17.15" hidden="false" customHeight="false" outlineLevel="0" collapsed="false">
      <c r="A59" s="7" t="s">
        <v>171</v>
      </c>
      <c r="B59" s="4" t="s">
        <v>172</v>
      </c>
      <c r="C59" s="17" t="n">
        <v>43798</v>
      </c>
      <c r="D59" s="18" t="n">
        <v>90000</v>
      </c>
      <c r="E59" s="17" t="n">
        <v>43802</v>
      </c>
      <c r="F59" s="18" t="n">
        <v>84800</v>
      </c>
      <c r="G59" s="12" t="n">
        <v>-0.0610731999999997</v>
      </c>
      <c r="H59" s="4" t="n">
        <v>2</v>
      </c>
      <c r="I59" s="7" t="s">
        <v>613</v>
      </c>
    </row>
    <row r="60" customFormat="false" ht="17.15" hidden="false" customHeight="false" outlineLevel="0" collapsed="false">
      <c r="A60" s="7" t="s">
        <v>220</v>
      </c>
      <c r="B60" s="4" t="s">
        <v>221</v>
      </c>
      <c r="C60" s="17" t="n">
        <v>43798</v>
      </c>
      <c r="D60" s="18" t="n">
        <v>21150</v>
      </c>
      <c r="E60" s="17" t="n">
        <v>43802</v>
      </c>
      <c r="F60" s="18" t="n">
        <v>21150</v>
      </c>
      <c r="G60" s="12" t="n">
        <v>-0.00349749999999982</v>
      </c>
      <c r="H60" s="4" t="n">
        <v>2</v>
      </c>
      <c r="I60" s="7" t="s">
        <v>613</v>
      </c>
    </row>
    <row r="61" customFormat="false" ht="17.15" hidden="false" customHeight="false" outlineLevel="0" collapsed="false">
      <c r="A61" s="7" t="s">
        <v>206</v>
      </c>
      <c r="B61" s="4" t="s">
        <v>207</v>
      </c>
      <c r="C61" s="17" t="n">
        <v>43798</v>
      </c>
      <c r="D61" s="18" t="n">
        <v>8990</v>
      </c>
      <c r="E61" s="17" t="n">
        <v>43802</v>
      </c>
      <c r="F61" s="18" t="n">
        <v>8760</v>
      </c>
      <c r="G61" s="12" t="n">
        <v>-0.0289920022246941</v>
      </c>
      <c r="H61" s="4" t="n">
        <v>2</v>
      </c>
      <c r="I61" s="7" t="s">
        <v>613</v>
      </c>
    </row>
    <row r="62" customFormat="false" ht="17.15" hidden="false" customHeight="false" outlineLevel="0" collapsed="false">
      <c r="A62" s="7" t="s">
        <v>234</v>
      </c>
      <c r="B62" s="7" t="s">
        <v>235</v>
      </c>
      <c r="C62" s="17" t="n">
        <v>43769</v>
      </c>
      <c r="D62" s="18" t="n">
        <v>66870</v>
      </c>
      <c r="E62" s="17" t="n">
        <v>43803</v>
      </c>
      <c r="F62" s="18" t="n">
        <v>40994</v>
      </c>
      <c r="G62" s="12" t="n">
        <v>-0.389103880888291</v>
      </c>
      <c r="H62" s="4" t="n">
        <v>24</v>
      </c>
      <c r="I62" s="7" t="s">
        <v>613</v>
      </c>
    </row>
    <row r="63" customFormat="false" ht="15" hidden="false" customHeight="false" outlineLevel="0" collapsed="false">
      <c r="A63" s="7" t="s">
        <v>248</v>
      </c>
      <c r="B63" s="7" t="s">
        <v>249</v>
      </c>
      <c r="C63" s="17" t="n">
        <v>43798</v>
      </c>
      <c r="D63" s="18" t="n">
        <v>44600</v>
      </c>
      <c r="E63" s="17" t="n">
        <v>43829</v>
      </c>
      <c r="F63" s="18" t="n">
        <v>47936</v>
      </c>
      <c r="G63" s="12" t="n">
        <v>0.0710390995515697</v>
      </c>
      <c r="H63" s="4" t="n">
        <v>20</v>
      </c>
      <c r="I63" s="4" t="s">
        <v>614</v>
      </c>
    </row>
    <row r="64" customFormat="false" ht="15" hidden="false" customHeight="false" outlineLevel="0" collapsed="false">
      <c r="A64" s="7" t="s">
        <v>236</v>
      </c>
      <c r="B64" s="4" t="s">
        <v>237</v>
      </c>
      <c r="C64" s="17" t="n">
        <v>43798</v>
      </c>
      <c r="D64" s="18" t="n">
        <v>10400</v>
      </c>
      <c r="E64" s="17" t="n">
        <v>43829</v>
      </c>
      <c r="F64" s="18" t="n">
        <v>10450</v>
      </c>
      <c r="G64" s="12" t="n">
        <v>0.00129337740384616</v>
      </c>
      <c r="H64" s="4" t="n">
        <v>20</v>
      </c>
      <c r="I64" s="4" t="s">
        <v>614</v>
      </c>
    </row>
    <row r="65" customFormat="false" ht="17.15" hidden="false" customHeight="false" outlineLevel="0" collapsed="false">
      <c r="A65" s="7" t="s">
        <v>234</v>
      </c>
      <c r="B65" s="7" t="s">
        <v>235</v>
      </c>
      <c r="C65" s="17" t="n">
        <v>43829</v>
      </c>
      <c r="D65" s="18" t="n">
        <v>45734</v>
      </c>
      <c r="E65" s="17" t="n">
        <v>43833</v>
      </c>
      <c r="F65" s="18" t="n">
        <v>45772</v>
      </c>
      <c r="G65" s="12" t="n">
        <v>-0.00266951436567975</v>
      </c>
      <c r="H65" s="4" t="n">
        <v>2</v>
      </c>
      <c r="I65" s="7" t="s">
        <v>613</v>
      </c>
    </row>
    <row r="66" customFormat="false" ht="17.15" hidden="false" customHeight="false" outlineLevel="0" collapsed="false">
      <c r="A66" s="7" t="s">
        <v>185</v>
      </c>
      <c r="B66" s="4" t="s">
        <v>186</v>
      </c>
      <c r="C66" s="17" t="n">
        <v>43829</v>
      </c>
      <c r="D66" s="18" t="n">
        <v>63855</v>
      </c>
      <c r="E66" s="17" t="n">
        <v>43839</v>
      </c>
      <c r="F66" s="18" t="n">
        <v>60483</v>
      </c>
      <c r="G66" s="12" t="n">
        <v>-0.0561199482029597</v>
      </c>
      <c r="H66" s="4" t="n">
        <v>6</v>
      </c>
      <c r="I66" s="7" t="s">
        <v>613</v>
      </c>
    </row>
    <row r="67" customFormat="false" ht="15" hidden="false" customHeight="false" outlineLevel="0" collapsed="false">
      <c r="A67" s="7" t="s">
        <v>246</v>
      </c>
      <c r="B67" s="7" t="s">
        <v>247</v>
      </c>
      <c r="C67" s="17" t="n">
        <v>43798</v>
      </c>
      <c r="D67" s="18" t="n">
        <v>172000</v>
      </c>
      <c r="E67" s="17" t="n">
        <v>43861</v>
      </c>
      <c r="F67" s="18" t="n">
        <v>179500</v>
      </c>
      <c r="G67" s="12" t="n">
        <v>0.0399546438953491</v>
      </c>
      <c r="H67" s="4" t="n">
        <v>40</v>
      </c>
      <c r="I67" s="4" t="s">
        <v>614</v>
      </c>
    </row>
    <row r="68" customFormat="false" ht="15" hidden="false" customHeight="false" outlineLevel="0" collapsed="false">
      <c r="A68" s="7" t="s">
        <v>171</v>
      </c>
      <c r="B68" s="4" t="s">
        <v>172</v>
      </c>
      <c r="C68" s="17" t="n">
        <v>43829</v>
      </c>
      <c r="D68" s="18" t="n">
        <v>103300</v>
      </c>
      <c r="E68" s="17" t="n">
        <v>43861</v>
      </c>
      <c r="F68" s="18" t="n">
        <v>105000</v>
      </c>
      <c r="G68" s="12" t="n">
        <v>0.0129018635043563</v>
      </c>
      <c r="H68" s="4" t="n">
        <v>20</v>
      </c>
      <c r="I68" s="4" t="s">
        <v>614</v>
      </c>
    </row>
    <row r="69" customFormat="false" ht="15" hidden="false" customHeight="false" outlineLevel="0" collapsed="false">
      <c r="A69" s="7" t="s">
        <v>220</v>
      </c>
      <c r="B69" s="4" t="s">
        <v>221</v>
      </c>
      <c r="C69" s="17" t="n">
        <v>43829</v>
      </c>
      <c r="D69" s="18" t="n">
        <v>26300</v>
      </c>
      <c r="E69" s="17" t="n">
        <v>43861</v>
      </c>
      <c r="F69" s="18" t="n">
        <v>28400</v>
      </c>
      <c r="G69" s="12" t="n">
        <v>0.0760711406844106</v>
      </c>
      <c r="H69" s="4" t="n">
        <v>20</v>
      </c>
      <c r="I69" s="4" t="s">
        <v>614</v>
      </c>
    </row>
    <row r="70" customFormat="false" ht="15" hidden="false" customHeight="false" outlineLevel="0" collapsed="false">
      <c r="A70" s="7" t="s">
        <v>240</v>
      </c>
      <c r="B70" s="4" t="s">
        <v>241</v>
      </c>
      <c r="C70" s="17" t="n">
        <v>43829</v>
      </c>
      <c r="D70" s="18" t="n">
        <v>25000</v>
      </c>
      <c r="E70" s="17" t="n">
        <v>43861</v>
      </c>
      <c r="F70" s="18" t="n">
        <v>23850</v>
      </c>
      <c r="G70" s="12" t="n">
        <v>-0.049336615</v>
      </c>
      <c r="H70" s="4" t="n">
        <v>20</v>
      </c>
      <c r="I70" s="4" t="s">
        <v>614</v>
      </c>
    </row>
    <row r="71" customFormat="false" ht="15" hidden="false" customHeight="false" outlineLevel="0" collapsed="false">
      <c r="A71" s="7" t="s">
        <v>238</v>
      </c>
      <c r="B71" s="4" t="s">
        <v>239</v>
      </c>
      <c r="C71" s="17" t="n">
        <v>43829</v>
      </c>
      <c r="D71" s="18" t="n">
        <v>29800</v>
      </c>
      <c r="E71" s="17" t="n">
        <v>43861</v>
      </c>
      <c r="F71" s="18" t="n">
        <v>27600</v>
      </c>
      <c r="G71" s="12" t="n">
        <v>-0.0770647986577181</v>
      </c>
      <c r="H71" s="4" t="n">
        <v>20</v>
      </c>
      <c r="I71" s="4" t="s">
        <v>614</v>
      </c>
    </row>
    <row r="72" customFormat="false" ht="17.15" hidden="false" customHeight="false" outlineLevel="0" collapsed="false">
      <c r="A72" s="7" t="s">
        <v>234</v>
      </c>
      <c r="B72" s="7" t="s">
        <v>235</v>
      </c>
      <c r="C72" s="17" t="n">
        <v>43861</v>
      </c>
      <c r="D72" s="18" t="n">
        <v>36898</v>
      </c>
      <c r="E72" s="17" t="n">
        <v>43865</v>
      </c>
      <c r="F72" s="18" t="n">
        <v>38489</v>
      </c>
      <c r="G72" s="12" t="n">
        <v>0.0394705599897016</v>
      </c>
      <c r="H72" s="4" t="n">
        <v>2</v>
      </c>
      <c r="I72" s="7" t="s">
        <v>613</v>
      </c>
    </row>
    <row r="73" customFormat="false" ht="17.15" hidden="false" customHeight="false" outlineLevel="0" collapsed="false">
      <c r="A73" s="7" t="s">
        <v>232</v>
      </c>
      <c r="B73" s="4" t="s">
        <v>233</v>
      </c>
      <c r="C73" s="17" t="n">
        <v>43769</v>
      </c>
      <c r="D73" s="18" t="n">
        <v>26050</v>
      </c>
      <c r="E73" s="17" t="n">
        <v>43879</v>
      </c>
      <c r="F73" s="18" t="n">
        <v>30550</v>
      </c>
      <c r="G73" s="12" t="n">
        <v>0.168643047024952</v>
      </c>
      <c r="H73" s="4" t="n">
        <v>73</v>
      </c>
      <c r="I73" s="7" t="s">
        <v>613</v>
      </c>
    </row>
    <row r="74" customFormat="false" ht="17.15" hidden="false" customHeight="false" outlineLevel="0" collapsed="false">
      <c r="A74" s="7" t="s">
        <v>539</v>
      </c>
      <c r="B74" s="4" t="s">
        <v>540</v>
      </c>
      <c r="C74" s="17" t="n">
        <v>43861</v>
      </c>
      <c r="D74" s="18" t="n">
        <v>14800</v>
      </c>
      <c r="E74" s="17" t="n">
        <v>43886</v>
      </c>
      <c r="F74" s="18" t="n">
        <v>12850</v>
      </c>
      <c r="G74" s="12" t="n">
        <v>-0.1347934375</v>
      </c>
      <c r="H74" s="4" t="n">
        <v>17</v>
      </c>
      <c r="I74" s="7" t="s">
        <v>613</v>
      </c>
    </row>
    <row r="75" customFormat="false" ht="17.15" hidden="false" customHeight="false" outlineLevel="0" collapsed="false">
      <c r="A75" s="7" t="s">
        <v>433</v>
      </c>
      <c r="B75" s="4" t="s">
        <v>434</v>
      </c>
      <c r="C75" s="17" t="n">
        <v>43861</v>
      </c>
      <c r="D75" s="18" t="n">
        <v>4440</v>
      </c>
      <c r="E75" s="17" t="n">
        <v>43889</v>
      </c>
      <c r="F75" s="18" t="n">
        <v>3630</v>
      </c>
      <c r="G75" s="12" t="n">
        <v>-0.185291875</v>
      </c>
      <c r="H75" s="4" t="n">
        <v>20</v>
      </c>
      <c r="I75" s="7" t="s">
        <v>613</v>
      </c>
    </row>
    <row r="76" customFormat="false" ht="15" hidden="false" customHeight="false" outlineLevel="0" collapsed="false">
      <c r="A76" s="7" t="s">
        <v>252</v>
      </c>
      <c r="B76" s="4" t="s">
        <v>253</v>
      </c>
      <c r="C76" s="17" t="n">
        <v>43861</v>
      </c>
      <c r="D76" s="18" t="n">
        <v>8607</v>
      </c>
      <c r="E76" s="17" t="n">
        <v>43889</v>
      </c>
      <c r="F76" s="18" t="n">
        <v>7316</v>
      </c>
      <c r="G76" s="12" t="n">
        <v>-0.152967086092715</v>
      </c>
      <c r="H76" s="4" t="n">
        <v>20</v>
      </c>
      <c r="I76" s="4" t="s">
        <v>614</v>
      </c>
    </row>
    <row r="77" customFormat="false" ht="17.15" hidden="false" customHeight="false" outlineLevel="0" collapsed="false">
      <c r="A77" s="7" t="s">
        <v>232</v>
      </c>
      <c r="B77" s="4" t="s">
        <v>233</v>
      </c>
      <c r="C77" s="17" t="n">
        <v>43889</v>
      </c>
      <c r="D77" s="18" t="n">
        <v>27500</v>
      </c>
      <c r="E77" s="17" t="n">
        <v>43893</v>
      </c>
      <c r="F77" s="18" t="n">
        <v>30250</v>
      </c>
      <c r="G77" s="12" t="n">
        <v>0.0961527500000001</v>
      </c>
      <c r="H77" s="4" t="n">
        <v>2</v>
      </c>
      <c r="I77" s="7" t="s">
        <v>613</v>
      </c>
    </row>
    <row r="78" customFormat="false" ht="17.15" hidden="false" customHeight="false" outlineLevel="0" collapsed="false">
      <c r="A78" s="7" t="s">
        <v>234</v>
      </c>
      <c r="B78" s="7" t="s">
        <v>235</v>
      </c>
      <c r="C78" s="17" t="n">
        <v>43889</v>
      </c>
      <c r="D78" s="18" t="n">
        <v>38410</v>
      </c>
      <c r="E78" s="17" t="n">
        <v>43893</v>
      </c>
      <c r="F78" s="18" t="n">
        <v>39561</v>
      </c>
      <c r="G78" s="12" t="n">
        <v>0.0263638480213486</v>
      </c>
      <c r="H78" s="4" t="n">
        <v>2</v>
      </c>
      <c r="I78" s="7" t="s">
        <v>613</v>
      </c>
    </row>
    <row r="79" customFormat="false" ht="17.15" hidden="false" customHeight="false" outlineLevel="0" collapsed="false">
      <c r="A79" s="7" t="s">
        <v>206</v>
      </c>
      <c r="B79" s="4" t="s">
        <v>207</v>
      </c>
      <c r="C79" s="17" t="n">
        <v>43829</v>
      </c>
      <c r="D79" s="18" t="n">
        <v>12200</v>
      </c>
      <c r="E79" s="17" t="n">
        <v>43902</v>
      </c>
      <c r="F79" s="18" t="n">
        <v>15600</v>
      </c>
      <c r="G79" s="12" t="n">
        <v>0.27421631147541</v>
      </c>
      <c r="H79" s="4" t="n">
        <v>49</v>
      </c>
      <c r="I79" s="7" t="s">
        <v>613</v>
      </c>
    </row>
    <row r="80" customFormat="false" ht="17.15" hidden="false" customHeight="false" outlineLevel="0" collapsed="false">
      <c r="A80" s="7" t="s">
        <v>88</v>
      </c>
      <c r="B80" s="4" t="s">
        <v>89</v>
      </c>
      <c r="C80" s="17" t="n">
        <v>43829</v>
      </c>
      <c r="D80" s="18" t="n">
        <v>14315</v>
      </c>
      <c r="E80" s="17" t="n">
        <v>43906</v>
      </c>
      <c r="F80" s="18" t="n">
        <v>15407</v>
      </c>
      <c r="G80" s="12" t="n">
        <v>0.0725193166259168</v>
      </c>
      <c r="H80" s="4" t="n">
        <v>51</v>
      </c>
      <c r="I80" s="7" t="s">
        <v>613</v>
      </c>
    </row>
    <row r="81" customFormat="false" ht="17.15" hidden="false" customHeight="false" outlineLevel="0" collapsed="false">
      <c r="A81" s="7" t="s">
        <v>260</v>
      </c>
      <c r="B81" s="7" t="s">
        <v>261</v>
      </c>
      <c r="C81" s="17" t="n">
        <v>43861</v>
      </c>
      <c r="D81" s="18" t="n">
        <v>5630</v>
      </c>
      <c r="E81" s="17" t="n">
        <v>43906</v>
      </c>
      <c r="F81" s="18" t="n">
        <v>4870</v>
      </c>
      <c r="G81" s="12" t="n">
        <v>-0.138016487566608</v>
      </c>
      <c r="H81" s="4" t="n">
        <v>31</v>
      </c>
      <c r="I81" s="7" t="s">
        <v>613</v>
      </c>
    </row>
    <row r="82" customFormat="false" ht="17.15" hidden="false" customHeight="false" outlineLevel="0" collapsed="false">
      <c r="A82" s="7" t="s">
        <v>615</v>
      </c>
      <c r="B82" s="4" t="s">
        <v>616</v>
      </c>
      <c r="C82" s="17" t="n">
        <v>43861</v>
      </c>
      <c r="D82" s="18" t="n">
        <v>699288</v>
      </c>
      <c r="E82" s="17" t="n">
        <v>43906</v>
      </c>
      <c r="F82" s="18" t="n">
        <v>668258</v>
      </c>
      <c r="G82" s="12" t="n">
        <v>-0.0477160087903696</v>
      </c>
      <c r="H82" s="4" t="n">
        <v>31</v>
      </c>
      <c r="I82" s="7" t="s">
        <v>613</v>
      </c>
    </row>
    <row r="83" customFormat="false" ht="17.15" hidden="false" customHeight="false" outlineLevel="0" collapsed="false">
      <c r="A83" s="7" t="s">
        <v>238</v>
      </c>
      <c r="B83" s="4" t="s">
        <v>239</v>
      </c>
      <c r="C83" s="17" t="n">
        <v>43889</v>
      </c>
      <c r="D83" s="18" t="n">
        <v>28900</v>
      </c>
      <c r="E83" s="17" t="n">
        <v>43906</v>
      </c>
      <c r="F83" s="18" t="n">
        <v>27000</v>
      </c>
      <c r="G83" s="12" t="n">
        <v>-0.0690115051903114</v>
      </c>
      <c r="H83" s="4" t="n">
        <v>11</v>
      </c>
      <c r="I83" s="7" t="s">
        <v>613</v>
      </c>
    </row>
    <row r="84" customFormat="false" ht="17.15" hidden="false" customHeight="false" outlineLevel="0" collapsed="false">
      <c r="A84" s="7" t="s">
        <v>282</v>
      </c>
      <c r="B84" s="4" t="s">
        <v>283</v>
      </c>
      <c r="C84" s="17" t="n">
        <v>43861</v>
      </c>
      <c r="D84" s="18" t="n">
        <v>12736</v>
      </c>
      <c r="E84" s="17" t="n">
        <v>43907</v>
      </c>
      <c r="F84" s="18" t="n">
        <v>10734</v>
      </c>
      <c r="G84" s="12" t="n">
        <v>-0.160139931297111</v>
      </c>
      <c r="H84" s="4" t="n">
        <v>32</v>
      </c>
      <c r="I84" s="7" t="s">
        <v>613</v>
      </c>
    </row>
    <row r="85" customFormat="false" ht="17.15" hidden="false" customHeight="false" outlineLevel="0" collapsed="false">
      <c r="A85" s="7" t="s">
        <v>118</v>
      </c>
      <c r="B85" s="4" t="s">
        <v>119</v>
      </c>
      <c r="C85" s="17" t="n">
        <v>43889</v>
      </c>
      <c r="D85" s="18" t="n">
        <v>67200</v>
      </c>
      <c r="E85" s="17" t="n">
        <v>43909</v>
      </c>
      <c r="F85" s="18" t="n">
        <v>42700</v>
      </c>
      <c r="G85" s="12" t="n">
        <v>-0.366805703125</v>
      </c>
      <c r="H85" s="4" t="n">
        <v>14</v>
      </c>
      <c r="I85" s="7" t="s">
        <v>613</v>
      </c>
    </row>
    <row r="86" customFormat="false" ht="17.15" hidden="false" customHeight="false" outlineLevel="0" collapsed="false">
      <c r="A86" s="7" t="s">
        <v>284</v>
      </c>
      <c r="B86" s="4" t="s">
        <v>285</v>
      </c>
      <c r="C86" s="17" t="n">
        <v>43889</v>
      </c>
      <c r="D86" s="18" t="n">
        <v>18344</v>
      </c>
      <c r="E86" s="17" t="n">
        <v>43921</v>
      </c>
      <c r="F86" s="18" t="n">
        <v>55835</v>
      </c>
      <c r="G86" s="12" t="n">
        <v>2.03312892975905</v>
      </c>
      <c r="H86" s="4" t="n">
        <v>22</v>
      </c>
      <c r="I86" s="4" t="s">
        <v>617</v>
      </c>
    </row>
    <row r="87" customFormat="false" ht="17.15" hidden="false" customHeight="false" outlineLevel="0" collapsed="false">
      <c r="A87" s="7" t="s">
        <v>282</v>
      </c>
      <c r="B87" s="4" t="s">
        <v>283</v>
      </c>
      <c r="C87" s="17" t="n">
        <v>44012</v>
      </c>
      <c r="D87" s="18" t="n">
        <v>32702</v>
      </c>
      <c r="E87" s="17" t="n">
        <v>44032</v>
      </c>
      <c r="F87" s="18" t="n">
        <v>30862</v>
      </c>
      <c r="G87" s="12" t="n">
        <v>-0.0595663826371476</v>
      </c>
      <c r="H87" s="4" t="n">
        <v>14</v>
      </c>
      <c r="I87" s="7" t="s">
        <v>613</v>
      </c>
    </row>
    <row r="88" customFormat="false" ht="15" hidden="false" customHeight="false" outlineLevel="0" collapsed="false">
      <c r="A88" s="7" t="s">
        <v>210</v>
      </c>
      <c r="B88" s="7" t="s">
        <v>211</v>
      </c>
      <c r="C88" s="17" t="n">
        <v>44012</v>
      </c>
      <c r="D88" s="18" t="n">
        <v>28300</v>
      </c>
      <c r="E88" s="17" t="n">
        <v>44043</v>
      </c>
      <c r="F88" s="18" t="n">
        <v>35670</v>
      </c>
      <c r="G88" s="12" t="n">
        <v>0.256015695229682</v>
      </c>
      <c r="H88" s="4" t="n">
        <v>23</v>
      </c>
      <c r="I88" s="4" t="s">
        <v>614</v>
      </c>
    </row>
    <row r="89" customFormat="false" ht="15" hidden="false" customHeight="false" outlineLevel="0" collapsed="false">
      <c r="A89" s="7" t="s">
        <v>618</v>
      </c>
      <c r="B89" s="4" t="s">
        <v>619</v>
      </c>
      <c r="C89" s="17" t="n">
        <v>44012</v>
      </c>
      <c r="D89" s="18" t="n">
        <v>29304</v>
      </c>
      <c r="E89" s="17" t="n">
        <v>44043</v>
      </c>
      <c r="F89" s="18" t="n">
        <v>34094</v>
      </c>
      <c r="G89" s="12" t="n">
        <v>0.159389715909091</v>
      </c>
      <c r="H89" s="4" t="n">
        <v>23</v>
      </c>
      <c r="I89" s="4" t="s">
        <v>614</v>
      </c>
    </row>
    <row r="90" customFormat="false" ht="15" hidden="false" customHeight="false" outlineLevel="0" collapsed="false">
      <c r="A90" s="7" t="s">
        <v>264</v>
      </c>
      <c r="B90" s="4" t="s">
        <v>265</v>
      </c>
      <c r="C90" s="17" t="n">
        <v>44012</v>
      </c>
      <c r="D90" s="18" t="n">
        <v>27200</v>
      </c>
      <c r="E90" s="17" t="n">
        <v>44043</v>
      </c>
      <c r="F90" s="18" t="n">
        <v>25600</v>
      </c>
      <c r="G90" s="12" t="n">
        <v>-0.0621152941176471</v>
      </c>
      <c r="H90" s="4" t="n">
        <v>23</v>
      </c>
      <c r="I90" s="4" t="s">
        <v>614</v>
      </c>
    </row>
    <row r="91" customFormat="false" ht="15" hidden="false" customHeight="false" outlineLevel="0" collapsed="false">
      <c r="A91" s="7" t="s">
        <v>206</v>
      </c>
      <c r="B91" s="4" t="s">
        <v>207</v>
      </c>
      <c r="C91" s="17" t="n">
        <v>44012</v>
      </c>
      <c r="D91" s="18" t="n">
        <v>37550</v>
      </c>
      <c r="E91" s="17" t="n">
        <v>44043</v>
      </c>
      <c r="F91" s="18" t="n">
        <v>43500</v>
      </c>
      <c r="G91" s="12" t="n">
        <v>0.154403695073236</v>
      </c>
      <c r="H91" s="4" t="n">
        <v>23</v>
      </c>
      <c r="I91" s="4" t="s">
        <v>614</v>
      </c>
    </row>
    <row r="92" customFormat="false" ht="17.15" hidden="false" customHeight="false" outlineLevel="0" collapsed="false">
      <c r="A92" s="7" t="s">
        <v>103</v>
      </c>
      <c r="B92" s="4" t="s">
        <v>104</v>
      </c>
      <c r="C92" s="17" t="n">
        <v>44012</v>
      </c>
      <c r="D92" s="18" t="n">
        <v>102680</v>
      </c>
      <c r="E92" s="17" t="n">
        <v>44054</v>
      </c>
      <c r="F92" s="18" t="n">
        <v>97420</v>
      </c>
      <c r="G92" s="12" t="n">
        <v>-0.0545454465329178</v>
      </c>
      <c r="H92" s="4" t="n">
        <v>30</v>
      </c>
      <c r="I92" s="7" t="s">
        <v>613</v>
      </c>
    </row>
    <row r="93" customFormat="false" ht="17.15" hidden="false" customHeight="false" outlineLevel="0" collapsed="false">
      <c r="A93" s="7" t="s">
        <v>266</v>
      </c>
      <c r="B93" s="4" t="s">
        <v>267</v>
      </c>
      <c r="C93" s="17" t="n">
        <v>44012</v>
      </c>
      <c r="D93" s="18" t="n">
        <v>24577</v>
      </c>
      <c r="E93" s="17" t="n">
        <v>44056</v>
      </c>
      <c r="F93" s="18" t="n">
        <v>23249</v>
      </c>
      <c r="G93" s="12" t="n">
        <v>-0.0573427748504697</v>
      </c>
      <c r="H93" s="4" t="n">
        <v>32</v>
      </c>
      <c r="I93" s="7" t="s">
        <v>613</v>
      </c>
    </row>
    <row r="94" customFormat="false" ht="17.15" hidden="false" customHeight="false" outlineLevel="0" collapsed="false">
      <c r="A94" s="7" t="s">
        <v>262</v>
      </c>
      <c r="B94" s="4" t="s">
        <v>263</v>
      </c>
      <c r="C94" s="17" t="n">
        <v>44012</v>
      </c>
      <c r="D94" s="18" t="n">
        <v>57000</v>
      </c>
      <c r="E94" s="17" t="n">
        <v>44062</v>
      </c>
      <c r="F94" s="18" t="n">
        <v>49500</v>
      </c>
      <c r="G94" s="12" t="n">
        <v>-0.13461625</v>
      </c>
      <c r="H94" s="4" t="n">
        <v>35</v>
      </c>
      <c r="I94" s="7" t="s">
        <v>613</v>
      </c>
    </row>
    <row r="95" customFormat="false" ht="15" hidden="false" customHeight="false" outlineLevel="0" collapsed="false">
      <c r="A95" s="7" t="s">
        <v>268</v>
      </c>
      <c r="B95" s="4" t="s">
        <v>269</v>
      </c>
      <c r="C95" s="17" t="n">
        <v>44043</v>
      </c>
      <c r="D95" s="18" t="n">
        <v>19846</v>
      </c>
      <c r="E95" s="17" t="n">
        <v>44074</v>
      </c>
      <c r="F95" s="18" t="n">
        <v>18003</v>
      </c>
      <c r="G95" s="12" t="n">
        <v>-0.0960377654187242</v>
      </c>
      <c r="H95" s="4" t="n">
        <v>20</v>
      </c>
      <c r="I95" s="4" t="s">
        <v>614</v>
      </c>
    </row>
    <row r="96" customFormat="false" ht="17.15" hidden="false" customHeight="false" outlineLevel="0" collapsed="false">
      <c r="A96" s="7" t="s">
        <v>266</v>
      </c>
      <c r="B96" s="4" t="s">
        <v>267</v>
      </c>
      <c r="C96" s="17" t="n">
        <v>44074</v>
      </c>
      <c r="D96" s="18" t="n">
        <v>22856</v>
      </c>
      <c r="E96" s="17" t="n">
        <v>44076</v>
      </c>
      <c r="F96" s="18" t="n">
        <v>24331</v>
      </c>
      <c r="G96" s="12" t="n">
        <v>0.0608112673914947</v>
      </c>
      <c r="H96" s="4" t="n">
        <v>2</v>
      </c>
      <c r="I96" s="7" t="s">
        <v>613</v>
      </c>
    </row>
    <row r="97" customFormat="false" ht="17.15" hidden="false" customHeight="false" outlineLevel="0" collapsed="false">
      <c r="A97" s="7" t="s">
        <v>270</v>
      </c>
      <c r="B97" s="4" t="s">
        <v>271</v>
      </c>
      <c r="C97" s="17" t="n">
        <v>44043</v>
      </c>
      <c r="D97" s="18" t="n">
        <v>15861</v>
      </c>
      <c r="E97" s="17" t="n">
        <v>44096</v>
      </c>
      <c r="F97" s="18" t="n">
        <v>18040</v>
      </c>
      <c r="G97" s="12" t="n">
        <v>0.133403007376584</v>
      </c>
      <c r="H97" s="4" t="n">
        <v>36</v>
      </c>
      <c r="I97" s="7" t="s">
        <v>613</v>
      </c>
    </row>
    <row r="98" customFormat="false" ht="17.15" hidden="false" customHeight="false" outlineLevel="0" collapsed="false">
      <c r="A98" s="7" t="s">
        <v>91</v>
      </c>
      <c r="B98" s="4" t="s">
        <v>92</v>
      </c>
      <c r="C98" s="17" t="n">
        <v>44074</v>
      </c>
      <c r="D98" s="18" t="n">
        <v>18450</v>
      </c>
      <c r="E98" s="17" t="n">
        <v>44097</v>
      </c>
      <c r="F98" s="18" t="n">
        <v>15450</v>
      </c>
      <c r="G98" s="12" t="n">
        <v>-0.165530426829268</v>
      </c>
      <c r="H98" s="4" t="n">
        <v>17</v>
      </c>
      <c r="I98" s="7" t="s">
        <v>613</v>
      </c>
    </row>
    <row r="99" customFormat="false" ht="17.15" hidden="false" customHeight="false" outlineLevel="0" collapsed="false">
      <c r="A99" s="7" t="s">
        <v>264</v>
      </c>
      <c r="B99" s="4" t="s">
        <v>265</v>
      </c>
      <c r="C99" s="17" t="n">
        <v>44074</v>
      </c>
      <c r="D99" s="18" t="n">
        <v>35750</v>
      </c>
      <c r="E99" s="17" t="n">
        <v>44097</v>
      </c>
      <c r="F99" s="18" t="n">
        <v>28900</v>
      </c>
      <c r="G99" s="12" t="n">
        <v>-0.194435741258741</v>
      </c>
      <c r="H99" s="4" t="n">
        <v>17</v>
      </c>
      <c r="I99" s="7" t="s">
        <v>613</v>
      </c>
    </row>
    <row r="100" customFormat="false" ht="17.15" hidden="false" customHeight="false" outlineLevel="0" collapsed="false">
      <c r="A100" s="7" t="s">
        <v>88</v>
      </c>
      <c r="B100" s="4" t="s">
        <v>89</v>
      </c>
      <c r="C100" s="17" t="n">
        <v>44012</v>
      </c>
      <c r="D100" s="18" t="n">
        <v>57032</v>
      </c>
      <c r="E100" s="17" t="n">
        <v>44099</v>
      </c>
      <c r="F100" s="18" t="n">
        <v>71027</v>
      </c>
      <c r="G100" s="12" t="n">
        <v>0.241032807327465</v>
      </c>
      <c r="H100" s="4" t="n">
        <v>62</v>
      </c>
      <c r="I100" s="7" t="s">
        <v>613</v>
      </c>
    </row>
    <row r="101" customFormat="false" ht="17.15" hidden="false" customHeight="false" outlineLevel="0" collapsed="false">
      <c r="A101" s="7" t="s">
        <v>539</v>
      </c>
      <c r="B101" s="4" t="s">
        <v>540</v>
      </c>
      <c r="C101" s="17" t="n">
        <v>44043</v>
      </c>
      <c r="D101" s="18" t="n">
        <v>40800</v>
      </c>
      <c r="E101" s="17" t="n">
        <v>44099</v>
      </c>
      <c r="F101" s="18" t="n">
        <v>34150</v>
      </c>
      <c r="G101" s="12" t="n">
        <v>-0.165917637867647</v>
      </c>
      <c r="H101" s="4" t="n">
        <v>39</v>
      </c>
      <c r="I101" s="7" t="s">
        <v>613</v>
      </c>
    </row>
    <row r="102" customFormat="false" ht="17.15" hidden="false" customHeight="false" outlineLevel="0" collapsed="false">
      <c r="A102" s="7" t="s">
        <v>256</v>
      </c>
      <c r="B102" s="7" t="s">
        <v>257</v>
      </c>
      <c r="C102" s="17" t="n">
        <v>44043</v>
      </c>
      <c r="D102" s="18" t="n">
        <v>179477</v>
      </c>
      <c r="E102" s="17" t="n">
        <v>44099</v>
      </c>
      <c r="F102" s="18" t="n">
        <v>188150</v>
      </c>
      <c r="G102" s="12" t="n">
        <v>0.0446572283635232</v>
      </c>
      <c r="H102" s="4" t="n">
        <v>39</v>
      </c>
      <c r="I102" s="7" t="s">
        <v>613</v>
      </c>
    </row>
    <row r="103" customFormat="false" ht="15" hidden="false" customHeight="false" outlineLevel="0" collapsed="false">
      <c r="A103" s="7" t="s">
        <v>284</v>
      </c>
      <c r="B103" s="4" t="s">
        <v>285</v>
      </c>
      <c r="C103" s="17" t="n">
        <v>44012</v>
      </c>
      <c r="D103" s="18" t="n">
        <v>56689</v>
      </c>
      <c r="E103" s="17" t="n">
        <v>44103</v>
      </c>
      <c r="F103" s="18" t="n">
        <v>130868</v>
      </c>
      <c r="G103" s="12" t="n">
        <v>1.30045139568523</v>
      </c>
      <c r="H103" s="4" t="n">
        <v>64</v>
      </c>
      <c r="I103" s="4" t="s">
        <v>614</v>
      </c>
    </row>
    <row r="104" customFormat="false" ht="15" hidden="false" customHeight="false" outlineLevel="0" collapsed="false">
      <c r="A104" s="7" t="s">
        <v>620</v>
      </c>
      <c r="B104" s="4" t="s">
        <v>621</v>
      </c>
      <c r="C104" s="17" t="n">
        <v>44043</v>
      </c>
      <c r="D104" s="18" t="n">
        <v>22100</v>
      </c>
      <c r="E104" s="17" t="n">
        <v>44103</v>
      </c>
      <c r="F104" s="18" t="n">
        <v>31150</v>
      </c>
      <c r="G104" s="12" t="n">
        <v>0.404572528280543</v>
      </c>
      <c r="H104" s="4" t="n">
        <v>41</v>
      </c>
      <c r="I104" s="4" t="s">
        <v>614</v>
      </c>
    </row>
    <row r="105" customFormat="false" ht="17.15" hidden="false" customHeight="false" outlineLevel="0" collapsed="false">
      <c r="A105" s="7" t="s">
        <v>266</v>
      </c>
      <c r="B105" s="4" t="s">
        <v>267</v>
      </c>
      <c r="C105" s="17" t="n">
        <v>44103</v>
      </c>
      <c r="D105" s="18" t="n">
        <v>21725</v>
      </c>
      <c r="E105" s="17" t="n">
        <v>44110</v>
      </c>
      <c r="F105" s="18" t="n">
        <v>21922</v>
      </c>
      <c r="G105" s="12" t="n">
        <v>0.00553867917146156</v>
      </c>
      <c r="H105" s="4" t="n">
        <v>2</v>
      </c>
      <c r="I105" s="7" t="s">
        <v>613</v>
      </c>
    </row>
    <row r="106" customFormat="false" ht="17.15" hidden="false" customHeight="false" outlineLevel="0" collapsed="false">
      <c r="A106" s="7" t="s">
        <v>256</v>
      </c>
      <c r="B106" s="7" t="s">
        <v>257</v>
      </c>
      <c r="C106" s="17" t="n">
        <v>44103</v>
      </c>
      <c r="D106" s="18" t="n">
        <v>197825</v>
      </c>
      <c r="E106" s="17" t="n">
        <v>44110</v>
      </c>
      <c r="F106" s="18" t="n">
        <v>199492</v>
      </c>
      <c r="G106" s="12" t="n">
        <v>0.00489966753443705</v>
      </c>
      <c r="H106" s="4" t="n">
        <v>2</v>
      </c>
      <c r="I106" s="7" t="s">
        <v>613</v>
      </c>
    </row>
    <row r="107" customFormat="false" ht="17.15" hidden="false" customHeight="false" outlineLevel="0" collapsed="false">
      <c r="A107" s="7" t="s">
        <v>91</v>
      </c>
      <c r="B107" s="4" t="s">
        <v>92</v>
      </c>
      <c r="C107" s="17" t="n">
        <v>44103</v>
      </c>
      <c r="D107" s="18" t="n">
        <v>15250</v>
      </c>
      <c r="E107" s="17" t="n">
        <v>44110</v>
      </c>
      <c r="F107" s="18" t="n">
        <v>15400</v>
      </c>
      <c r="G107" s="12" t="n">
        <v>0.00630416393442634</v>
      </c>
      <c r="H107" s="4" t="n">
        <v>2</v>
      </c>
      <c r="I107" s="7" t="s">
        <v>613</v>
      </c>
    </row>
    <row r="108" customFormat="false" ht="17.15" hidden="false" customHeight="false" outlineLevel="0" collapsed="false">
      <c r="A108" s="7" t="s">
        <v>270</v>
      </c>
      <c r="B108" s="4" t="s">
        <v>271</v>
      </c>
      <c r="C108" s="17" t="n">
        <v>44103</v>
      </c>
      <c r="D108" s="18" t="n">
        <v>17923</v>
      </c>
      <c r="E108" s="17" t="n">
        <v>44110</v>
      </c>
      <c r="F108" s="18" t="n">
        <v>18556</v>
      </c>
      <c r="G108" s="12" t="n">
        <v>0.0316967243207051</v>
      </c>
      <c r="H108" s="4" t="n">
        <v>2</v>
      </c>
      <c r="I108" s="7" t="s">
        <v>613</v>
      </c>
    </row>
    <row r="109" customFormat="false" ht="17.15" hidden="false" customHeight="false" outlineLevel="0" collapsed="false">
      <c r="A109" s="7" t="s">
        <v>274</v>
      </c>
      <c r="B109" s="4" t="s">
        <v>275</v>
      </c>
      <c r="C109" s="17" t="n">
        <v>44103</v>
      </c>
      <c r="D109" s="18" t="n">
        <v>44600</v>
      </c>
      <c r="E109" s="17" t="n">
        <v>44110</v>
      </c>
      <c r="F109" s="18" t="n">
        <v>43900</v>
      </c>
      <c r="G109" s="12" t="n">
        <v>-0.019137673766816</v>
      </c>
      <c r="H109" s="4" t="n">
        <v>2</v>
      </c>
      <c r="I109" s="7" t="s">
        <v>613</v>
      </c>
    </row>
    <row r="110" customFormat="false" ht="17.15" hidden="false" customHeight="false" outlineLevel="0" collapsed="false">
      <c r="A110" s="7" t="s">
        <v>88</v>
      </c>
      <c r="B110" s="4" t="s">
        <v>89</v>
      </c>
      <c r="C110" s="17" t="n">
        <v>44103</v>
      </c>
      <c r="D110" s="18" t="n">
        <v>77146</v>
      </c>
      <c r="E110" s="17" t="n">
        <v>44116</v>
      </c>
      <c r="F110" s="18" t="n">
        <v>77573</v>
      </c>
      <c r="G110" s="12" t="n">
        <v>0.00201810116532308</v>
      </c>
      <c r="H110" s="4" t="n">
        <v>5</v>
      </c>
      <c r="I110" s="7" t="s">
        <v>613</v>
      </c>
    </row>
    <row r="111" customFormat="false" ht="17.15" hidden="false" customHeight="false" outlineLevel="0" collapsed="false">
      <c r="A111" s="7" t="s">
        <v>216</v>
      </c>
      <c r="B111" s="4" t="s">
        <v>217</v>
      </c>
      <c r="C111" s="17" t="n">
        <v>44103</v>
      </c>
      <c r="D111" s="18" t="n">
        <v>24050</v>
      </c>
      <c r="E111" s="17" t="n">
        <v>44124</v>
      </c>
      <c r="F111" s="18" t="n">
        <v>19050</v>
      </c>
      <c r="G111" s="12" t="n">
        <v>-0.210670576923077</v>
      </c>
      <c r="H111" s="4" t="n">
        <v>11</v>
      </c>
      <c r="I111" s="7" t="s">
        <v>613</v>
      </c>
    </row>
    <row r="112" customFormat="false" ht="17.15" hidden="false" customHeight="false" outlineLevel="0" collapsed="false">
      <c r="A112" s="7" t="s">
        <v>272</v>
      </c>
      <c r="B112" s="4" t="s">
        <v>273</v>
      </c>
      <c r="C112" s="17" t="n">
        <v>44103</v>
      </c>
      <c r="D112" s="18" t="n">
        <v>47022</v>
      </c>
      <c r="E112" s="17" t="n">
        <v>44131</v>
      </c>
      <c r="F112" s="18" t="n">
        <v>43984</v>
      </c>
      <c r="G112" s="12" t="n">
        <v>-0.0678795891284931</v>
      </c>
      <c r="H112" s="4" t="n">
        <v>16</v>
      </c>
      <c r="I112" s="7" t="s">
        <v>613</v>
      </c>
    </row>
    <row r="113" customFormat="false" ht="17.15" hidden="false" customHeight="false" outlineLevel="0" collapsed="false">
      <c r="A113" s="7" t="s">
        <v>266</v>
      </c>
      <c r="B113" s="4" t="s">
        <v>267</v>
      </c>
      <c r="C113" s="17" t="n">
        <v>44134</v>
      </c>
      <c r="D113" s="18" t="n">
        <v>19563</v>
      </c>
      <c r="E113" s="17" t="n">
        <v>44138</v>
      </c>
      <c r="F113" s="18" t="n">
        <v>19809</v>
      </c>
      <c r="G113" s="12" t="n">
        <v>0.00903327825486899</v>
      </c>
      <c r="H113" s="4" t="n">
        <v>2</v>
      </c>
      <c r="I113" s="7" t="s">
        <v>613</v>
      </c>
    </row>
    <row r="114" customFormat="false" ht="17.15" hidden="false" customHeight="false" outlineLevel="0" collapsed="false">
      <c r="A114" s="7" t="s">
        <v>256</v>
      </c>
      <c r="B114" s="7" t="s">
        <v>257</v>
      </c>
      <c r="C114" s="17" t="n">
        <v>44134</v>
      </c>
      <c r="D114" s="18" t="n">
        <v>230851</v>
      </c>
      <c r="E114" s="17" t="n">
        <v>44138</v>
      </c>
      <c r="F114" s="18" t="n">
        <v>233520</v>
      </c>
      <c r="G114" s="12" t="n">
        <v>0.00802363342588941</v>
      </c>
      <c r="H114" s="4" t="n">
        <v>2</v>
      </c>
      <c r="I114" s="7" t="s">
        <v>613</v>
      </c>
    </row>
    <row r="115" customFormat="false" ht="17.15" hidden="false" customHeight="false" outlineLevel="0" collapsed="false">
      <c r="A115" s="7" t="s">
        <v>270</v>
      </c>
      <c r="B115" s="4" t="s">
        <v>271</v>
      </c>
      <c r="C115" s="17" t="n">
        <v>44134</v>
      </c>
      <c r="D115" s="18" t="n">
        <v>18795</v>
      </c>
      <c r="E115" s="17" t="n">
        <v>44138</v>
      </c>
      <c r="F115" s="18" t="n">
        <v>18875</v>
      </c>
      <c r="G115" s="12" t="n">
        <v>0.000744064245810083</v>
      </c>
      <c r="H115" s="4" t="n">
        <v>2</v>
      </c>
      <c r="I115" s="7" t="s">
        <v>613</v>
      </c>
    </row>
    <row r="116" customFormat="false" ht="17.15" hidden="false" customHeight="false" outlineLevel="0" collapsed="false">
      <c r="A116" s="7" t="s">
        <v>272</v>
      </c>
      <c r="B116" s="4" t="s">
        <v>273</v>
      </c>
      <c r="C116" s="17" t="n">
        <v>44134</v>
      </c>
      <c r="D116" s="18" t="n">
        <v>47307</v>
      </c>
      <c r="E116" s="17" t="n">
        <v>44140</v>
      </c>
      <c r="F116" s="18" t="n">
        <v>51007</v>
      </c>
      <c r="G116" s="12" t="n">
        <v>0.0744414783752934</v>
      </c>
      <c r="H116" s="4" t="n">
        <v>4</v>
      </c>
      <c r="I116" s="7" t="s">
        <v>613</v>
      </c>
    </row>
    <row r="117" customFormat="false" ht="17.15" hidden="false" customHeight="false" outlineLevel="0" collapsed="false">
      <c r="A117" s="7" t="s">
        <v>284</v>
      </c>
      <c r="B117" s="4" t="s">
        <v>285</v>
      </c>
      <c r="C117" s="17" t="n">
        <v>44134</v>
      </c>
      <c r="D117" s="18" t="n">
        <v>131923</v>
      </c>
      <c r="E117" s="17" t="n">
        <v>44146</v>
      </c>
      <c r="F117" s="18" t="n">
        <v>125389</v>
      </c>
      <c r="G117" s="12" t="n">
        <v>-0.0528531645543234</v>
      </c>
      <c r="H117" s="4" t="n">
        <v>8</v>
      </c>
      <c r="I117" s="7" t="s">
        <v>613</v>
      </c>
    </row>
    <row r="118" customFormat="false" ht="15" hidden="false" customHeight="false" outlineLevel="0" collapsed="false">
      <c r="A118" s="7" t="s">
        <v>622</v>
      </c>
      <c r="B118" s="4" t="s">
        <v>623</v>
      </c>
      <c r="C118" s="17" t="n">
        <v>44134</v>
      </c>
      <c r="D118" s="18" t="n">
        <v>148300</v>
      </c>
      <c r="E118" s="17" t="n">
        <v>44165</v>
      </c>
      <c r="F118" s="18" t="n">
        <v>179100</v>
      </c>
      <c r="G118" s="12" t="n">
        <v>0.203463234996629</v>
      </c>
      <c r="H118" s="4" t="n">
        <v>21</v>
      </c>
      <c r="I118" s="4" t="s">
        <v>614</v>
      </c>
    </row>
    <row r="119" customFormat="false" ht="17.15" hidden="false" customHeight="false" outlineLevel="0" collapsed="false">
      <c r="A119" s="7" t="s">
        <v>286</v>
      </c>
      <c r="B119" s="4" t="s">
        <v>287</v>
      </c>
      <c r="C119" s="17" t="n">
        <v>44103</v>
      </c>
      <c r="D119" s="18" t="n">
        <v>56500</v>
      </c>
      <c r="E119" s="17" t="n">
        <v>44169</v>
      </c>
      <c r="F119" s="18" t="n">
        <v>61900</v>
      </c>
      <c r="G119" s="12" t="n">
        <v>0.091743446902655</v>
      </c>
      <c r="H119" s="4" t="n">
        <v>44</v>
      </c>
      <c r="I119" s="7" t="s">
        <v>613</v>
      </c>
    </row>
    <row r="120" customFormat="false" ht="17.15" hidden="false" customHeight="false" outlineLevel="0" collapsed="false">
      <c r="A120" s="7" t="s">
        <v>290</v>
      </c>
      <c r="B120" s="4" t="s">
        <v>291</v>
      </c>
      <c r="C120" s="17" t="n">
        <v>44134</v>
      </c>
      <c r="D120" s="18" t="n">
        <v>49846</v>
      </c>
      <c r="E120" s="17" t="n">
        <v>44172</v>
      </c>
      <c r="F120" s="18" t="n">
        <v>51443</v>
      </c>
      <c r="G120" s="12" t="n">
        <v>0.0284291238514627</v>
      </c>
      <c r="H120" s="4" t="n">
        <v>26</v>
      </c>
      <c r="I120" s="7" t="s">
        <v>613</v>
      </c>
    </row>
    <row r="121" customFormat="false" ht="17.15" hidden="false" customHeight="false" outlineLevel="0" collapsed="false">
      <c r="A121" s="7" t="s">
        <v>292</v>
      </c>
      <c r="B121" s="4" t="s">
        <v>293</v>
      </c>
      <c r="C121" s="17" t="n">
        <v>44103</v>
      </c>
      <c r="D121" s="18" t="n">
        <v>11792</v>
      </c>
      <c r="E121" s="17" t="n">
        <v>44182</v>
      </c>
      <c r="F121" s="18" t="n">
        <v>13367</v>
      </c>
      <c r="G121" s="12" t="n">
        <v>0.129600484862619</v>
      </c>
      <c r="H121" s="4" t="n">
        <v>53</v>
      </c>
      <c r="I121" s="7" t="s">
        <v>613</v>
      </c>
    </row>
    <row r="122" customFormat="false" ht="15" hidden="false" customHeight="false" outlineLevel="0" collapsed="false">
      <c r="A122" s="7" t="s">
        <v>539</v>
      </c>
      <c r="B122" s="4" t="s">
        <v>540</v>
      </c>
      <c r="C122" s="17" t="n">
        <v>44165</v>
      </c>
      <c r="D122" s="18" t="n">
        <v>55500</v>
      </c>
      <c r="E122" s="17" t="n">
        <v>44195</v>
      </c>
      <c r="F122" s="18" t="n">
        <v>62700</v>
      </c>
      <c r="G122" s="12" t="n">
        <v>0.1257785</v>
      </c>
      <c r="H122" s="4" t="n">
        <v>21</v>
      </c>
      <c r="I122" s="4" t="s">
        <v>614</v>
      </c>
    </row>
    <row r="123" customFormat="false" ht="17.15" hidden="false" customHeight="false" outlineLevel="0" collapsed="false">
      <c r="A123" s="7" t="s">
        <v>292</v>
      </c>
      <c r="B123" s="4" t="s">
        <v>293</v>
      </c>
      <c r="C123" s="17" t="n">
        <v>44195</v>
      </c>
      <c r="D123" s="18" t="n">
        <v>13030</v>
      </c>
      <c r="E123" s="17" t="n">
        <v>44201</v>
      </c>
      <c r="F123" s="18" t="n">
        <v>13561</v>
      </c>
      <c r="G123" s="12" t="n">
        <v>0.0371120800076747</v>
      </c>
      <c r="H123" s="4" t="n">
        <v>2</v>
      </c>
      <c r="I123" s="7" t="s">
        <v>613</v>
      </c>
    </row>
    <row r="124" customFormat="false" ht="17.15" hidden="false" customHeight="false" outlineLevel="0" collapsed="false">
      <c r="A124" s="7" t="s">
        <v>173</v>
      </c>
      <c r="B124" s="4" t="s">
        <v>174</v>
      </c>
      <c r="C124" s="17" t="n">
        <v>44165</v>
      </c>
      <c r="D124" s="18" t="n">
        <v>59084</v>
      </c>
      <c r="E124" s="17" t="n">
        <v>44204</v>
      </c>
      <c r="F124" s="18" t="n">
        <v>47595</v>
      </c>
      <c r="G124" s="12" t="n">
        <v>-0.197269370937987</v>
      </c>
      <c r="H124" s="4" t="n">
        <v>26</v>
      </c>
      <c r="I124" s="7" t="s">
        <v>613</v>
      </c>
    </row>
    <row r="125" customFormat="false" ht="17.15" hidden="false" customHeight="false" outlineLevel="0" collapsed="false">
      <c r="A125" s="7" t="s">
        <v>256</v>
      </c>
      <c r="B125" s="7" t="s">
        <v>257</v>
      </c>
      <c r="C125" s="17" t="n">
        <v>44165</v>
      </c>
      <c r="D125" s="18" t="n">
        <v>284227</v>
      </c>
      <c r="E125" s="17" t="n">
        <v>44207</v>
      </c>
      <c r="F125" s="18" t="n">
        <v>254203</v>
      </c>
      <c r="G125" s="12" t="n">
        <v>-0.108761922662168</v>
      </c>
      <c r="H125" s="4" t="n">
        <v>27</v>
      </c>
      <c r="I125" s="7" t="s">
        <v>613</v>
      </c>
    </row>
    <row r="126" customFormat="false" ht="15" hidden="false" customHeight="false" outlineLevel="0" collapsed="false">
      <c r="A126" s="7" t="s">
        <v>300</v>
      </c>
      <c r="B126" s="7" t="s">
        <v>301</v>
      </c>
      <c r="C126" s="17" t="n">
        <v>44134</v>
      </c>
      <c r="D126" s="18" t="n">
        <v>8970</v>
      </c>
      <c r="E126" s="17" t="n">
        <v>44225</v>
      </c>
      <c r="F126" s="18" t="n">
        <v>13650</v>
      </c>
      <c r="G126" s="12" t="n">
        <v>0.516416847826087</v>
      </c>
      <c r="H126" s="4" t="n">
        <v>62</v>
      </c>
      <c r="I126" s="4" t="s">
        <v>614</v>
      </c>
    </row>
    <row r="127" customFormat="false" ht="15" hidden="false" customHeight="false" outlineLevel="0" collapsed="false">
      <c r="A127" s="7" t="s">
        <v>272</v>
      </c>
      <c r="B127" s="4" t="s">
        <v>273</v>
      </c>
      <c r="C127" s="17" t="n">
        <v>44165</v>
      </c>
      <c r="D127" s="18" t="n">
        <v>60735</v>
      </c>
      <c r="E127" s="17" t="n">
        <v>44225</v>
      </c>
      <c r="F127" s="18" t="n">
        <v>80047</v>
      </c>
      <c r="G127" s="12" t="n">
        <v>0.313361910224747</v>
      </c>
      <c r="H127" s="4" t="n">
        <v>41</v>
      </c>
      <c r="I127" s="4" t="s">
        <v>614</v>
      </c>
    </row>
    <row r="128" customFormat="false" ht="15" hidden="false" customHeight="false" outlineLevel="0" collapsed="false">
      <c r="A128" s="7" t="s">
        <v>624</v>
      </c>
      <c r="B128" s="4" t="s">
        <v>625</v>
      </c>
      <c r="C128" s="17" t="n">
        <v>44165</v>
      </c>
      <c r="D128" s="18" t="n">
        <v>357500</v>
      </c>
      <c r="E128" s="17" t="n">
        <v>44225</v>
      </c>
      <c r="F128" s="18" t="n">
        <v>423500</v>
      </c>
      <c r="G128" s="12" t="n">
        <v>0.180472192307692</v>
      </c>
      <c r="H128" s="4" t="n">
        <v>41</v>
      </c>
      <c r="I128" s="4" t="s">
        <v>614</v>
      </c>
    </row>
    <row r="129" customFormat="false" ht="15" hidden="false" customHeight="false" outlineLevel="0" collapsed="false">
      <c r="A129" s="7" t="s">
        <v>270</v>
      </c>
      <c r="B129" s="4" t="s">
        <v>271</v>
      </c>
      <c r="C129" s="17" t="n">
        <v>44165</v>
      </c>
      <c r="D129" s="18" t="n">
        <v>20064</v>
      </c>
      <c r="E129" s="17" t="n">
        <v>44225</v>
      </c>
      <c r="F129" s="18" t="n">
        <v>30731</v>
      </c>
      <c r="G129" s="12" t="n">
        <v>0.526291782670455</v>
      </c>
      <c r="H129" s="4" t="n">
        <v>41</v>
      </c>
      <c r="I129" s="4" t="s">
        <v>614</v>
      </c>
    </row>
    <row r="130" customFormat="false" ht="17.15" hidden="false" customHeight="false" outlineLevel="0" collapsed="false">
      <c r="A130" s="7" t="s">
        <v>302</v>
      </c>
      <c r="B130" s="7" t="s">
        <v>303</v>
      </c>
      <c r="C130" s="17" t="n">
        <v>44195</v>
      </c>
      <c r="D130" s="18" t="n">
        <v>58800</v>
      </c>
      <c r="E130" s="17" t="n">
        <v>44225</v>
      </c>
      <c r="F130" s="18" t="n">
        <v>69200</v>
      </c>
      <c r="G130" s="12" t="n">
        <v>0.172754642857143</v>
      </c>
      <c r="H130" s="4" t="n">
        <v>20</v>
      </c>
      <c r="I130" s="4" t="s">
        <v>614</v>
      </c>
    </row>
    <row r="131" customFormat="false" ht="17.15" hidden="false" customHeight="false" outlineLevel="0" collapsed="false">
      <c r="A131" s="7" t="s">
        <v>280</v>
      </c>
      <c r="B131" s="4" t="s">
        <v>281</v>
      </c>
      <c r="C131" s="17" t="n">
        <v>44195</v>
      </c>
      <c r="D131" s="18" t="n">
        <v>10600</v>
      </c>
      <c r="E131" s="17" t="n">
        <v>44252</v>
      </c>
      <c r="F131" s="18" t="n">
        <v>9150</v>
      </c>
      <c r="G131" s="12" t="n">
        <v>-0.139811521226415</v>
      </c>
      <c r="H131" s="4" t="n">
        <v>37</v>
      </c>
      <c r="I131" s="7" t="s">
        <v>613</v>
      </c>
    </row>
    <row r="132" customFormat="false" ht="15" hidden="false" customHeight="false" outlineLevel="0" collapsed="false">
      <c r="A132" s="7" t="s">
        <v>320</v>
      </c>
      <c r="B132" s="4" t="s">
        <v>321</v>
      </c>
      <c r="C132" s="17" t="n">
        <v>44225</v>
      </c>
      <c r="D132" s="18" t="n">
        <v>247500</v>
      </c>
      <c r="E132" s="17" t="n">
        <v>44253</v>
      </c>
      <c r="F132" s="18" t="n">
        <v>211000</v>
      </c>
      <c r="G132" s="12" t="n">
        <v>-0.150456454545454</v>
      </c>
      <c r="H132" s="4" t="n">
        <v>18</v>
      </c>
      <c r="I132" s="4" t="s">
        <v>614</v>
      </c>
    </row>
    <row r="133" customFormat="false" ht="15" hidden="false" customHeight="false" outlineLevel="0" collapsed="false">
      <c r="A133" s="7" t="s">
        <v>112</v>
      </c>
      <c r="B133" s="4" t="s">
        <v>113</v>
      </c>
      <c r="C133" s="17" t="n">
        <v>44225</v>
      </c>
      <c r="D133" s="18" t="n">
        <v>16500</v>
      </c>
      <c r="E133" s="17" t="n">
        <v>44253</v>
      </c>
      <c r="F133" s="18" t="n">
        <v>14250</v>
      </c>
      <c r="G133" s="12" t="n">
        <v>-0.139384204545455</v>
      </c>
      <c r="H133" s="4" t="n">
        <v>18</v>
      </c>
      <c r="I133" s="4" t="s">
        <v>614</v>
      </c>
    </row>
    <row r="134" customFormat="false" ht="15" hidden="false" customHeight="false" outlineLevel="0" collapsed="false">
      <c r="A134" s="7" t="s">
        <v>294</v>
      </c>
      <c r="B134" s="4" t="s">
        <v>295</v>
      </c>
      <c r="C134" s="17" t="n">
        <v>44225</v>
      </c>
      <c r="D134" s="18" t="n">
        <v>7420</v>
      </c>
      <c r="E134" s="17" t="n">
        <v>44253</v>
      </c>
      <c r="F134" s="18" t="n">
        <v>6540</v>
      </c>
      <c r="G134" s="12" t="n">
        <v>-0.12168108490566</v>
      </c>
      <c r="H134" s="4" t="n">
        <v>18</v>
      </c>
      <c r="I134" s="4" t="s">
        <v>614</v>
      </c>
    </row>
    <row r="135" customFormat="false" ht="17.15" hidden="false" customHeight="false" outlineLevel="0" collapsed="false">
      <c r="A135" s="7" t="s">
        <v>280</v>
      </c>
      <c r="B135" s="4" t="s">
        <v>281</v>
      </c>
      <c r="C135" s="17" t="n">
        <v>44253</v>
      </c>
      <c r="D135" s="18" t="n">
        <v>9000</v>
      </c>
      <c r="E135" s="17" t="n">
        <v>44258</v>
      </c>
      <c r="F135" s="18" t="n">
        <v>8950</v>
      </c>
      <c r="G135" s="12" t="n">
        <v>-0.00903362500000016</v>
      </c>
      <c r="H135" s="4" t="n">
        <v>2</v>
      </c>
      <c r="I135" s="7" t="s">
        <v>613</v>
      </c>
    </row>
    <row r="136" customFormat="false" ht="17.15" hidden="false" customHeight="false" outlineLevel="0" collapsed="false">
      <c r="A136" s="7" t="s">
        <v>306</v>
      </c>
      <c r="B136" s="4" t="s">
        <v>307</v>
      </c>
      <c r="C136" s="17" t="n">
        <v>44195</v>
      </c>
      <c r="D136" s="18" t="n">
        <v>123500</v>
      </c>
      <c r="E136" s="17" t="n">
        <v>44263</v>
      </c>
      <c r="F136" s="18" t="n">
        <v>122500</v>
      </c>
      <c r="G136" s="12" t="n">
        <v>-0.0115663461538461</v>
      </c>
      <c r="H136" s="4" t="n">
        <v>43</v>
      </c>
      <c r="I136" s="7" t="s">
        <v>613</v>
      </c>
    </row>
    <row r="137" customFormat="false" ht="17.15" hidden="false" customHeight="false" outlineLevel="0" collapsed="false">
      <c r="A137" s="7" t="s">
        <v>304</v>
      </c>
      <c r="B137" s="4" t="s">
        <v>305</v>
      </c>
      <c r="C137" s="17" t="n">
        <v>44225</v>
      </c>
      <c r="D137" s="18" t="n">
        <v>101500</v>
      </c>
      <c r="E137" s="17" t="n">
        <v>44264</v>
      </c>
      <c r="F137" s="18" t="n">
        <v>82000</v>
      </c>
      <c r="G137" s="12" t="n">
        <v>-0.194943793103448</v>
      </c>
      <c r="H137" s="4" t="n">
        <v>24</v>
      </c>
      <c r="I137" s="7" t="s">
        <v>613</v>
      </c>
    </row>
    <row r="138" customFormat="false" ht="17.15" hidden="false" customHeight="false" outlineLevel="0" collapsed="false">
      <c r="A138" s="7" t="s">
        <v>626</v>
      </c>
      <c r="B138" s="4" t="s">
        <v>627</v>
      </c>
      <c r="C138" s="17" t="n">
        <v>44253</v>
      </c>
      <c r="D138" s="18" t="n">
        <v>9683</v>
      </c>
      <c r="E138" s="17" t="n">
        <v>44265</v>
      </c>
      <c r="F138" s="18" t="n">
        <v>9216</v>
      </c>
      <c r="G138" s="12" t="n">
        <v>-0.0515576742745016</v>
      </c>
      <c r="H138" s="4" t="n">
        <v>7</v>
      </c>
      <c r="I138" s="7" t="s">
        <v>613</v>
      </c>
    </row>
    <row r="139" customFormat="false" ht="17.15" hidden="false" customHeight="false" outlineLevel="0" collapsed="false">
      <c r="A139" s="7" t="s">
        <v>244</v>
      </c>
      <c r="B139" s="4" t="s">
        <v>245</v>
      </c>
      <c r="C139" s="17" t="n">
        <v>44225</v>
      </c>
      <c r="D139" s="18" t="n">
        <v>71357</v>
      </c>
      <c r="E139" s="17" t="n">
        <v>44277</v>
      </c>
      <c r="F139" s="18" t="n">
        <v>62285</v>
      </c>
      <c r="G139" s="12" t="n">
        <v>-0.130188233635102</v>
      </c>
      <c r="H139" s="4" t="n">
        <v>33</v>
      </c>
      <c r="I139" s="7" t="s">
        <v>613</v>
      </c>
    </row>
    <row r="140" customFormat="false" ht="15" hidden="false" customHeight="false" outlineLevel="0" collapsed="false">
      <c r="A140" s="7" t="s">
        <v>370</v>
      </c>
      <c r="B140" s="4" t="s">
        <v>371</v>
      </c>
      <c r="C140" s="17" t="n">
        <v>44225</v>
      </c>
      <c r="D140" s="18" t="n">
        <v>284000</v>
      </c>
      <c r="E140" s="17" t="n">
        <v>44286</v>
      </c>
      <c r="F140" s="18" t="n">
        <v>325500</v>
      </c>
      <c r="G140" s="12" t="n">
        <v>0.14211818221831</v>
      </c>
      <c r="H140" s="4" t="n">
        <v>40</v>
      </c>
      <c r="I140" s="4" t="s">
        <v>614</v>
      </c>
    </row>
    <row r="141" customFormat="false" ht="17.15" hidden="false" customHeight="false" outlineLevel="0" collapsed="false">
      <c r="A141" s="7" t="s">
        <v>304</v>
      </c>
      <c r="B141" s="4" t="s">
        <v>305</v>
      </c>
      <c r="C141" s="17" t="n">
        <v>44286</v>
      </c>
      <c r="D141" s="18" t="n">
        <v>77900</v>
      </c>
      <c r="E141" s="17" t="n">
        <v>44288</v>
      </c>
      <c r="F141" s="18" t="n">
        <v>82000</v>
      </c>
      <c r="G141" s="12" t="n">
        <v>0.0489500000000001</v>
      </c>
      <c r="H141" s="4" t="n">
        <v>2</v>
      </c>
      <c r="I141" s="7" t="s">
        <v>613</v>
      </c>
    </row>
    <row r="142" customFormat="false" ht="17.15" hidden="false" customHeight="false" outlineLevel="0" collapsed="false">
      <c r="A142" s="7" t="s">
        <v>194</v>
      </c>
      <c r="B142" s="4" t="s">
        <v>195</v>
      </c>
      <c r="C142" s="17" t="n">
        <v>44253</v>
      </c>
      <c r="D142" s="18" t="n">
        <v>25773</v>
      </c>
      <c r="E142" s="17" t="n">
        <v>44316</v>
      </c>
      <c r="F142" s="18" t="n">
        <v>20377</v>
      </c>
      <c r="G142" s="12" t="n">
        <v>-0.212131632231405</v>
      </c>
      <c r="H142" s="4" t="n">
        <v>44</v>
      </c>
      <c r="I142" s="7" t="s">
        <v>613</v>
      </c>
    </row>
    <row r="143" customFormat="false" ht="15" hidden="false" customHeight="false" outlineLevel="0" collapsed="false">
      <c r="A143" s="7" t="s">
        <v>320</v>
      </c>
      <c r="B143" s="4" t="s">
        <v>321</v>
      </c>
      <c r="C143" s="17" t="n">
        <v>44286</v>
      </c>
      <c r="D143" s="18" t="n">
        <v>265000</v>
      </c>
      <c r="E143" s="17" t="n">
        <v>44316</v>
      </c>
      <c r="F143" s="18" t="n">
        <v>260000</v>
      </c>
      <c r="G143" s="12" t="n">
        <v>-0.022299433962264</v>
      </c>
      <c r="H143" s="4" t="n">
        <v>22</v>
      </c>
      <c r="I143" s="4" t="s">
        <v>614</v>
      </c>
    </row>
    <row r="144" customFormat="false" ht="17.15" hidden="false" customHeight="false" outlineLevel="0" collapsed="false">
      <c r="A144" s="7" t="s">
        <v>304</v>
      </c>
      <c r="B144" s="4" t="s">
        <v>305</v>
      </c>
      <c r="C144" s="17" t="n">
        <v>44316</v>
      </c>
      <c r="D144" s="18" t="n">
        <v>86400</v>
      </c>
      <c r="E144" s="17" t="n">
        <v>44320</v>
      </c>
      <c r="F144" s="18" t="n">
        <v>83000</v>
      </c>
      <c r="G144" s="12" t="n">
        <v>-0.0427117187500001</v>
      </c>
      <c r="H144" s="4" t="n">
        <v>2</v>
      </c>
      <c r="I144" s="7" t="s">
        <v>613</v>
      </c>
    </row>
    <row r="145" customFormat="false" ht="17.15" hidden="false" customHeight="false" outlineLevel="0" collapsed="false">
      <c r="A145" s="7" t="s">
        <v>322</v>
      </c>
      <c r="B145" s="7" t="s">
        <v>323</v>
      </c>
      <c r="C145" s="17" t="n">
        <v>44286</v>
      </c>
      <c r="D145" s="18" t="n">
        <v>380500</v>
      </c>
      <c r="E145" s="17" t="n">
        <v>44333</v>
      </c>
      <c r="F145" s="18" t="n">
        <v>360000</v>
      </c>
      <c r="G145" s="12" t="n">
        <v>-0.0571855453350852</v>
      </c>
      <c r="H145" s="4" t="n">
        <v>32</v>
      </c>
      <c r="I145" s="7" t="s">
        <v>613</v>
      </c>
    </row>
    <row r="146" customFormat="false" ht="17.15" hidden="false" customHeight="false" outlineLevel="0" collapsed="false">
      <c r="A146" s="7" t="s">
        <v>97</v>
      </c>
      <c r="B146" s="4" t="s">
        <v>98</v>
      </c>
      <c r="C146" s="17" t="n">
        <v>44286</v>
      </c>
      <c r="D146" s="18" t="n">
        <v>9650</v>
      </c>
      <c r="E146" s="17" t="n">
        <v>44341</v>
      </c>
      <c r="F146" s="18" t="n">
        <v>9140</v>
      </c>
      <c r="G146" s="12" t="n">
        <v>-0.0561623989637307</v>
      </c>
      <c r="H146" s="4" t="n">
        <v>37</v>
      </c>
      <c r="I146" s="7" t="s">
        <v>613</v>
      </c>
    </row>
    <row r="147" customFormat="false" ht="17.15" hidden="false" customHeight="false" outlineLevel="0" collapsed="false">
      <c r="A147" s="7" t="s">
        <v>322</v>
      </c>
      <c r="B147" s="7" t="s">
        <v>323</v>
      </c>
      <c r="C147" s="17" t="n">
        <v>44347</v>
      </c>
      <c r="D147" s="18" t="n">
        <v>377000</v>
      </c>
      <c r="E147" s="17" t="n">
        <v>44349</v>
      </c>
      <c r="F147" s="18" t="n">
        <v>369500</v>
      </c>
      <c r="G147" s="12" t="n">
        <v>-0.0233218202917773</v>
      </c>
      <c r="H147" s="4" t="n">
        <v>2</v>
      </c>
      <c r="I147" s="7" t="s">
        <v>613</v>
      </c>
    </row>
    <row r="148" customFormat="false" ht="17.15" hidden="false" customHeight="false" outlineLevel="0" collapsed="false">
      <c r="A148" s="7" t="s">
        <v>194</v>
      </c>
      <c r="B148" s="4" t="s">
        <v>195</v>
      </c>
      <c r="C148" s="17" t="n">
        <v>44347</v>
      </c>
      <c r="D148" s="18" t="n">
        <v>17292</v>
      </c>
      <c r="E148" s="17" t="n">
        <v>44349</v>
      </c>
      <c r="F148" s="18" t="n">
        <v>16891</v>
      </c>
      <c r="G148" s="12" t="n">
        <v>-0.026606307685635</v>
      </c>
      <c r="H148" s="4" t="n">
        <v>2</v>
      </c>
      <c r="I148" s="7" t="s">
        <v>613</v>
      </c>
    </row>
    <row r="149" customFormat="false" ht="17.15" hidden="false" customHeight="false" outlineLevel="0" collapsed="false">
      <c r="A149" s="7" t="s">
        <v>324</v>
      </c>
      <c r="B149" s="4" t="s">
        <v>325</v>
      </c>
      <c r="C149" s="17" t="n">
        <v>44225</v>
      </c>
      <c r="D149" s="18" t="n">
        <v>32200</v>
      </c>
      <c r="E149" s="17" t="n">
        <v>44354</v>
      </c>
      <c r="F149" s="18" t="n">
        <v>106900</v>
      </c>
      <c r="G149" s="12" t="n">
        <v>2.30826451086957</v>
      </c>
      <c r="H149" s="4" t="n">
        <v>86</v>
      </c>
      <c r="I149" s="7" t="s">
        <v>613</v>
      </c>
    </row>
    <row r="150" customFormat="false" ht="15" hidden="false" customHeight="false" outlineLevel="0" collapsed="false">
      <c r="A150" s="7" t="s">
        <v>348</v>
      </c>
      <c r="B150" s="4" t="s">
        <v>349</v>
      </c>
      <c r="C150" s="17" t="n">
        <v>44316</v>
      </c>
      <c r="D150" s="18" t="n">
        <v>17225</v>
      </c>
      <c r="E150" s="17" t="n">
        <v>44377</v>
      </c>
      <c r="F150" s="18" t="n">
        <v>16925</v>
      </c>
      <c r="G150" s="12" t="n">
        <v>-0.0208531313497821</v>
      </c>
      <c r="H150" s="4" t="n">
        <v>41</v>
      </c>
      <c r="I150" s="4" t="s">
        <v>614</v>
      </c>
    </row>
    <row r="151" customFormat="false" ht="15" hidden="false" customHeight="false" outlineLevel="0" collapsed="false">
      <c r="A151" s="7" t="s">
        <v>318</v>
      </c>
      <c r="B151" s="4" t="s">
        <v>319</v>
      </c>
      <c r="C151" s="17" t="n">
        <v>44347</v>
      </c>
      <c r="D151" s="18" t="n">
        <v>8320</v>
      </c>
      <c r="E151" s="17" t="n">
        <v>44377</v>
      </c>
      <c r="F151" s="18" t="n">
        <v>7950</v>
      </c>
      <c r="G151" s="12" t="n">
        <v>-0.0478131159855768</v>
      </c>
      <c r="H151" s="4" t="n">
        <v>22</v>
      </c>
      <c r="I151" s="4" t="s">
        <v>614</v>
      </c>
    </row>
    <row r="152" customFormat="false" ht="17.15" hidden="false" customHeight="false" outlineLevel="0" collapsed="false">
      <c r="A152" s="7" t="s">
        <v>324</v>
      </c>
      <c r="B152" s="4" t="s">
        <v>325</v>
      </c>
      <c r="C152" s="17" t="n">
        <v>44377</v>
      </c>
      <c r="D152" s="18" t="n">
        <v>91600</v>
      </c>
      <c r="E152" s="17" t="n">
        <v>44379</v>
      </c>
      <c r="F152" s="18" t="n">
        <v>90300</v>
      </c>
      <c r="G152" s="12" t="n">
        <v>-0.0176400027292576</v>
      </c>
      <c r="H152" s="4" t="n">
        <v>2</v>
      </c>
      <c r="I152" s="7" t="s">
        <v>613</v>
      </c>
    </row>
    <row r="153" customFormat="false" ht="17.15" hidden="false" customHeight="false" outlineLevel="0" collapsed="false">
      <c r="A153" s="7" t="s">
        <v>300</v>
      </c>
      <c r="B153" s="7" t="s">
        <v>301</v>
      </c>
      <c r="C153" s="17" t="n">
        <v>44253</v>
      </c>
      <c r="D153" s="18" t="n">
        <v>19000</v>
      </c>
      <c r="E153" s="17" t="n">
        <v>44392</v>
      </c>
      <c r="F153" s="18" t="n">
        <v>42900</v>
      </c>
      <c r="G153" s="12" t="n">
        <v>1.24999775</v>
      </c>
      <c r="H153" s="4" t="n">
        <v>96</v>
      </c>
      <c r="I153" s="7" t="s">
        <v>613</v>
      </c>
    </row>
    <row r="154" customFormat="false" ht="17.15" hidden="false" customHeight="false" outlineLevel="0" collapsed="false">
      <c r="A154" s="7" t="s">
        <v>342</v>
      </c>
      <c r="B154" s="4" t="s">
        <v>343</v>
      </c>
      <c r="C154" s="17" t="n">
        <v>44316</v>
      </c>
      <c r="D154" s="18" t="n">
        <v>26150</v>
      </c>
      <c r="E154" s="17" t="n">
        <v>44397</v>
      </c>
      <c r="F154" s="18" t="n">
        <v>29500</v>
      </c>
      <c r="G154" s="12" t="n">
        <v>0.124161520076482</v>
      </c>
      <c r="H154" s="4" t="n">
        <v>55</v>
      </c>
      <c r="I154" s="7" t="s">
        <v>613</v>
      </c>
    </row>
    <row r="155" customFormat="false" ht="17.15" hidden="false" customHeight="false" outlineLevel="0" collapsed="false">
      <c r="A155" s="7" t="s">
        <v>83</v>
      </c>
      <c r="B155" s="4" t="s">
        <v>84</v>
      </c>
      <c r="C155" s="17" t="n">
        <v>44377</v>
      </c>
      <c r="D155" s="18" t="n">
        <v>1870</v>
      </c>
      <c r="E155" s="17" t="n">
        <v>44407</v>
      </c>
      <c r="F155" s="18" t="n">
        <v>1480</v>
      </c>
      <c r="G155" s="12" t="n">
        <v>-0.21132422459893</v>
      </c>
      <c r="H155" s="4" t="n">
        <v>22</v>
      </c>
      <c r="I155" s="7" t="s">
        <v>613</v>
      </c>
    </row>
    <row r="156" customFormat="false" ht="15" hidden="false" customHeight="false" outlineLevel="0" collapsed="false">
      <c r="A156" s="7" t="s">
        <v>346</v>
      </c>
      <c r="B156" s="4" t="s">
        <v>347</v>
      </c>
      <c r="C156" s="17" t="n">
        <v>44225</v>
      </c>
      <c r="D156" s="18" t="n">
        <v>299500</v>
      </c>
      <c r="E156" s="17" t="n">
        <v>44407</v>
      </c>
      <c r="F156" s="18" t="n">
        <v>889000</v>
      </c>
      <c r="G156" s="12" t="n">
        <v>1.95789890651085</v>
      </c>
      <c r="H156" s="4" t="n">
        <v>125</v>
      </c>
      <c r="I156" s="4" t="s">
        <v>614</v>
      </c>
    </row>
    <row r="157" customFormat="false" ht="15" hidden="false" customHeight="false" outlineLevel="0" collapsed="false">
      <c r="A157" s="7" t="s">
        <v>537</v>
      </c>
      <c r="B157" s="4" t="s">
        <v>538</v>
      </c>
      <c r="C157" s="17" t="n">
        <v>44377</v>
      </c>
      <c r="D157" s="18" t="n">
        <v>35700</v>
      </c>
      <c r="E157" s="17" t="n">
        <v>44407</v>
      </c>
      <c r="F157" s="18" t="n">
        <v>33000</v>
      </c>
      <c r="G157" s="12" t="n">
        <v>-0.0788632352941177</v>
      </c>
      <c r="H157" s="4" t="n">
        <v>22</v>
      </c>
      <c r="I157" s="4" t="s">
        <v>614</v>
      </c>
    </row>
    <row r="158" customFormat="false" ht="17.15" hidden="false" customHeight="false" outlineLevel="0" collapsed="false">
      <c r="A158" s="7" t="s">
        <v>324</v>
      </c>
      <c r="B158" s="4" t="s">
        <v>325</v>
      </c>
      <c r="C158" s="17" t="n">
        <v>44407</v>
      </c>
      <c r="D158" s="18" t="n">
        <v>82000</v>
      </c>
      <c r="E158" s="17" t="n">
        <v>44411</v>
      </c>
      <c r="F158" s="18" t="n">
        <v>82900</v>
      </c>
      <c r="G158" s="12" t="n">
        <v>0.00743972256097569</v>
      </c>
      <c r="H158" s="4" t="n">
        <v>2</v>
      </c>
      <c r="I158" s="7" t="s">
        <v>613</v>
      </c>
    </row>
    <row r="159" customFormat="false" ht="17.15" hidden="false" customHeight="false" outlineLevel="0" collapsed="false">
      <c r="A159" s="7" t="s">
        <v>300</v>
      </c>
      <c r="B159" s="7" t="s">
        <v>301</v>
      </c>
      <c r="C159" s="17" t="n">
        <v>44407</v>
      </c>
      <c r="D159" s="18" t="n">
        <v>40000</v>
      </c>
      <c r="E159" s="17" t="n">
        <v>44411</v>
      </c>
      <c r="F159" s="18" t="n">
        <v>38400</v>
      </c>
      <c r="G159" s="12" t="n">
        <v>-0.0433575999999999</v>
      </c>
      <c r="H159" s="4" t="n">
        <v>2</v>
      </c>
      <c r="I159" s="7" t="s">
        <v>613</v>
      </c>
    </row>
    <row r="160" customFormat="false" ht="17.15" hidden="false" customHeight="false" outlineLevel="0" collapsed="false">
      <c r="A160" s="7" t="s">
        <v>342</v>
      </c>
      <c r="B160" s="4" t="s">
        <v>343</v>
      </c>
      <c r="C160" s="17" t="n">
        <v>44407</v>
      </c>
      <c r="D160" s="18" t="n">
        <v>31400</v>
      </c>
      <c r="E160" s="17" t="n">
        <v>44411</v>
      </c>
      <c r="F160" s="18" t="n">
        <v>30950</v>
      </c>
      <c r="G160" s="12" t="n">
        <v>-0.0177785867834395</v>
      </c>
      <c r="H160" s="4" t="n">
        <v>2</v>
      </c>
      <c r="I160" s="7" t="s">
        <v>613</v>
      </c>
    </row>
    <row r="161" customFormat="false" ht="17.15" hidden="false" customHeight="false" outlineLevel="0" collapsed="false">
      <c r="A161" s="7" t="s">
        <v>298</v>
      </c>
      <c r="B161" s="4" t="s">
        <v>299</v>
      </c>
      <c r="C161" s="17" t="n">
        <v>44407</v>
      </c>
      <c r="D161" s="18" t="n">
        <v>22428</v>
      </c>
      <c r="E161" s="17" t="n">
        <v>44412</v>
      </c>
      <c r="F161" s="18" t="n">
        <v>21038</v>
      </c>
      <c r="G161" s="12" t="n">
        <v>-0.0652568398876405</v>
      </c>
      <c r="H161" s="4" t="n">
        <v>3</v>
      </c>
      <c r="I161" s="7" t="s">
        <v>613</v>
      </c>
    </row>
    <row r="162" customFormat="false" ht="17.15" hidden="false" customHeight="false" outlineLevel="0" collapsed="false">
      <c r="A162" s="7" t="s">
        <v>169</v>
      </c>
      <c r="B162" s="4" t="s">
        <v>170</v>
      </c>
      <c r="C162" s="17" t="n">
        <v>44407</v>
      </c>
      <c r="D162" s="18" t="n">
        <v>53300</v>
      </c>
      <c r="E162" s="17" t="n">
        <v>44412</v>
      </c>
      <c r="F162" s="18" t="n">
        <v>50800</v>
      </c>
      <c r="G162" s="12" t="n">
        <v>-0.0502377673545965</v>
      </c>
      <c r="H162" s="4" t="n">
        <v>3</v>
      </c>
      <c r="I162" s="7" t="s">
        <v>613</v>
      </c>
    </row>
    <row r="163" customFormat="false" ht="17.15" hidden="false" customHeight="false" outlineLevel="0" collapsed="false">
      <c r="A163" s="7" t="s">
        <v>356</v>
      </c>
      <c r="B163" s="4" t="s">
        <v>357</v>
      </c>
      <c r="C163" s="17" t="n">
        <v>44377</v>
      </c>
      <c r="D163" s="18" t="n">
        <v>27150</v>
      </c>
      <c r="E163" s="17" t="n">
        <v>44425</v>
      </c>
      <c r="F163" s="18" t="n">
        <v>27500</v>
      </c>
      <c r="G163" s="12" t="n">
        <v>0.0093487569060775</v>
      </c>
      <c r="H163" s="4" t="n">
        <v>33</v>
      </c>
      <c r="I163" s="7" t="s">
        <v>613</v>
      </c>
    </row>
    <row r="164" customFormat="false" ht="17.15" hidden="false" customHeight="false" outlineLevel="0" collapsed="false">
      <c r="A164" s="7" t="s">
        <v>99</v>
      </c>
      <c r="B164" s="4" t="s">
        <v>100</v>
      </c>
      <c r="C164" s="17" t="n">
        <v>44377</v>
      </c>
      <c r="D164" s="18" t="n">
        <v>30250</v>
      </c>
      <c r="E164" s="17" t="n">
        <v>44433</v>
      </c>
      <c r="F164" s="18" t="n">
        <v>24250</v>
      </c>
      <c r="G164" s="12" t="n">
        <v>-0.201150888429752</v>
      </c>
      <c r="H164" s="4" t="n">
        <v>39</v>
      </c>
      <c r="I164" s="7" t="s">
        <v>613</v>
      </c>
    </row>
    <row r="165" customFormat="false" ht="17.15" hidden="false" customHeight="false" outlineLevel="0" collapsed="false">
      <c r="A165" s="7" t="s">
        <v>322</v>
      </c>
      <c r="B165" s="7" t="s">
        <v>323</v>
      </c>
      <c r="C165" s="17" t="n">
        <v>44377</v>
      </c>
      <c r="D165" s="18" t="n">
        <v>440500</v>
      </c>
      <c r="E165" s="17" t="n">
        <v>44439</v>
      </c>
      <c r="F165" s="18" t="n">
        <v>619000</v>
      </c>
      <c r="G165" s="12" t="n">
        <v>0.400306577752554</v>
      </c>
      <c r="H165" s="4" t="n">
        <v>43</v>
      </c>
      <c r="I165" s="4" t="s">
        <v>617</v>
      </c>
    </row>
    <row r="166" customFormat="false" ht="17.15" hidden="false" customHeight="false" outlineLevel="0" collapsed="false">
      <c r="A166" s="7" t="s">
        <v>380</v>
      </c>
      <c r="B166" s="4" t="s">
        <v>381</v>
      </c>
      <c r="C166" s="17" t="n">
        <v>44407</v>
      </c>
      <c r="D166" s="18" t="n">
        <v>25100</v>
      </c>
      <c r="E166" s="17" t="n">
        <v>44439</v>
      </c>
      <c r="F166" s="18" t="n">
        <v>28750</v>
      </c>
      <c r="G166" s="12" t="n">
        <v>0.141412226095618</v>
      </c>
      <c r="H166" s="4" t="n">
        <v>21</v>
      </c>
      <c r="I166" s="4" t="s">
        <v>617</v>
      </c>
    </row>
    <row r="167" customFormat="false" ht="17.15" hidden="false" customHeight="false" outlineLevel="0" collapsed="false">
      <c r="A167" s="7" t="s">
        <v>354</v>
      </c>
      <c r="B167" s="4" t="s">
        <v>355</v>
      </c>
      <c r="C167" s="17" t="n">
        <v>44407</v>
      </c>
      <c r="D167" s="18" t="n">
        <v>150400</v>
      </c>
      <c r="E167" s="17" t="n">
        <v>44439</v>
      </c>
      <c r="F167" s="18" t="n">
        <v>141700</v>
      </c>
      <c r="G167" s="12" t="n">
        <v>-0.0611409291888297</v>
      </c>
      <c r="H167" s="4" t="n">
        <v>21</v>
      </c>
      <c r="I167" s="4" t="s">
        <v>617</v>
      </c>
    </row>
    <row r="168" customFormat="false" ht="17.15" hidden="false" customHeight="false" outlineLevel="0" collapsed="false">
      <c r="A168" s="7" t="s">
        <v>372</v>
      </c>
      <c r="B168" s="4" t="s">
        <v>373</v>
      </c>
      <c r="C168" s="17" t="n">
        <v>44924</v>
      </c>
      <c r="D168" s="18" t="n">
        <v>11250</v>
      </c>
      <c r="E168" s="17" t="n">
        <v>44929</v>
      </c>
      <c r="F168" s="18" t="n">
        <v>10600</v>
      </c>
      <c r="G168" s="12" t="n">
        <v>-0.0610731999999998</v>
      </c>
      <c r="H168" s="4" t="n">
        <v>2</v>
      </c>
      <c r="I168" s="7" t="s">
        <v>613</v>
      </c>
    </row>
    <row r="169" customFormat="false" ht="17.15" hidden="false" customHeight="false" outlineLevel="0" collapsed="false">
      <c r="A169" s="7" t="s">
        <v>110</v>
      </c>
      <c r="B169" s="4" t="s">
        <v>111</v>
      </c>
      <c r="C169" s="17" t="n">
        <v>44924</v>
      </c>
      <c r="D169" s="18" t="n">
        <v>174476</v>
      </c>
      <c r="E169" s="17" t="n">
        <v>44929</v>
      </c>
      <c r="F169" s="18" t="n">
        <v>185138</v>
      </c>
      <c r="G169" s="12" t="n">
        <v>0.0573974635193382</v>
      </c>
      <c r="H169" s="4" t="n">
        <v>2</v>
      </c>
      <c r="I169" s="7" t="s">
        <v>613</v>
      </c>
    </row>
    <row r="170" customFormat="false" ht="17.15" hidden="false" customHeight="false" outlineLevel="0" collapsed="false">
      <c r="A170" s="7" t="s">
        <v>455</v>
      </c>
      <c r="B170" s="7" t="s">
        <v>456</v>
      </c>
      <c r="C170" s="17" t="n">
        <v>44924</v>
      </c>
      <c r="D170" s="18" t="n">
        <v>42500</v>
      </c>
      <c r="E170" s="17" t="n">
        <v>44932</v>
      </c>
      <c r="F170" s="18" t="n">
        <v>37350</v>
      </c>
      <c r="G170" s="12" t="n">
        <v>-0.124250155882353</v>
      </c>
      <c r="H170" s="4" t="n">
        <v>5</v>
      </c>
      <c r="I170" s="7" t="s">
        <v>613</v>
      </c>
    </row>
    <row r="171" customFormat="false" ht="17.15" hidden="false" customHeight="false" outlineLevel="0" collapsed="false">
      <c r="A171" s="7" t="s">
        <v>374</v>
      </c>
      <c r="B171" s="4" t="s">
        <v>375</v>
      </c>
      <c r="C171" s="17" t="n">
        <v>44924</v>
      </c>
      <c r="D171" s="18" t="n">
        <v>74972</v>
      </c>
      <c r="E171" s="17" t="n">
        <v>44932</v>
      </c>
      <c r="F171" s="18" t="n">
        <v>67229</v>
      </c>
      <c r="G171" s="12" t="n">
        <v>-0.106414840573814</v>
      </c>
      <c r="H171" s="4" t="n">
        <v>5</v>
      </c>
      <c r="I171" s="7" t="s">
        <v>613</v>
      </c>
    </row>
    <row r="172" customFormat="false" ht="17.15" hidden="false" customHeight="false" outlineLevel="0" collapsed="false">
      <c r="A172" s="7" t="s">
        <v>455</v>
      </c>
      <c r="B172" s="7" t="s">
        <v>456</v>
      </c>
      <c r="C172" s="17" t="n">
        <v>44957</v>
      </c>
      <c r="D172" s="18" t="n">
        <v>40050</v>
      </c>
      <c r="E172" s="17" t="n">
        <v>44959</v>
      </c>
      <c r="F172" s="18" t="n">
        <v>39500</v>
      </c>
      <c r="G172" s="12" t="n">
        <v>-0.0171823033707864</v>
      </c>
      <c r="H172" s="4" t="n">
        <v>2</v>
      </c>
      <c r="I172" s="7" t="s">
        <v>613</v>
      </c>
    </row>
    <row r="173" customFormat="false" ht="17.15" hidden="false" customHeight="false" outlineLevel="0" collapsed="false">
      <c r="A173" s="7" t="s">
        <v>372</v>
      </c>
      <c r="B173" s="4" t="s">
        <v>373</v>
      </c>
      <c r="C173" s="17" t="n">
        <v>44957</v>
      </c>
      <c r="D173" s="18" t="n">
        <v>11060</v>
      </c>
      <c r="E173" s="17" t="n">
        <v>44965</v>
      </c>
      <c r="F173" s="18" t="n">
        <v>10900</v>
      </c>
      <c r="G173" s="12" t="n">
        <v>-0.0179134493670884</v>
      </c>
      <c r="H173" s="4" t="n">
        <v>6</v>
      </c>
      <c r="I173" s="7" t="s">
        <v>613</v>
      </c>
    </row>
    <row r="174" customFormat="false" ht="17.15" hidden="false" customHeight="false" outlineLevel="0" collapsed="false">
      <c r="A174" s="7" t="s">
        <v>332</v>
      </c>
      <c r="B174" s="7" t="s">
        <v>333</v>
      </c>
      <c r="C174" s="17" t="n">
        <v>44924</v>
      </c>
      <c r="D174" s="18" t="n">
        <v>7080</v>
      </c>
      <c r="E174" s="17" t="n">
        <v>44978</v>
      </c>
      <c r="F174" s="18" t="n">
        <v>6230</v>
      </c>
      <c r="G174" s="12" t="n">
        <v>-0.123134099576271</v>
      </c>
      <c r="H174" s="4" t="n">
        <v>35</v>
      </c>
      <c r="I174" s="7" t="s">
        <v>613</v>
      </c>
    </row>
    <row r="175" customFormat="false" ht="17.15" hidden="false" customHeight="false" outlineLevel="0" collapsed="false">
      <c r="A175" s="7" t="s">
        <v>380</v>
      </c>
      <c r="B175" s="4" t="s">
        <v>381</v>
      </c>
      <c r="C175" s="17" t="n">
        <v>44924</v>
      </c>
      <c r="D175" s="18" t="n">
        <v>42700</v>
      </c>
      <c r="E175" s="17" t="n">
        <v>44980</v>
      </c>
      <c r="F175" s="18" t="n">
        <v>41050</v>
      </c>
      <c r="G175" s="12" t="n">
        <v>-0.0420040368852458</v>
      </c>
      <c r="H175" s="4" t="n">
        <v>37</v>
      </c>
      <c r="I175" s="7" t="s">
        <v>613</v>
      </c>
    </row>
    <row r="176" customFormat="false" ht="15" hidden="false" customHeight="false" outlineLevel="0" collapsed="false">
      <c r="A176" s="7" t="s">
        <v>393</v>
      </c>
      <c r="B176" s="4" t="s">
        <v>394</v>
      </c>
      <c r="C176" s="17" t="n">
        <v>44924</v>
      </c>
      <c r="D176" s="18" t="n">
        <v>36450</v>
      </c>
      <c r="E176" s="17" t="n">
        <v>44985</v>
      </c>
      <c r="F176" s="18" t="n">
        <v>48400</v>
      </c>
      <c r="G176" s="12" t="n">
        <v>0.323202222222222</v>
      </c>
      <c r="H176" s="4" t="n">
        <v>40</v>
      </c>
      <c r="I176" s="4" t="s">
        <v>614</v>
      </c>
    </row>
    <row r="177" customFormat="false" ht="15" hidden="false" customHeight="false" outlineLevel="0" collapsed="false">
      <c r="A177" s="7" t="s">
        <v>110</v>
      </c>
      <c r="B177" s="4" t="s">
        <v>111</v>
      </c>
      <c r="C177" s="17" t="n">
        <v>44957</v>
      </c>
      <c r="D177" s="18" t="n">
        <v>217126</v>
      </c>
      <c r="E177" s="17" t="n">
        <v>44985</v>
      </c>
      <c r="F177" s="18" t="n">
        <v>214218</v>
      </c>
      <c r="G177" s="12" t="n">
        <v>-0.0168438024695339</v>
      </c>
      <c r="H177" s="4" t="n">
        <v>20</v>
      </c>
      <c r="I177" s="4" t="s">
        <v>614</v>
      </c>
    </row>
    <row r="178" customFormat="false" ht="17.15" hidden="false" customHeight="false" outlineLevel="0" collapsed="false">
      <c r="A178" s="7" t="s">
        <v>380</v>
      </c>
      <c r="B178" s="4" t="s">
        <v>381</v>
      </c>
      <c r="C178" s="17" t="n">
        <v>44985</v>
      </c>
      <c r="D178" s="18" t="n">
        <v>45000</v>
      </c>
      <c r="E178" s="17" t="n">
        <v>44991</v>
      </c>
      <c r="F178" s="18" t="n">
        <v>41700</v>
      </c>
      <c r="G178" s="12" t="n">
        <v>-0.07657435</v>
      </c>
      <c r="H178" s="4" t="n">
        <v>3</v>
      </c>
      <c r="I178" s="7" t="s">
        <v>613</v>
      </c>
    </row>
    <row r="179" customFormat="false" ht="17.15" hidden="false" customHeight="false" outlineLevel="0" collapsed="false">
      <c r="A179" s="7" t="s">
        <v>340</v>
      </c>
      <c r="B179" s="4" t="s">
        <v>341</v>
      </c>
      <c r="C179" s="17" t="n">
        <v>44985</v>
      </c>
      <c r="D179" s="18" t="n">
        <v>127600</v>
      </c>
      <c r="E179" s="17" t="n">
        <v>45013</v>
      </c>
      <c r="F179" s="18" t="n">
        <v>88200</v>
      </c>
      <c r="G179" s="12" t="n">
        <v>-0.311194980407524</v>
      </c>
      <c r="H179" s="4" t="n">
        <v>19</v>
      </c>
      <c r="I179" s="7" t="s">
        <v>613</v>
      </c>
    </row>
    <row r="180" customFormat="false" ht="15" hidden="false" customHeight="false" outlineLevel="0" collapsed="false">
      <c r="A180" s="7" t="s">
        <v>129</v>
      </c>
      <c r="B180" s="4" t="s">
        <v>130</v>
      </c>
      <c r="C180" s="17" t="n">
        <v>44985</v>
      </c>
      <c r="D180" s="18" t="n">
        <v>41080</v>
      </c>
      <c r="E180" s="17" t="n">
        <v>45016</v>
      </c>
      <c r="F180" s="18" t="n">
        <v>49050</v>
      </c>
      <c r="G180" s="12" t="n">
        <v>0.189835628651412</v>
      </c>
      <c r="H180" s="4" t="n">
        <v>22</v>
      </c>
      <c r="I180" s="4" t="s">
        <v>614</v>
      </c>
    </row>
    <row r="181" customFormat="false" ht="15" hidden="false" customHeight="false" outlineLevel="0" collapsed="false">
      <c r="A181" s="7" t="s">
        <v>383</v>
      </c>
      <c r="B181" s="4" t="s">
        <v>384</v>
      </c>
      <c r="C181" s="17" t="n">
        <v>44985</v>
      </c>
      <c r="D181" s="18" t="n">
        <v>218500</v>
      </c>
      <c r="E181" s="17" t="n">
        <v>45016</v>
      </c>
      <c r="F181" s="18" t="n">
        <v>221500</v>
      </c>
      <c r="G181" s="12" t="n">
        <v>0.0101844565217393</v>
      </c>
      <c r="H181" s="4" t="n">
        <v>22</v>
      </c>
      <c r="I181" s="4" t="s">
        <v>614</v>
      </c>
    </row>
    <row r="182" customFormat="false" ht="17.15" hidden="false" customHeight="false" outlineLevel="0" collapsed="false">
      <c r="A182" s="7" t="s">
        <v>395</v>
      </c>
      <c r="B182" s="4" t="s">
        <v>396</v>
      </c>
      <c r="C182" s="17" t="n">
        <v>44924</v>
      </c>
      <c r="D182" s="18" t="n">
        <v>14750</v>
      </c>
      <c r="E182" s="17" t="n">
        <v>45026</v>
      </c>
      <c r="F182" s="18" t="n">
        <v>27600</v>
      </c>
      <c r="G182" s="12" t="n">
        <v>0.864641966101695</v>
      </c>
      <c r="H182" s="4" t="n">
        <v>68</v>
      </c>
      <c r="I182" s="7" t="s">
        <v>613</v>
      </c>
    </row>
    <row r="183" customFormat="false" ht="17.15" hidden="false" customHeight="false" outlineLevel="0" collapsed="false">
      <c r="A183" s="7" t="s">
        <v>397</v>
      </c>
      <c r="B183" s="4" t="s">
        <v>398</v>
      </c>
      <c r="C183" s="17" t="n">
        <v>44924</v>
      </c>
      <c r="D183" s="18" t="n">
        <v>30950</v>
      </c>
      <c r="E183" s="17" t="n">
        <v>45037</v>
      </c>
      <c r="F183" s="18" t="n">
        <v>46750</v>
      </c>
      <c r="G183" s="12" t="n">
        <v>0.505217831179321</v>
      </c>
      <c r="H183" s="4" t="n">
        <v>77</v>
      </c>
      <c r="I183" s="7" t="s">
        <v>613</v>
      </c>
    </row>
    <row r="184" customFormat="false" ht="17.15" hidden="false" customHeight="false" outlineLevel="0" collapsed="false">
      <c r="A184" s="7" t="s">
        <v>399</v>
      </c>
      <c r="B184" s="4" t="s">
        <v>400</v>
      </c>
      <c r="C184" s="17" t="n">
        <v>44957</v>
      </c>
      <c r="D184" s="18" t="n">
        <v>78200</v>
      </c>
      <c r="E184" s="17" t="n">
        <v>45043</v>
      </c>
      <c r="F184" s="18" t="n">
        <v>97900</v>
      </c>
      <c r="G184" s="12" t="n">
        <v>0.247539574808184</v>
      </c>
      <c r="H184" s="4" t="n">
        <v>61</v>
      </c>
      <c r="I184" s="7" t="s">
        <v>613</v>
      </c>
    </row>
    <row r="185" customFormat="false" ht="15" hidden="false" customHeight="false" outlineLevel="0" collapsed="false">
      <c r="A185" s="7" t="s">
        <v>389</v>
      </c>
      <c r="B185" s="4" t="s">
        <v>390</v>
      </c>
      <c r="C185" s="17" t="n">
        <v>44924</v>
      </c>
      <c r="D185" s="18" t="n">
        <v>4645</v>
      </c>
      <c r="E185" s="17" t="n">
        <v>45044</v>
      </c>
      <c r="F185" s="18" t="n">
        <v>6320</v>
      </c>
      <c r="G185" s="12" t="n">
        <v>0.355844090419806</v>
      </c>
      <c r="H185" s="4" t="n">
        <v>82</v>
      </c>
      <c r="I185" s="4" t="s">
        <v>614</v>
      </c>
    </row>
    <row r="186" customFormat="false" ht="17.15" hidden="false" customHeight="false" outlineLevel="0" collapsed="false">
      <c r="A186" s="7" t="s">
        <v>395</v>
      </c>
      <c r="B186" s="4" t="s">
        <v>396</v>
      </c>
      <c r="C186" s="17" t="n">
        <v>45044</v>
      </c>
      <c r="D186" s="18" t="n">
        <v>23650</v>
      </c>
      <c r="E186" s="17" t="n">
        <v>45049</v>
      </c>
      <c r="F186" s="18" t="n">
        <v>26200</v>
      </c>
      <c r="G186" s="12" t="n">
        <v>0.103947801268499</v>
      </c>
      <c r="H186" s="4" t="n">
        <v>2</v>
      </c>
      <c r="I186" s="7" t="s">
        <v>613</v>
      </c>
    </row>
    <row r="187" customFormat="false" ht="17.15" hidden="false" customHeight="false" outlineLevel="0" collapsed="false">
      <c r="A187" s="7" t="s">
        <v>399</v>
      </c>
      <c r="B187" s="4" t="s">
        <v>400</v>
      </c>
      <c r="C187" s="17" t="n">
        <v>45044</v>
      </c>
      <c r="D187" s="18" t="n">
        <v>96100</v>
      </c>
      <c r="E187" s="17" t="n">
        <v>45050</v>
      </c>
      <c r="F187" s="18" t="n">
        <v>99300</v>
      </c>
      <c r="G187" s="12" t="n">
        <v>0.0296846852237254</v>
      </c>
      <c r="H187" s="4" t="n">
        <v>3</v>
      </c>
      <c r="I187" s="7" t="s">
        <v>613</v>
      </c>
    </row>
    <row r="188" customFormat="false" ht="17.15" hidden="false" customHeight="false" outlineLevel="0" collapsed="false">
      <c r="A188" s="7" t="s">
        <v>120</v>
      </c>
      <c r="B188" s="4" t="s">
        <v>121</v>
      </c>
      <c r="C188" s="17" t="n">
        <v>45016</v>
      </c>
      <c r="D188" s="18" t="n">
        <v>80900</v>
      </c>
      <c r="E188" s="17" t="n">
        <v>45054</v>
      </c>
      <c r="F188" s="18" t="n">
        <v>62700</v>
      </c>
      <c r="G188" s="12" t="n">
        <v>-0.227679768232386</v>
      </c>
      <c r="H188" s="4" t="n">
        <v>24</v>
      </c>
      <c r="I188" s="7" t="s">
        <v>613</v>
      </c>
    </row>
    <row r="189" customFormat="false" ht="17.15" hidden="false" customHeight="false" outlineLevel="0" collapsed="false">
      <c r="A189" s="7" t="s">
        <v>383</v>
      </c>
      <c r="B189" s="4" t="s">
        <v>384</v>
      </c>
      <c r="C189" s="17" t="n">
        <v>45044</v>
      </c>
      <c r="D189" s="18" t="n">
        <v>236000</v>
      </c>
      <c r="E189" s="17" t="n">
        <v>45063</v>
      </c>
      <c r="F189" s="18" t="n">
        <v>224000</v>
      </c>
      <c r="G189" s="12" t="n">
        <v>-0.0541671186440678</v>
      </c>
      <c r="H189" s="4" t="n">
        <v>11</v>
      </c>
      <c r="I189" s="7" t="s">
        <v>613</v>
      </c>
    </row>
    <row r="190" customFormat="false" ht="17.15" hidden="false" customHeight="false" outlineLevel="0" collapsed="false">
      <c r="A190" s="7" t="s">
        <v>618</v>
      </c>
      <c r="B190" s="4" t="s">
        <v>619</v>
      </c>
      <c r="C190" s="17" t="n">
        <v>45016</v>
      </c>
      <c r="D190" s="18" t="n">
        <v>220966</v>
      </c>
      <c r="E190" s="17" t="n">
        <v>45068</v>
      </c>
      <c r="F190" s="18" t="n">
        <v>221950</v>
      </c>
      <c r="G190" s="12" t="n">
        <v>0.00094009881610746</v>
      </c>
      <c r="H190" s="4" t="n">
        <v>34</v>
      </c>
      <c r="I190" s="7" t="s">
        <v>613</v>
      </c>
    </row>
    <row r="191" customFormat="false" ht="15" hidden="false" customHeight="false" outlineLevel="0" collapsed="false">
      <c r="A191" s="7" t="s">
        <v>465</v>
      </c>
      <c r="B191" s="4" t="s">
        <v>466</v>
      </c>
      <c r="C191" s="17" t="n">
        <v>45044</v>
      </c>
      <c r="D191" s="18" t="n">
        <v>42590</v>
      </c>
      <c r="E191" s="17" t="n">
        <v>45077</v>
      </c>
      <c r="F191" s="18" t="n">
        <v>38987</v>
      </c>
      <c r="G191" s="12" t="n">
        <v>-0.0877989441770368</v>
      </c>
      <c r="H191" s="4" t="n">
        <v>20</v>
      </c>
      <c r="I191" s="4" t="s">
        <v>614</v>
      </c>
    </row>
    <row r="192" customFormat="false" ht="17.15" hidden="false" customHeight="false" outlineLevel="0" collapsed="false">
      <c r="A192" s="7" t="s">
        <v>399</v>
      </c>
      <c r="B192" s="4" t="s">
        <v>400</v>
      </c>
      <c r="C192" s="17" t="n">
        <v>45077</v>
      </c>
      <c r="D192" s="18" t="n">
        <v>103900</v>
      </c>
      <c r="E192" s="17" t="n">
        <v>45079</v>
      </c>
      <c r="F192" s="18" t="n">
        <v>104800</v>
      </c>
      <c r="G192" s="12" t="n">
        <v>0.00513437921077964</v>
      </c>
      <c r="H192" s="4" t="n">
        <v>2</v>
      </c>
      <c r="I192" s="7" t="s">
        <v>613</v>
      </c>
    </row>
    <row r="193" customFormat="false" ht="17.15" hidden="false" customHeight="false" outlineLevel="0" collapsed="false">
      <c r="A193" s="7" t="s">
        <v>395</v>
      </c>
      <c r="B193" s="4" t="s">
        <v>396</v>
      </c>
      <c r="C193" s="17" t="n">
        <v>45077</v>
      </c>
      <c r="D193" s="18" t="n">
        <v>26050</v>
      </c>
      <c r="E193" s="17" t="n">
        <v>45079</v>
      </c>
      <c r="F193" s="18" t="n">
        <v>26500</v>
      </c>
      <c r="G193" s="12" t="n">
        <v>0.0137165547024953</v>
      </c>
      <c r="H193" s="4" t="n">
        <v>2</v>
      </c>
      <c r="I193" s="7" t="s">
        <v>613</v>
      </c>
    </row>
    <row r="194" customFormat="false" ht="17.15" hidden="false" customHeight="false" outlineLevel="0" collapsed="false">
      <c r="A194" s="7" t="s">
        <v>405</v>
      </c>
      <c r="B194" s="4" t="s">
        <v>406</v>
      </c>
      <c r="C194" s="17" t="n">
        <v>45016</v>
      </c>
      <c r="D194" s="18" t="n">
        <v>55300</v>
      </c>
      <c r="E194" s="17" t="n">
        <v>45090</v>
      </c>
      <c r="F194" s="18" t="n">
        <v>50900</v>
      </c>
      <c r="G194" s="12" t="n">
        <v>-0.0827852215189874</v>
      </c>
      <c r="H194" s="4" t="n">
        <v>48</v>
      </c>
      <c r="I194" s="7" t="s">
        <v>613</v>
      </c>
    </row>
    <row r="195" customFormat="false" ht="17.15" hidden="false" customHeight="false" outlineLevel="0" collapsed="false">
      <c r="A195" s="7" t="s">
        <v>328</v>
      </c>
      <c r="B195" s="4" t="s">
        <v>329</v>
      </c>
      <c r="C195" s="17" t="n">
        <v>45016</v>
      </c>
      <c r="D195" s="18" t="n">
        <v>20700</v>
      </c>
      <c r="E195" s="17" t="n">
        <v>45106</v>
      </c>
      <c r="F195" s="18" t="n">
        <v>23000</v>
      </c>
      <c r="G195" s="12" t="n">
        <v>0.107225</v>
      </c>
      <c r="H195" s="4" t="n">
        <v>60</v>
      </c>
      <c r="I195" s="7" t="s">
        <v>613</v>
      </c>
    </row>
    <row r="196" customFormat="false" ht="17.15" hidden="false" customHeight="false" outlineLevel="0" collapsed="false">
      <c r="A196" s="7" t="s">
        <v>618</v>
      </c>
      <c r="B196" s="4" t="s">
        <v>619</v>
      </c>
      <c r="C196" s="17" t="n">
        <v>45077</v>
      </c>
      <c r="D196" s="18" t="n">
        <v>245080</v>
      </c>
      <c r="E196" s="17" t="n">
        <v>45106</v>
      </c>
      <c r="F196" s="18" t="n">
        <v>239175</v>
      </c>
      <c r="G196" s="12" t="n">
        <v>-0.0275074039599315</v>
      </c>
      <c r="H196" s="4" t="n">
        <v>20</v>
      </c>
      <c r="I196" s="7" t="s">
        <v>613</v>
      </c>
    </row>
    <row r="197" customFormat="false" ht="17.15" hidden="false" customHeight="false" outlineLevel="0" collapsed="false">
      <c r="A197" s="7" t="s">
        <v>328</v>
      </c>
      <c r="B197" s="4" t="s">
        <v>329</v>
      </c>
      <c r="C197" s="17" t="n">
        <v>45107</v>
      </c>
      <c r="D197" s="18" t="n">
        <v>23100</v>
      </c>
      <c r="E197" s="17" t="n">
        <v>45111</v>
      </c>
      <c r="F197" s="18" t="n">
        <v>25000</v>
      </c>
      <c r="G197" s="12" t="n">
        <v>0.0784659090909092</v>
      </c>
      <c r="H197" s="4" t="n">
        <v>2</v>
      </c>
      <c r="I197" s="7" t="s">
        <v>613</v>
      </c>
    </row>
    <row r="198" customFormat="false" ht="17.15" hidden="false" customHeight="false" outlineLevel="0" collapsed="false">
      <c r="A198" s="7" t="s">
        <v>405</v>
      </c>
      <c r="B198" s="4" t="s">
        <v>406</v>
      </c>
      <c r="C198" s="17" t="n">
        <v>45107</v>
      </c>
      <c r="D198" s="18" t="n">
        <v>52000</v>
      </c>
      <c r="E198" s="17" t="n">
        <v>45111</v>
      </c>
      <c r="F198" s="18" t="n">
        <v>51800</v>
      </c>
      <c r="G198" s="12" t="n">
        <v>-0.00733020192307676</v>
      </c>
      <c r="H198" s="4" t="n">
        <v>2</v>
      </c>
      <c r="I198" s="7" t="s">
        <v>613</v>
      </c>
    </row>
    <row r="199" customFormat="false" ht="15" hidden="false" customHeight="false" outlineLevel="0" collapsed="false">
      <c r="A199" s="7" t="s">
        <v>457</v>
      </c>
      <c r="B199" s="4" t="s">
        <v>458</v>
      </c>
      <c r="C199" s="17" t="n">
        <v>45077</v>
      </c>
      <c r="D199" s="18" t="n">
        <v>5670</v>
      </c>
      <c r="E199" s="17" t="n">
        <v>45138</v>
      </c>
      <c r="F199" s="18" t="n">
        <v>7500</v>
      </c>
      <c r="G199" s="12" t="n">
        <v>0.318125</v>
      </c>
      <c r="H199" s="4" t="n">
        <v>42</v>
      </c>
      <c r="I199" s="4" t="s">
        <v>614</v>
      </c>
    </row>
    <row r="200" customFormat="false" ht="15" hidden="false" customHeight="false" outlineLevel="0" collapsed="false">
      <c r="A200" s="7" t="s">
        <v>401</v>
      </c>
      <c r="B200" s="4" t="s">
        <v>402</v>
      </c>
      <c r="C200" s="17" t="n">
        <v>45107</v>
      </c>
      <c r="D200" s="18" t="n">
        <v>18440</v>
      </c>
      <c r="E200" s="17" t="n">
        <v>45138</v>
      </c>
      <c r="F200" s="18" t="n">
        <v>17630</v>
      </c>
      <c r="G200" s="12" t="n">
        <v>-0.0472701152386116</v>
      </c>
      <c r="H200" s="4" t="n">
        <v>21</v>
      </c>
      <c r="I200" s="4" t="s">
        <v>614</v>
      </c>
    </row>
    <row r="201" customFormat="false" ht="15" hidden="false" customHeight="false" outlineLevel="0" collapsed="false">
      <c r="A201" s="7" t="s">
        <v>185</v>
      </c>
      <c r="B201" s="4" t="s">
        <v>186</v>
      </c>
      <c r="C201" s="17" t="n">
        <v>45107</v>
      </c>
      <c r="D201" s="18" t="n">
        <v>36800</v>
      </c>
      <c r="E201" s="17" t="n">
        <v>45138</v>
      </c>
      <c r="F201" s="18" t="n">
        <v>41100</v>
      </c>
      <c r="G201" s="12" t="n">
        <v>0.112941650815218</v>
      </c>
      <c r="H201" s="4" t="n">
        <v>21</v>
      </c>
      <c r="I201" s="4" t="s">
        <v>614</v>
      </c>
    </row>
    <row r="202" customFormat="false" ht="17.15" hidden="false" customHeight="false" outlineLevel="0" collapsed="false">
      <c r="A202" s="7" t="s">
        <v>409</v>
      </c>
      <c r="B202" s="4" t="s">
        <v>410</v>
      </c>
      <c r="C202" s="17" t="n">
        <v>45044</v>
      </c>
      <c r="D202" s="18" t="n">
        <v>13800</v>
      </c>
      <c r="E202" s="17" t="n">
        <v>45146</v>
      </c>
      <c r="F202" s="18" t="n">
        <v>17400</v>
      </c>
      <c r="G202" s="12" t="n">
        <v>0.256459673913044</v>
      </c>
      <c r="H202" s="4" t="n">
        <v>68</v>
      </c>
      <c r="I202" s="7" t="s">
        <v>613</v>
      </c>
    </row>
    <row r="203" customFormat="false" ht="17.15" hidden="false" customHeight="false" outlineLevel="0" collapsed="false">
      <c r="A203" s="7" t="s">
        <v>328</v>
      </c>
      <c r="B203" s="4" t="s">
        <v>329</v>
      </c>
      <c r="C203" s="17" t="n">
        <v>45138</v>
      </c>
      <c r="D203" s="18" t="n">
        <v>36650</v>
      </c>
      <c r="E203" s="17" t="n">
        <v>45155</v>
      </c>
      <c r="F203" s="18" t="n">
        <v>26700</v>
      </c>
      <c r="G203" s="12" t="n">
        <v>-0.274035013642565</v>
      </c>
      <c r="H203" s="4" t="n">
        <v>12</v>
      </c>
      <c r="I203" s="7" t="s">
        <v>613</v>
      </c>
    </row>
    <row r="204" customFormat="false" ht="15" hidden="false" customHeight="false" outlineLevel="0" collapsed="false">
      <c r="A204" s="7" t="s">
        <v>618</v>
      </c>
      <c r="B204" s="4" t="s">
        <v>619</v>
      </c>
      <c r="C204" s="17" t="n">
        <v>45138</v>
      </c>
      <c r="D204" s="18" t="n">
        <v>412404</v>
      </c>
      <c r="E204" s="17" t="n">
        <v>45169</v>
      </c>
      <c r="F204" s="18" t="n">
        <v>319392</v>
      </c>
      <c r="G204" s="12" t="n">
        <v>-0.22824481217447</v>
      </c>
      <c r="H204" s="4" t="n">
        <v>22</v>
      </c>
      <c r="I204" s="4" t="s">
        <v>614</v>
      </c>
    </row>
    <row r="205" customFormat="false" ht="17.15" hidden="false" customHeight="false" outlineLevel="0" collapsed="false">
      <c r="A205" s="7" t="s">
        <v>115</v>
      </c>
      <c r="B205" s="4" t="s">
        <v>116</v>
      </c>
      <c r="C205" s="17" t="n">
        <v>44985</v>
      </c>
      <c r="D205" s="18" t="n">
        <v>56016</v>
      </c>
      <c r="E205" s="17" t="n">
        <v>45177</v>
      </c>
      <c r="F205" s="18" t="n">
        <v>197773</v>
      </c>
      <c r="G205" s="12" t="n">
        <v>2.51830350136568</v>
      </c>
      <c r="H205" s="4" t="n">
        <v>132</v>
      </c>
      <c r="I205" s="7" t="s">
        <v>613</v>
      </c>
    </row>
    <row r="206" customFormat="false" ht="17.15" hidden="false" customHeight="false" outlineLevel="0" collapsed="false">
      <c r="A206" s="7" t="s">
        <v>147</v>
      </c>
      <c r="B206" s="4" t="s">
        <v>148</v>
      </c>
      <c r="C206" s="17" t="n">
        <v>45077</v>
      </c>
      <c r="D206" s="18" t="n">
        <v>14227</v>
      </c>
      <c r="E206" s="17" t="n">
        <v>45180</v>
      </c>
      <c r="F206" s="18" t="n">
        <v>29029</v>
      </c>
      <c r="G206" s="12" t="n">
        <v>1.03327975486751</v>
      </c>
      <c r="H206" s="4" t="n">
        <v>71</v>
      </c>
      <c r="I206" s="7" t="s">
        <v>613</v>
      </c>
    </row>
    <row r="207" customFormat="false" ht="17.15" hidden="false" customHeight="false" outlineLevel="0" collapsed="false">
      <c r="A207" s="7" t="s">
        <v>405</v>
      </c>
      <c r="B207" s="4" t="s">
        <v>406</v>
      </c>
      <c r="C207" s="17" t="n">
        <v>45138</v>
      </c>
      <c r="D207" s="18" t="n">
        <v>81100</v>
      </c>
      <c r="E207" s="17" t="n">
        <v>45188</v>
      </c>
      <c r="F207" s="18" t="n">
        <v>69000</v>
      </c>
      <c r="G207" s="12" t="n">
        <v>-0.152174198520345</v>
      </c>
      <c r="H207" s="4" t="n">
        <v>35</v>
      </c>
      <c r="I207" s="7" t="s">
        <v>613</v>
      </c>
    </row>
    <row r="208" customFormat="false" ht="17.15" hidden="false" customHeight="false" outlineLevel="0" collapsed="false">
      <c r="A208" s="7" t="s">
        <v>413</v>
      </c>
      <c r="B208" s="4" t="s">
        <v>414</v>
      </c>
      <c r="C208" s="17" t="n">
        <v>45107</v>
      </c>
      <c r="D208" s="18" t="n">
        <v>21250</v>
      </c>
      <c r="E208" s="17" t="n">
        <v>45189</v>
      </c>
      <c r="F208" s="18" t="n">
        <v>24200</v>
      </c>
      <c r="G208" s="12" t="n">
        <v>0.134840494117647</v>
      </c>
      <c r="H208" s="4" t="n">
        <v>57</v>
      </c>
      <c r="I208" s="7" t="s">
        <v>613</v>
      </c>
    </row>
    <row r="209" customFormat="false" ht="17.15" hidden="false" customHeight="false" outlineLevel="0" collapsed="false">
      <c r="A209" s="7" t="s">
        <v>308</v>
      </c>
      <c r="B209" s="4" t="s">
        <v>309</v>
      </c>
      <c r="C209" s="17" t="n">
        <v>45138</v>
      </c>
      <c r="D209" s="18" t="n">
        <v>34750</v>
      </c>
      <c r="E209" s="17" t="n">
        <v>45196</v>
      </c>
      <c r="F209" s="18" t="n">
        <v>54200</v>
      </c>
      <c r="G209" s="12" t="n">
        <v>0.554257136690648</v>
      </c>
      <c r="H209" s="4" t="n">
        <v>41</v>
      </c>
      <c r="I209" s="4" t="s">
        <v>617</v>
      </c>
    </row>
    <row r="210" customFormat="false" ht="17.15" hidden="false" customHeight="false" outlineLevel="0" collapsed="false">
      <c r="A210" s="7" t="s">
        <v>122</v>
      </c>
      <c r="B210" s="4" t="s">
        <v>123</v>
      </c>
      <c r="C210" s="17" t="n">
        <v>45138</v>
      </c>
      <c r="D210" s="18" t="n">
        <v>90100</v>
      </c>
      <c r="E210" s="17" t="n">
        <v>45196</v>
      </c>
      <c r="F210" s="18" t="n">
        <v>71400</v>
      </c>
      <c r="G210" s="12" t="n">
        <v>-0.210318773584906</v>
      </c>
      <c r="H210" s="4" t="n">
        <v>41</v>
      </c>
      <c r="I210" s="4" t="s">
        <v>617</v>
      </c>
    </row>
    <row r="211" customFormat="false" ht="17.15" hidden="false" customHeight="false" outlineLevel="0" collapsed="false">
      <c r="A211" s="7" t="s">
        <v>280</v>
      </c>
      <c r="B211" s="4" t="s">
        <v>281</v>
      </c>
      <c r="C211" s="17" t="n">
        <v>45169</v>
      </c>
      <c r="D211" s="18" t="n">
        <v>48250</v>
      </c>
      <c r="E211" s="17" t="n">
        <v>45196</v>
      </c>
      <c r="F211" s="18" t="n">
        <v>41600</v>
      </c>
      <c r="G211" s="12" t="n">
        <v>-0.140839295336788</v>
      </c>
      <c r="H211" s="4" t="n">
        <v>19</v>
      </c>
      <c r="I211" s="4" t="s">
        <v>617</v>
      </c>
    </row>
    <row r="212" customFormat="false" ht="17.15" hidden="false" customHeight="false" outlineLevel="0" collapsed="false">
      <c r="A212" s="7" t="s">
        <v>425</v>
      </c>
      <c r="B212" s="4" t="s">
        <v>426</v>
      </c>
      <c r="C212" s="17" t="n">
        <v>45169</v>
      </c>
      <c r="D212" s="18" t="n">
        <v>37795</v>
      </c>
      <c r="E212" s="17" t="n">
        <v>45196</v>
      </c>
      <c r="F212" s="18" t="n">
        <v>32611</v>
      </c>
      <c r="G212" s="12" t="n">
        <v>-0.14017877953433</v>
      </c>
      <c r="H212" s="4" t="n">
        <v>19</v>
      </c>
      <c r="I212" s="4" t="s">
        <v>617</v>
      </c>
    </row>
    <row r="213" customFormat="false" ht="17.15" hidden="false" customHeight="false" outlineLevel="0" collapsed="false">
      <c r="A213" s="7" t="s">
        <v>417</v>
      </c>
      <c r="B213" s="4" t="s">
        <v>418</v>
      </c>
      <c r="C213" s="17" t="n">
        <v>45288</v>
      </c>
      <c r="D213" s="18" t="n">
        <v>11250</v>
      </c>
      <c r="E213" s="17" t="n">
        <v>45294</v>
      </c>
      <c r="F213" s="18" t="n">
        <v>11380</v>
      </c>
      <c r="G213" s="12" t="n">
        <v>0.00801764000000005</v>
      </c>
      <c r="H213" s="4" t="n">
        <v>2</v>
      </c>
      <c r="I213" s="7" t="s">
        <v>613</v>
      </c>
    </row>
    <row r="214" customFormat="false" ht="17.15" hidden="false" customHeight="false" outlineLevel="0" collapsed="false">
      <c r="A214" s="7" t="s">
        <v>280</v>
      </c>
      <c r="B214" s="4" t="s">
        <v>281</v>
      </c>
      <c r="C214" s="17" t="n">
        <v>45288</v>
      </c>
      <c r="D214" s="18" t="n">
        <v>41150</v>
      </c>
      <c r="E214" s="17" t="n">
        <v>45294</v>
      </c>
      <c r="F214" s="18" t="n">
        <v>41600</v>
      </c>
      <c r="G214" s="12" t="n">
        <v>0.00739985419198064</v>
      </c>
      <c r="H214" s="4" t="n">
        <v>2</v>
      </c>
      <c r="I214" s="7" t="s">
        <v>613</v>
      </c>
    </row>
    <row r="215" customFormat="false" ht="17.15" hidden="false" customHeight="false" outlineLevel="0" collapsed="false">
      <c r="A215" s="7" t="s">
        <v>348</v>
      </c>
      <c r="B215" s="4" t="s">
        <v>349</v>
      </c>
      <c r="C215" s="17" t="n">
        <v>45288</v>
      </c>
      <c r="D215" s="18" t="n">
        <v>61700</v>
      </c>
      <c r="E215" s="17" t="n">
        <v>45299</v>
      </c>
      <c r="F215" s="18" t="n">
        <v>58400</v>
      </c>
      <c r="G215" s="12" t="n">
        <v>-0.0567950405186387</v>
      </c>
      <c r="H215" s="4" t="n">
        <v>5</v>
      </c>
      <c r="I215" s="7" t="s">
        <v>613</v>
      </c>
    </row>
    <row r="216" customFormat="false" ht="17.15" hidden="false" customHeight="false" outlineLevel="0" collapsed="false">
      <c r="A216" s="7" t="s">
        <v>425</v>
      </c>
      <c r="B216" s="4" t="s">
        <v>426</v>
      </c>
      <c r="C216" s="17" t="n">
        <v>45288</v>
      </c>
      <c r="D216" s="18" t="n">
        <v>39007</v>
      </c>
      <c r="E216" s="17" t="n">
        <v>45306</v>
      </c>
      <c r="F216" s="18" t="n">
        <v>31011</v>
      </c>
      <c r="G216" s="12" t="n">
        <v>-0.207769399659036</v>
      </c>
      <c r="H216" s="4" t="n">
        <v>10</v>
      </c>
      <c r="I216" s="7" t="s">
        <v>613</v>
      </c>
    </row>
    <row r="217" customFormat="false" ht="17.15" hidden="false" customHeight="false" outlineLevel="0" collapsed="false">
      <c r="A217" s="7" t="s">
        <v>431</v>
      </c>
      <c r="B217" s="4" t="s">
        <v>432</v>
      </c>
      <c r="C217" s="17" t="n">
        <v>45288</v>
      </c>
      <c r="D217" s="18" t="n">
        <v>216000</v>
      </c>
      <c r="E217" s="17" t="n">
        <v>45307</v>
      </c>
      <c r="F217" s="18" t="n">
        <v>204500</v>
      </c>
      <c r="G217" s="12" t="n">
        <v>-0.05655203125</v>
      </c>
      <c r="H217" s="4" t="n">
        <v>11</v>
      </c>
      <c r="I217" s="7" t="s">
        <v>613</v>
      </c>
    </row>
    <row r="218" customFormat="false" ht="17.15" hidden="false" customHeight="false" outlineLevel="0" collapsed="false">
      <c r="A218" s="7" t="s">
        <v>308</v>
      </c>
      <c r="B218" s="4" t="s">
        <v>309</v>
      </c>
      <c r="C218" s="17" t="n">
        <v>45288</v>
      </c>
      <c r="D218" s="18" t="n">
        <v>74200</v>
      </c>
      <c r="E218" s="17" t="n">
        <v>45313</v>
      </c>
      <c r="F218" s="18" t="n">
        <v>56700</v>
      </c>
      <c r="G218" s="12" t="n">
        <v>-0.238521674528302</v>
      </c>
      <c r="H218" s="4" t="n">
        <v>15</v>
      </c>
      <c r="I218" s="7" t="s">
        <v>613</v>
      </c>
    </row>
    <row r="219" customFormat="false" ht="17.15" hidden="false" customHeight="false" outlineLevel="0" collapsed="false">
      <c r="A219" s="7" t="s">
        <v>88</v>
      </c>
      <c r="B219" s="4" t="s">
        <v>89</v>
      </c>
      <c r="C219" s="17" t="n">
        <v>45288</v>
      </c>
      <c r="D219" s="18" t="n">
        <v>75791</v>
      </c>
      <c r="E219" s="17" t="n">
        <v>45313</v>
      </c>
      <c r="F219" s="18" t="n">
        <v>57478</v>
      </c>
      <c r="G219" s="12" t="n">
        <v>-0.244277411631988</v>
      </c>
      <c r="H219" s="4" t="n">
        <v>15</v>
      </c>
      <c r="I219" s="7" t="s">
        <v>613</v>
      </c>
    </row>
    <row r="220" customFormat="false" ht="17.15" hidden="false" customHeight="false" outlineLevel="0" collapsed="false">
      <c r="A220" s="7" t="s">
        <v>106</v>
      </c>
      <c r="B220" s="4" t="s">
        <v>107</v>
      </c>
      <c r="C220" s="17" t="n">
        <v>45288</v>
      </c>
      <c r="D220" s="18" t="n">
        <v>44300</v>
      </c>
      <c r="E220" s="17" t="n">
        <v>45313</v>
      </c>
      <c r="F220" s="18" t="n">
        <v>34750</v>
      </c>
      <c r="G220" s="12" t="n">
        <v>-0.21831914503386</v>
      </c>
      <c r="H220" s="4" t="n">
        <v>15</v>
      </c>
      <c r="I220" s="7" t="s">
        <v>613</v>
      </c>
    </row>
    <row r="221" customFormat="false" ht="17.15" hidden="false" customHeight="false" outlineLevel="0" collapsed="false">
      <c r="A221" s="7" t="s">
        <v>417</v>
      </c>
      <c r="B221" s="4" t="s">
        <v>418</v>
      </c>
      <c r="C221" s="17" t="n">
        <v>45322</v>
      </c>
      <c r="D221" s="18" t="n">
        <v>10220</v>
      </c>
      <c r="E221" s="17" t="n">
        <v>45324</v>
      </c>
      <c r="F221" s="18" t="n">
        <v>10590</v>
      </c>
      <c r="G221" s="12" t="n">
        <v>0.0325794006849316</v>
      </c>
      <c r="H221" s="4" t="n">
        <v>2</v>
      </c>
      <c r="I221" s="7" t="s">
        <v>613</v>
      </c>
    </row>
    <row r="222" customFormat="false" ht="17.15" hidden="false" customHeight="false" outlineLevel="0" collapsed="false">
      <c r="A222" s="7" t="s">
        <v>435</v>
      </c>
      <c r="B222" s="4" t="s">
        <v>436</v>
      </c>
      <c r="C222" s="17" t="n">
        <v>45322</v>
      </c>
      <c r="D222" s="18" t="n">
        <v>22450</v>
      </c>
      <c r="E222" s="17" t="n">
        <v>45324</v>
      </c>
      <c r="F222" s="18" t="n">
        <v>21750</v>
      </c>
      <c r="G222" s="12" t="n">
        <v>-0.034568847438753</v>
      </c>
      <c r="H222" s="4" t="n">
        <v>2</v>
      </c>
      <c r="I222" s="7" t="s">
        <v>613</v>
      </c>
    </row>
    <row r="223" customFormat="false" ht="17.15" hidden="false" customHeight="false" outlineLevel="0" collapsed="false">
      <c r="A223" s="7" t="s">
        <v>441</v>
      </c>
      <c r="B223" s="7" t="s">
        <v>442</v>
      </c>
      <c r="C223" s="17" t="n">
        <v>45322</v>
      </c>
      <c r="D223" s="18" t="n">
        <v>135800</v>
      </c>
      <c r="E223" s="17" t="n">
        <v>45350</v>
      </c>
      <c r="F223" s="18" t="n">
        <v>126000</v>
      </c>
      <c r="G223" s="12" t="n">
        <v>-0.0754100515463918</v>
      </c>
      <c r="H223" s="4" t="n">
        <v>18</v>
      </c>
      <c r="I223" s="7" t="s">
        <v>613</v>
      </c>
    </row>
    <row r="224" customFormat="false" ht="17.15" hidden="false" customHeight="false" outlineLevel="0" collapsed="false">
      <c r="A224" s="7" t="s">
        <v>419</v>
      </c>
      <c r="B224" s="4" t="s">
        <v>420</v>
      </c>
      <c r="C224" s="17" t="n">
        <v>45288</v>
      </c>
      <c r="D224" s="18" t="n">
        <v>13700</v>
      </c>
      <c r="E224" s="17" t="n">
        <v>45377</v>
      </c>
      <c r="F224" s="18" t="n">
        <v>24250</v>
      </c>
      <c r="G224" s="12" t="n">
        <v>0.763882162408759</v>
      </c>
      <c r="H224" s="4" t="n">
        <v>58</v>
      </c>
      <c r="I224" s="7" t="s">
        <v>613</v>
      </c>
    </row>
    <row r="225" customFormat="false" ht="15" hidden="false" customHeight="false" outlineLevel="0" collapsed="false">
      <c r="A225" s="7" t="s">
        <v>280</v>
      </c>
      <c r="B225" s="4" t="s">
        <v>281</v>
      </c>
      <c r="C225" s="17" t="n">
        <v>45322</v>
      </c>
      <c r="D225" s="18" t="n">
        <v>73700</v>
      </c>
      <c r="E225" s="17" t="n">
        <v>45380</v>
      </c>
      <c r="F225" s="18" t="n">
        <v>108500</v>
      </c>
      <c r="G225" s="12" t="n">
        <v>0.467035566485753</v>
      </c>
      <c r="H225" s="4" t="n">
        <v>39</v>
      </c>
      <c r="I225" s="4" t="s">
        <v>614</v>
      </c>
    </row>
    <row r="226" customFormat="false" ht="17.15" hidden="false" customHeight="false" outlineLevel="0" collapsed="false">
      <c r="A226" s="7" t="s">
        <v>419</v>
      </c>
      <c r="B226" s="4" t="s">
        <v>420</v>
      </c>
      <c r="C226" s="17" t="n">
        <v>45380</v>
      </c>
      <c r="D226" s="18" t="n">
        <v>29500</v>
      </c>
      <c r="E226" s="17" t="n">
        <v>45386</v>
      </c>
      <c r="F226" s="18" t="n">
        <v>26900</v>
      </c>
      <c r="G226" s="12" t="n">
        <v>-0.0913248389830509</v>
      </c>
      <c r="H226" s="4" t="n">
        <v>4</v>
      </c>
      <c r="I226" s="7" t="s">
        <v>613</v>
      </c>
    </row>
    <row r="227" customFormat="false" ht="17.15" hidden="false" customHeight="false" outlineLevel="0" collapsed="false">
      <c r="A227" s="7" t="s">
        <v>447</v>
      </c>
      <c r="B227" s="4" t="s">
        <v>448</v>
      </c>
      <c r="C227" s="17" t="n">
        <v>45288</v>
      </c>
      <c r="D227" s="18" t="n">
        <v>7850</v>
      </c>
      <c r="E227" s="17" t="n">
        <v>45390</v>
      </c>
      <c r="F227" s="18" t="n">
        <v>13090</v>
      </c>
      <c r="G227" s="12" t="n">
        <v>0.661683786624204</v>
      </c>
      <c r="H227" s="4" t="n">
        <v>67</v>
      </c>
      <c r="I227" s="7" t="s">
        <v>613</v>
      </c>
    </row>
    <row r="228" customFormat="false" ht="17.15" hidden="false" customHeight="false" outlineLevel="0" collapsed="false">
      <c r="A228" s="7" t="s">
        <v>449</v>
      </c>
      <c r="B228" s="4" t="s">
        <v>450</v>
      </c>
      <c r="C228" s="17" t="n">
        <v>45351</v>
      </c>
      <c r="D228" s="18" t="n">
        <v>106500</v>
      </c>
      <c r="E228" s="17" t="n">
        <v>45405</v>
      </c>
      <c r="F228" s="18" t="n">
        <v>93900</v>
      </c>
      <c r="G228" s="12" t="n">
        <v>-0.121393570422535</v>
      </c>
      <c r="H228" s="4" t="n">
        <v>36</v>
      </c>
      <c r="I228" s="7" t="s">
        <v>613</v>
      </c>
    </row>
    <row r="229" customFormat="false" ht="17.15" hidden="false" customHeight="false" outlineLevel="0" collapsed="false">
      <c r="A229" s="7" t="s">
        <v>97</v>
      </c>
      <c r="B229" s="4" t="s">
        <v>98</v>
      </c>
      <c r="C229" s="17" t="n">
        <v>45351</v>
      </c>
      <c r="D229" s="18" t="n">
        <v>9880</v>
      </c>
      <c r="E229" s="17" t="n">
        <v>45412</v>
      </c>
      <c r="F229" s="18" t="n">
        <v>8600</v>
      </c>
      <c r="G229" s="12" t="n">
        <v>-0.132599038461539</v>
      </c>
      <c r="H229" s="4" t="n">
        <v>41</v>
      </c>
      <c r="I229" s="7" t="s">
        <v>613</v>
      </c>
    </row>
    <row r="230" customFormat="false" ht="15" hidden="false" customHeight="false" outlineLevel="0" collapsed="false">
      <c r="A230" s="7" t="s">
        <v>88</v>
      </c>
      <c r="B230" s="4" t="s">
        <v>89</v>
      </c>
      <c r="C230" s="17" t="n">
        <v>45351</v>
      </c>
      <c r="D230" s="18" t="n">
        <v>123574</v>
      </c>
      <c r="E230" s="17" t="n">
        <v>45412</v>
      </c>
      <c r="F230" s="18" t="n">
        <v>136116</v>
      </c>
      <c r="G230" s="12" t="n">
        <v>0.0976413670351368</v>
      </c>
      <c r="H230" s="4" t="n">
        <v>41</v>
      </c>
      <c r="I230" s="4" t="s">
        <v>614</v>
      </c>
    </row>
    <row r="231" customFormat="false" ht="15" hidden="false" customHeight="false" outlineLevel="0" collapsed="false">
      <c r="A231" s="7" t="s">
        <v>348</v>
      </c>
      <c r="B231" s="4" t="s">
        <v>349</v>
      </c>
      <c r="C231" s="17" t="n">
        <v>45380</v>
      </c>
      <c r="D231" s="18" t="n">
        <v>133700</v>
      </c>
      <c r="E231" s="17" t="n">
        <v>45412</v>
      </c>
      <c r="F231" s="18" t="n">
        <v>135000</v>
      </c>
      <c r="G231" s="12" t="n">
        <v>0.00619175392670179</v>
      </c>
      <c r="H231" s="4" t="n">
        <v>21</v>
      </c>
      <c r="I231" s="4" t="s">
        <v>614</v>
      </c>
    </row>
    <row r="232" customFormat="false" ht="17.15" hidden="false" customHeight="false" outlineLevel="0" collapsed="false">
      <c r="A232" s="7" t="s">
        <v>419</v>
      </c>
      <c r="B232" s="4" t="s">
        <v>420</v>
      </c>
      <c r="C232" s="17" t="n">
        <v>45412</v>
      </c>
      <c r="D232" s="18" t="n">
        <v>22450</v>
      </c>
      <c r="E232" s="17" t="n">
        <v>45415</v>
      </c>
      <c r="F232" s="18" t="n">
        <v>22750</v>
      </c>
      <c r="G232" s="12" t="n">
        <v>0.00981879175946543</v>
      </c>
      <c r="H232" s="4" t="n">
        <v>2</v>
      </c>
      <c r="I232" s="7" t="s">
        <v>613</v>
      </c>
    </row>
    <row r="233" customFormat="false" ht="17.15" hidden="false" customHeight="false" outlineLevel="0" collapsed="false">
      <c r="A233" s="7" t="s">
        <v>451</v>
      </c>
      <c r="B233" s="4" t="s">
        <v>452</v>
      </c>
      <c r="C233" s="17" t="n">
        <v>45322</v>
      </c>
      <c r="D233" s="18" t="n">
        <v>163500</v>
      </c>
      <c r="E233" s="17" t="n">
        <v>45419</v>
      </c>
      <c r="F233" s="18" t="n">
        <v>269000</v>
      </c>
      <c r="G233" s="12" t="n">
        <v>0.639505642201835</v>
      </c>
      <c r="H233" s="4" t="n">
        <v>63</v>
      </c>
      <c r="I233" s="7" t="s">
        <v>613</v>
      </c>
    </row>
    <row r="234" customFormat="false" ht="17.15" hidden="false" customHeight="false" outlineLevel="0" collapsed="false">
      <c r="A234" s="7" t="s">
        <v>234</v>
      </c>
      <c r="B234" s="7" t="s">
        <v>235</v>
      </c>
      <c r="C234" s="17" t="n">
        <v>45322</v>
      </c>
      <c r="D234" s="18" t="n">
        <v>67800</v>
      </c>
      <c r="E234" s="17" t="n">
        <v>45428</v>
      </c>
      <c r="F234" s="18" t="n">
        <v>98000</v>
      </c>
      <c r="G234" s="12" t="n">
        <v>0.440372345132743</v>
      </c>
      <c r="H234" s="4" t="n">
        <v>69</v>
      </c>
      <c r="I234" s="7" t="s">
        <v>613</v>
      </c>
    </row>
    <row r="235" customFormat="false" ht="15" hidden="false" customHeight="false" outlineLevel="0" collapsed="false">
      <c r="A235" s="7" t="s">
        <v>356</v>
      </c>
      <c r="B235" s="4" t="s">
        <v>357</v>
      </c>
      <c r="C235" s="17" t="n">
        <v>45412</v>
      </c>
      <c r="D235" s="18" t="n">
        <v>61400</v>
      </c>
      <c r="E235" s="17" t="n">
        <v>45443</v>
      </c>
      <c r="F235" s="18" t="n">
        <v>63200</v>
      </c>
      <c r="G235" s="12" t="n">
        <v>0.0257159283387622</v>
      </c>
      <c r="H235" s="4" t="n">
        <v>20</v>
      </c>
      <c r="I235" s="4" t="s">
        <v>614</v>
      </c>
    </row>
    <row r="236" customFormat="false" ht="17.15" hidden="false" customHeight="false" outlineLevel="0" collapsed="false">
      <c r="A236" s="7" t="s">
        <v>419</v>
      </c>
      <c r="B236" s="4" t="s">
        <v>420</v>
      </c>
      <c r="C236" s="17" t="n">
        <v>45443</v>
      </c>
      <c r="D236" s="18" t="n">
        <v>21450</v>
      </c>
      <c r="E236" s="17" t="n">
        <v>45447</v>
      </c>
      <c r="F236" s="18" t="n">
        <v>21650</v>
      </c>
      <c r="G236" s="12" t="n">
        <v>0.00579389860139856</v>
      </c>
      <c r="H236" s="4" t="n">
        <v>2</v>
      </c>
      <c r="I236" s="7" t="s">
        <v>613</v>
      </c>
    </row>
    <row r="237" customFormat="false" ht="17.15" hidden="false" customHeight="false" outlineLevel="0" collapsed="false">
      <c r="A237" s="7" t="s">
        <v>236</v>
      </c>
      <c r="B237" s="4" t="s">
        <v>237</v>
      </c>
      <c r="C237" s="17" t="n">
        <v>45412</v>
      </c>
      <c r="D237" s="18" t="n">
        <v>30000</v>
      </c>
      <c r="E237" s="17" t="n">
        <v>45448</v>
      </c>
      <c r="F237" s="18" t="n">
        <v>23400</v>
      </c>
      <c r="G237" s="12" t="n">
        <v>-0.22272805</v>
      </c>
      <c r="H237" s="4" t="n">
        <v>23</v>
      </c>
      <c r="I237" s="7" t="s">
        <v>613</v>
      </c>
    </row>
    <row r="238" customFormat="false" ht="17.15" hidden="false" customHeight="false" outlineLevel="0" collapsed="false">
      <c r="A238" s="7" t="s">
        <v>451</v>
      </c>
      <c r="B238" s="4" t="s">
        <v>452</v>
      </c>
      <c r="C238" s="17" t="n">
        <v>45443</v>
      </c>
      <c r="D238" s="18" t="n">
        <v>293500</v>
      </c>
      <c r="E238" s="17" t="n">
        <v>45453</v>
      </c>
      <c r="F238" s="18" t="n">
        <v>278000</v>
      </c>
      <c r="G238" s="12" t="n">
        <v>-0.0561236967632026</v>
      </c>
      <c r="H238" s="4" t="n">
        <v>5</v>
      </c>
      <c r="I238" s="7" t="s">
        <v>613</v>
      </c>
    </row>
    <row r="239" customFormat="false" ht="17.15" hidden="false" customHeight="false" outlineLevel="0" collapsed="false">
      <c r="A239" s="7" t="s">
        <v>451</v>
      </c>
      <c r="B239" s="4" t="s">
        <v>452</v>
      </c>
      <c r="C239" s="17" t="n">
        <v>45471</v>
      </c>
      <c r="D239" s="18" t="n">
        <v>225000</v>
      </c>
      <c r="E239" s="17" t="n">
        <v>45475</v>
      </c>
      <c r="F239" s="18" t="n">
        <v>247000</v>
      </c>
      <c r="G239" s="12" t="n">
        <v>0.0939383</v>
      </c>
      <c r="H239" s="4" t="n">
        <v>2</v>
      </c>
      <c r="I239" s="7" t="s">
        <v>613</v>
      </c>
    </row>
    <row r="240" customFormat="false" ht="17.15" hidden="false" customHeight="false" outlineLevel="0" collapsed="false">
      <c r="A240" s="7" t="s">
        <v>433</v>
      </c>
      <c r="B240" s="4" t="s">
        <v>434</v>
      </c>
      <c r="C240" s="17" t="n">
        <v>45412</v>
      </c>
      <c r="D240" s="18" t="n">
        <v>13840</v>
      </c>
      <c r="E240" s="17" t="n">
        <v>45485</v>
      </c>
      <c r="F240" s="18" t="n">
        <v>14930</v>
      </c>
      <c r="G240" s="12" t="n">
        <v>0.0749842720375722</v>
      </c>
      <c r="H240" s="4" t="n">
        <v>49</v>
      </c>
      <c r="I240" s="7" t="s">
        <v>613</v>
      </c>
    </row>
    <row r="241" customFormat="false" ht="17.15" hidden="false" customHeight="false" outlineLevel="0" collapsed="false">
      <c r="A241" s="7" t="s">
        <v>348</v>
      </c>
      <c r="B241" s="4" t="s">
        <v>349</v>
      </c>
      <c r="C241" s="17" t="n">
        <v>45443</v>
      </c>
      <c r="D241" s="18" t="n">
        <v>161700</v>
      </c>
      <c r="E241" s="17" t="n">
        <v>45492</v>
      </c>
      <c r="F241" s="18" t="n">
        <v>153800</v>
      </c>
      <c r="G241" s="12" t="n">
        <v>-0.0521825324675325</v>
      </c>
      <c r="H241" s="4" t="n">
        <v>34</v>
      </c>
      <c r="I241" s="7" t="s">
        <v>613</v>
      </c>
    </row>
    <row r="242" customFormat="false" ht="17.15" hidden="false" customHeight="false" outlineLevel="0" collapsed="false">
      <c r="A242" s="7" t="s">
        <v>628</v>
      </c>
      <c r="B242" s="7" t="s">
        <v>629</v>
      </c>
      <c r="C242" s="17" t="n">
        <v>45443</v>
      </c>
      <c r="D242" s="18" t="n">
        <v>42700</v>
      </c>
      <c r="E242" s="17" t="n">
        <v>45502</v>
      </c>
      <c r="F242" s="18" t="n">
        <v>40600</v>
      </c>
      <c r="G242" s="12" t="n">
        <v>-0.0525058196721311</v>
      </c>
      <c r="H242" s="4" t="n">
        <v>40</v>
      </c>
      <c r="I242" s="7" t="s">
        <v>613</v>
      </c>
    </row>
    <row r="243" customFormat="false" ht="17.15" hidden="false" customHeight="false" outlineLevel="0" collapsed="false">
      <c r="A243" s="7" t="s">
        <v>372</v>
      </c>
      <c r="B243" s="4" t="s">
        <v>373</v>
      </c>
      <c r="C243" s="17" t="n">
        <v>45412</v>
      </c>
      <c r="D243" s="18" t="n">
        <v>62100</v>
      </c>
      <c r="E243" s="17" t="n">
        <v>45504</v>
      </c>
      <c r="F243" s="18" t="n">
        <v>75200</v>
      </c>
      <c r="G243" s="12" t="n">
        <v>0.206714782608696</v>
      </c>
      <c r="H243" s="4" t="n">
        <v>62</v>
      </c>
      <c r="I243" s="7" t="s">
        <v>613</v>
      </c>
    </row>
    <row r="244" customFormat="false" ht="17.15" hidden="false" customHeight="false" outlineLevel="0" collapsed="false">
      <c r="A244" s="7" t="s">
        <v>628</v>
      </c>
      <c r="B244" s="7" t="s">
        <v>629</v>
      </c>
      <c r="C244" s="17" t="n">
        <v>45504</v>
      </c>
      <c r="D244" s="18" t="n">
        <v>36800</v>
      </c>
      <c r="E244" s="17" t="n">
        <v>45506</v>
      </c>
      <c r="F244" s="18" t="n">
        <v>35180</v>
      </c>
      <c r="G244" s="12" t="n">
        <v>-0.047365273097826</v>
      </c>
      <c r="H244" s="4" t="n">
        <v>2</v>
      </c>
      <c r="I244" s="7" t="s">
        <v>613</v>
      </c>
    </row>
    <row r="245" customFormat="false" ht="17.15" hidden="false" customHeight="false" outlineLevel="0" collapsed="false">
      <c r="A245" s="7" t="s">
        <v>372</v>
      </c>
      <c r="B245" s="4" t="s">
        <v>373</v>
      </c>
      <c r="C245" s="17" t="n">
        <v>45504</v>
      </c>
      <c r="D245" s="18" t="n">
        <v>73700</v>
      </c>
      <c r="E245" s="17" t="n">
        <v>45506</v>
      </c>
      <c r="F245" s="18" t="n">
        <v>73100</v>
      </c>
      <c r="G245" s="12" t="n">
        <v>-0.0116101390773405</v>
      </c>
      <c r="H245" s="4" t="n">
        <v>2</v>
      </c>
      <c r="I245" s="7" t="s">
        <v>613</v>
      </c>
    </row>
    <row r="246" customFormat="false" ht="17.15" hidden="false" customHeight="false" outlineLevel="0" collapsed="false">
      <c r="A246" s="7" t="s">
        <v>252</v>
      </c>
      <c r="B246" s="4" t="s">
        <v>253</v>
      </c>
      <c r="C246" s="17" t="n">
        <v>45322</v>
      </c>
      <c r="D246" s="18" t="n">
        <v>15930</v>
      </c>
      <c r="E246" s="17" t="n">
        <v>45509</v>
      </c>
      <c r="F246" s="18" t="n">
        <v>41450</v>
      </c>
      <c r="G246" s="12" t="n">
        <v>1.59290826271187</v>
      </c>
      <c r="H246" s="4" t="n">
        <v>125</v>
      </c>
      <c r="I246" s="7" t="s">
        <v>613</v>
      </c>
    </row>
    <row r="247" customFormat="false" ht="17.15" hidden="false" customHeight="false" outlineLevel="0" collapsed="false">
      <c r="A247" s="7" t="s">
        <v>455</v>
      </c>
      <c r="B247" s="7" t="s">
        <v>456</v>
      </c>
      <c r="C247" s="17" t="n">
        <v>45380</v>
      </c>
      <c r="D247" s="18" t="n">
        <v>179400</v>
      </c>
      <c r="E247" s="17" t="n">
        <v>45509</v>
      </c>
      <c r="F247" s="18" t="n">
        <v>262000</v>
      </c>
      <c r="G247" s="12" t="n">
        <v>0.455315802675586</v>
      </c>
      <c r="H247" s="4" t="n">
        <v>86</v>
      </c>
      <c r="I247" s="7" t="s">
        <v>613</v>
      </c>
    </row>
    <row r="248" customFormat="false" ht="17.15" hidden="false" customHeight="false" outlineLevel="0" collapsed="false">
      <c r="A248" s="7" t="s">
        <v>433</v>
      </c>
      <c r="B248" s="4" t="s">
        <v>434</v>
      </c>
      <c r="C248" s="17" t="n">
        <v>45504</v>
      </c>
      <c r="D248" s="18" t="n">
        <v>18690</v>
      </c>
      <c r="E248" s="17" t="n">
        <v>45509</v>
      </c>
      <c r="F248" s="18" t="n">
        <v>16000</v>
      </c>
      <c r="G248" s="12" t="n">
        <v>-0.146921348314607</v>
      </c>
      <c r="H248" s="4" t="n">
        <v>3</v>
      </c>
      <c r="I248" s="7" t="s">
        <v>613</v>
      </c>
    </row>
    <row r="249" customFormat="false" ht="17.15" hidden="false" customHeight="false" outlineLevel="0" collapsed="false">
      <c r="A249" s="7" t="s">
        <v>431</v>
      </c>
      <c r="B249" s="4" t="s">
        <v>432</v>
      </c>
      <c r="C249" s="17" t="n">
        <v>45471</v>
      </c>
      <c r="D249" s="18" t="n">
        <v>669000</v>
      </c>
      <c r="E249" s="17" t="n">
        <v>45510</v>
      </c>
      <c r="F249" s="18" t="n">
        <v>550000</v>
      </c>
      <c r="G249" s="12" t="n">
        <v>-0.180752802690583</v>
      </c>
      <c r="H249" s="4" t="n">
        <v>27</v>
      </c>
      <c r="I249" s="7" t="s">
        <v>613</v>
      </c>
    </row>
    <row r="250" customFormat="false" ht="17.15" hidden="false" customHeight="false" outlineLevel="0" collapsed="false">
      <c r="A250" s="7" t="s">
        <v>120</v>
      </c>
      <c r="B250" s="4" t="s">
        <v>121</v>
      </c>
      <c r="C250" s="17" t="n">
        <v>45504</v>
      </c>
      <c r="D250" s="18" t="n">
        <v>182700</v>
      </c>
      <c r="E250" s="17" t="n">
        <v>45518</v>
      </c>
      <c r="F250" s="18" t="n">
        <v>154000</v>
      </c>
      <c r="G250" s="12" t="n">
        <v>-0.160036206896552</v>
      </c>
      <c r="H250" s="4" t="n">
        <v>10</v>
      </c>
      <c r="I250" s="7" t="s">
        <v>613</v>
      </c>
    </row>
    <row r="251" customFormat="false" ht="17.15" hidden="false" customHeight="false" outlineLevel="0" collapsed="false">
      <c r="A251" s="7" t="s">
        <v>425</v>
      </c>
      <c r="B251" s="4" t="s">
        <v>426</v>
      </c>
      <c r="C251" s="17" t="n">
        <v>45504</v>
      </c>
      <c r="D251" s="18" t="n">
        <v>63962</v>
      </c>
      <c r="E251" s="17" t="n">
        <v>45524</v>
      </c>
      <c r="F251" s="18" t="n">
        <v>49231</v>
      </c>
      <c r="G251" s="12" t="n">
        <v>-0.233000616342516</v>
      </c>
      <c r="H251" s="4" t="n">
        <v>13</v>
      </c>
      <c r="I251" s="7" t="s">
        <v>613</v>
      </c>
    </row>
    <row r="252" customFormat="false" ht="17.15" hidden="false" customHeight="false" outlineLevel="0" collapsed="false">
      <c r="A252" s="7" t="s">
        <v>88</v>
      </c>
      <c r="B252" s="4" t="s">
        <v>89</v>
      </c>
      <c r="C252" s="17" t="n">
        <v>45471</v>
      </c>
      <c r="D252" s="18" t="n">
        <v>215831</v>
      </c>
      <c r="E252" s="17" t="n">
        <v>45534</v>
      </c>
      <c r="F252" s="18" t="n">
        <v>245455</v>
      </c>
      <c r="G252" s="12" t="n">
        <v>0.13327798665391</v>
      </c>
      <c r="H252" s="4" t="n">
        <v>44</v>
      </c>
      <c r="I252" s="4" t="s">
        <v>617</v>
      </c>
    </row>
    <row r="253" customFormat="false" ht="17.15" hidden="false" customHeight="false" outlineLevel="0" collapsed="false">
      <c r="A253" s="7" t="s">
        <v>487</v>
      </c>
      <c r="B253" s="4" t="s">
        <v>488</v>
      </c>
      <c r="C253" s="17" t="n">
        <v>45716</v>
      </c>
      <c r="D253" s="18" t="n">
        <v>43000</v>
      </c>
      <c r="E253" s="17" t="n">
        <v>45730</v>
      </c>
      <c r="F253" s="18" t="n">
        <v>37200</v>
      </c>
      <c r="G253" s="12" t="n">
        <v>-0.137909465116279</v>
      </c>
      <c r="H253" s="4" t="n">
        <v>9</v>
      </c>
      <c r="I253" s="7" t="s">
        <v>613</v>
      </c>
    </row>
    <row r="254" customFormat="false" ht="17.15" hidden="false" customHeight="false" outlineLevel="0" collapsed="false">
      <c r="A254" s="7" t="s">
        <v>399</v>
      </c>
      <c r="B254" s="4" t="s">
        <v>400</v>
      </c>
      <c r="C254" s="17" t="n">
        <v>45716</v>
      </c>
      <c r="D254" s="18" t="n">
        <v>342500</v>
      </c>
      <c r="E254" s="17" t="n">
        <v>45740</v>
      </c>
      <c r="F254" s="18" t="n">
        <v>289000</v>
      </c>
      <c r="G254" s="12" t="n">
        <v>-0.159155554744526</v>
      </c>
      <c r="H254" s="4" t="n">
        <v>15</v>
      </c>
      <c r="I254" s="7" t="s">
        <v>613</v>
      </c>
    </row>
    <row r="255" customFormat="false" ht="17.15" hidden="false" customHeight="false" outlineLevel="0" collapsed="false">
      <c r="A255" s="7" t="s">
        <v>336</v>
      </c>
      <c r="B255" s="4" t="s">
        <v>337</v>
      </c>
      <c r="C255" s="17" t="n">
        <v>45716</v>
      </c>
      <c r="D255" s="18" t="n">
        <v>27100</v>
      </c>
      <c r="E255" s="17" t="n">
        <v>45740</v>
      </c>
      <c r="F255" s="18" t="n">
        <v>25350</v>
      </c>
      <c r="G255" s="12" t="n">
        <v>-0.0678472924354243</v>
      </c>
      <c r="H255" s="4" t="n">
        <v>15</v>
      </c>
      <c r="I255" s="7" t="s">
        <v>613</v>
      </c>
    </row>
    <row r="256" customFormat="false" ht="17.15" hidden="false" customHeight="false" outlineLevel="0" collapsed="false">
      <c r="A256" s="7" t="s">
        <v>467</v>
      </c>
      <c r="B256" s="4" t="s">
        <v>468</v>
      </c>
      <c r="C256" s="17" t="n">
        <v>45716</v>
      </c>
      <c r="D256" s="18" t="n">
        <v>322500</v>
      </c>
      <c r="E256" s="17" t="n">
        <v>45744</v>
      </c>
      <c r="F256" s="18" t="n">
        <v>304000</v>
      </c>
      <c r="G256" s="12" t="n">
        <v>-0.0606612093023256</v>
      </c>
      <c r="H256" s="4" t="n">
        <v>19</v>
      </c>
      <c r="I256" s="7" t="s">
        <v>613</v>
      </c>
    </row>
    <row r="257" customFormat="false" ht="17.15" hidden="false" customHeight="false" outlineLevel="0" collapsed="false">
      <c r="A257" s="7" t="s">
        <v>338</v>
      </c>
      <c r="B257" s="4" t="s">
        <v>339</v>
      </c>
      <c r="C257" s="17" t="n">
        <v>45716</v>
      </c>
      <c r="D257" s="18" t="n">
        <v>19900</v>
      </c>
      <c r="E257" s="17" t="n">
        <v>45744</v>
      </c>
      <c r="F257" s="18" t="n">
        <v>17870</v>
      </c>
      <c r="G257" s="12" t="n">
        <v>-0.105150770100502</v>
      </c>
      <c r="H257" s="4" t="n">
        <v>19</v>
      </c>
      <c r="I257" s="7" t="s">
        <v>613</v>
      </c>
    </row>
    <row r="258" customFormat="false" ht="17.15" hidden="false" customHeight="false" outlineLevel="0" collapsed="false">
      <c r="A258" s="7" t="s">
        <v>236</v>
      </c>
      <c r="B258" s="4" t="s">
        <v>237</v>
      </c>
      <c r="C258" s="17" t="n">
        <v>45716</v>
      </c>
      <c r="D258" s="18" t="n">
        <v>38000</v>
      </c>
      <c r="E258" s="17" t="n">
        <v>45747</v>
      </c>
      <c r="F258" s="18" t="n">
        <v>33500</v>
      </c>
      <c r="G258" s="12" t="n">
        <v>-0.121504375</v>
      </c>
      <c r="H258" s="4" t="n">
        <v>20</v>
      </c>
      <c r="I258" s="7" t="s">
        <v>613</v>
      </c>
    </row>
    <row r="259" customFormat="false" ht="15" hidden="false" customHeight="false" outlineLevel="0" collapsed="false">
      <c r="A259" s="7" t="s">
        <v>232</v>
      </c>
      <c r="B259" s="4" t="s">
        <v>233</v>
      </c>
      <c r="C259" s="17" t="n">
        <v>45716</v>
      </c>
      <c r="D259" s="18" t="n">
        <v>37450</v>
      </c>
      <c r="E259" s="17" t="n">
        <v>45747</v>
      </c>
      <c r="F259" s="18" t="n">
        <v>32900</v>
      </c>
      <c r="G259" s="12" t="n">
        <v>-0.124567897196262</v>
      </c>
      <c r="H259" s="4" t="n">
        <v>20</v>
      </c>
      <c r="I259" s="4" t="s">
        <v>614</v>
      </c>
    </row>
    <row r="260" customFormat="false" ht="17.15" hidden="false" customHeight="false" outlineLevel="0" collapsed="false">
      <c r="A260" s="7" t="s">
        <v>338</v>
      </c>
      <c r="B260" s="4" t="s">
        <v>339</v>
      </c>
      <c r="C260" s="17" t="n">
        <v>45747</v>
      </c>
      <c r="D260" s="18" t="n">
        <v>17230</v>
      </c>
      <c r="E260" s="17" t="n">
        <v>45749</v>
      </c>
      <c r="F260" s="18" t="n">
        <v>17250</v>
      </c>
      <c r="G260" s="12" t="n">
        <v>-0.00234079367382456</v>
      </c>
      <c r="H260" s="4" t="n">
        <v>2</v>
      </c>
      <c r="I260" s="7" t="s">
        <v>613</v>
      </c>
    </row>
    <row r="261" customFormat="false" ht="17.15" hidden="false" customHeight="false" outlineLevel="0" collapsed="false">
      <c r="A261" s="7" t="s">
        <v>399</v>
      </c>
      <c r="B261" s="4" t="s">
        <v>400</v>
      </c>
      <c r="C261" s="17" t="n">
        <v>45747</v>
      </c>
      <c r="D261" s="18" t="n">
        <v>264000</v>
      </c>
      <c r="E261" s="17" t="n">
        <v>45749</v>
      </c>
      <c r="F261" s="18" t="n">
        <v>272500</v>
      </c>
      <c r="G261" s="12" t="n">
        <v>0.0285868607954547</v>
      </c>
      <c r="H261" s="4" t="n">
        <v>2</v>
      </c>
      <c r="I261" s="7" t="s">
        <v>613</v>
      </c>
    </row>
    <row r="262" customFormat="false" ht="17.15" hidden="false" customHeight="false" outlineLevel="0" collapsed="false">
      <c r="A262" s="7" t="s">
        <v>143</v>
      </c>
      <c r="B262" s="4" t="s">
        <v>144</v>
      </c>
      <c r="C262" s="17" t="n">
        <v>45716</v>
      </c>
      <c r="D262" s="18" t="n">
        <v>74300</v>
      </c>
      <c r="E262" s="17" t="n">
        <v>45755</v>
      </c>
      <c r="F262" s="18" t="n">
        <v>65600</v>
      </c>
      <c r="G262" s="12" t="n">
        <v>-0.120180834454913</v>
      </c>
      <c r="H262" s="4" t="n">
        <v>26</v>
      </c>
      <c r="I262" s="7" t="s">
        <v>613</v>
      </c>
    </row>
    <row r="263" customFormat="false" ht="17.15" hidden="false" customHeight="false" outlineLevel="0" collapsed="false">
      <c r="A263" s="7" t="s">
        <v>499</v>
      </c>
      <c r="B263" s="4" t="s">
        <v>500</v>
      </c>
      <c r="C263" s="17" t="n">
        <v>45747</v>
      </c>
      <c r="D263" s="18" t="n">
        <v>32100</v>
      </c>
      <c r="E263" s="17" t="n">
        <v>45755</v>
      </c>
      <c r="F263" s="18" t="n">
        <v>31550</v>
      </c>
      <c r="G263" s="12" t="n">
        <v>-0.0205715303738318</v>
      </c>
      <c r="H263" s="4" t="n">
        <v>6</v>
      </c>
      <c r="I263" s="7" t="s">
        <v>613</v>
      </c>
    </row>
    <row r="264" customFormat="false" ht="17.15" hidden="false" customHeight="false" outlineLevel="0" collapsed="false">
      <c r="A264" s="7" t="s">
        <v>487</v>
      </c>
      <c r="B264" s="4" t="s">
        <v>488</v>
      </c>
      <c r="C264" s="17" t="n">
        <v>45747</v>
      </c>
      <c r="D264" s="18" t="n">
        <v>39400</v>
      </c>
      <c r="E264" s="17" t="n">
        <v>45757</v>
      </c>
      <c r="F264" s="18" t="n">
        <v>36850</v>
      </c>
      <c r="G264" s="12" t="n">
        <v>-0.0679919511421319</v>
      </c>
      <c r="H264" s="4" t="n">
        <v>8</v>
      </c>
      <c r="I264" s="7" t="s">
        <v>613</v>
      </c>
    </row>
    <row r="265" customFormat="false" ht="17.15" hidden="false" customHeight="false" outlineLevel="0" collapsed="false">
      <c r="A265" s="7" t="s">
        <v>473</v>
      </c>
      <c r="B265" s="4" t="s">
        <v>474</v>
      </c>
      <c r="C265" s="17" t="n">
        <v>45716</v>
      </c>
      <c r="D265" s="18" t="n">
        <v>58800</v>
      </c>
      <c r="E265" s="17" t="n">
        <v>45777</v>
      </c>
      <c r="F265" s="18" t="n">
        <v>47200</v>
      </c>
      <c r="G265" s="12" t="n">
        <v>-0.200086428571428</v>
      </c>
      <c r="H265" s="4" t="n">
        <v>42</v>
      </c>
      <c r="I265" s="4" t="s">
        <v>617</v>
      </c>
    </row>
    <row r="266" customFormat="false" ht="17.15" hidden="false" customHeight="false" outlineLevel="0" collapsed="false">
      <c r="A266" s="7" t="s">
        <v>374</v>
      </c>
      <c r="B266" s="4" t="s">
        <v>375</v>
      </c>
      <c r="C266" s="17" t="n">
        <v>45716</v>
      </c>
      <c r="D266" s="18" t="n">
        <v>584915</v>
      </c>
      <c r="E266" s="17" t="n">
        <v>45777</v>
      </c>
      <c r="F266" s="18" t="n">
        <v>784810</v>
      </c>
      <c r="G266" s="12" t="n">
        <v>0.337057738346597</v>
      </c>
      <c r="H266" s="4" t="n">
        <v>42</v>
      </c>
      <c r="I266" s="4" t="s">
        <v>617</v>
      </c>
    </row>
    <row r="267" customFormat="false" ht="17.15" hidden="false" customHeight="false" outlineLevel="0" collapsed="false">
      <c r="A267" s="7" t="s">
        <v>378</v>
      </c>
      <c r="B267" s="4" t="s">
        <v>379</v>
      </c>
      <c r="C267" s="17" t="n">
        <v>45747</v>
      </c>
      <c r="D267" s="18" t="n">
        <v>105000</v>
      </c>
      <c r="E267" s="17" t="n">
        <v>45777</v>
      </c>
      <c r="F267" s="18" t="n">
        <v>112200</v>
      </c>
      <c r="G267" s="12" t="n">
        <v>0.0648341000000001</v>
      </c>
      <c r="H267" s="4" t="n">
        <v>22</v>
      </c>
      <c r="I267" s="4" t="s">
        <v>617</v>
      </c>
    </row>
    <row r="268" customFormat="false" ht="17.15" hidden="false" customHeight="false" outlineLevel="0" collapsed="false">
      <c r="A268" s="7" t="s">
        <v>425</v>
      </c>
      <c r="B268" s="4" t="s">
        <v>426</v>
      </c>
      <c r="C268" s="17" t="n">
        <v>45747</v>
      </c>
      <c r="D268" s="18" t="n">
        <v>92000</v>
      </c>
      <c r="E268" s="17" t="n">
        <v>45777</v>
      </c>
      <c r="F268" s="18" t="n">
        <v>163300</v>
      </c>
      <c r="G268" s="12" t="n">
        <v>0.7687919375</v>
      </c>
      <c r="H268" s="4" t="n">
        <v>22</v>
      </c>
      <c r="I268" s="4" t="s">
        <v>617</v>
      </c>
    </row>
    <row r="269" customFormat="false" ht="17.15" hidden="false" customHeight="false" outlineLevel="0" collapsed="false">
      <c r="A269" s="7" t="s">
        <v>99</v>
      </c>
      <c r="B269" s="4" t="s">
        <v>100</v>
      </c>
      <c r="C269" s="17" t="n">
        <v>45747</v>
      </c>
      <c r="D269" s="18" t="n">
        <v>28500</v>
      </c>
      <c r="E269" s="17" t="n">
        <v>45777</v>
      </c>
      <c r="F269" s="18" t="n">
        <v>26200</v>
      </c>
      <c r="G269" s="12" t="n">
        <v>-0.0839169999999999</v>
      </c>
      <c r="H269" s="4" t="n">
        <v>22</v>
      </c>
      <c r="I269" s="4" t="s">
        <v>617</v>
      </c>
    </row>
    <row r="270" customFormat="false" ht="17.15" hidden="false" customHeight="false" outlineLevel="0" collapsed="false">
      <c r="A270" s="7" t="s">
        <v>473</v>
      </c>
      <c r="B270" s="4" t="s">
        <v>474</v>
      </c>
      <c r="C270" s="17" t="n">
        <v>45807</v>
      </c>
      <c r="D270" s="18" t="n">
        <v>54300</v>
      </c>
      <c r="E270" s="17" t="n">
        <v>45824</v>
      </c>
      <c r="F270" s="18" t="n">
        <v>43550</v>
      </c>
      <c r="G270" s="12" t="n">
        <v>-0.200779302486188</v>
      </c>
      <c r="H270" s="4" t="n">
        <v>9</v>
      </c>
      <c r="I270" s="7" t="s">
        <v>613</v>
      </c>
    </row>
    <row r="271" customFormat="false" ht="15" hidden="false" customHeight="false" outlineLevel="0" collapsed="false">
      <c r="A271" s="7" t="s">
        <v>467</v>
      </c>
      <c r="B271" s="4" t="s">
        <v>468</v>
      </c>
      <c r="C271" s="17" t="n">
        <v>45807</v>
      </c>
      <c r="D271" s="18" t="n">
        <v>488000</v>
      </c>
      <c r="E271" s="17" t="n">
        <v>45838</v>
      </c>
      <c r="F271" s="18" t="n">
        <v>656000</v>
      </c>
      <c r="G271" s="12" t="n">
        <v>0.339560737704918</v>
      </c>
      <c r="H271" s="4" t="n">
        <v>19</v>
      </c>
      <c r="I271" s="4" t="s">
        <v>614</v>
      </c>
    </row>
    <row r="272" customFormat="false" ht="15" hidden="false" customHeight="false" outlineLevel="0" collapsed="false">
      <c r="A272" s="7" t="s">
        <v>425</v>
      </c>
      <c r="B272" s="4" t="s">
        <v>426</v>
      </c>
      <c r="C272" s="17" t="n">
        <v>45807</v>
      </c>
      <c r="D272" s="18" t="n">
        <v>232500</v>
      </c>
      <c r="E272" s="17" t="n">
        <v>45838</v>
      </c>
      <c r="F272" s="18" t="n">
        <v>188300</v>
      </c>
      <c r="G272" s="12" t="n">
        <v>-0.192940125806452</v>
      </c>
      <c r="H272" s="4" t="n">
        <v>19</v>
      </c>
      <c r="I272" s="4" t="s">
        <v>614</v>
      </c>
    </row>
    <row r="273" customFormat="false" ht="15" hidden="false" customHeight="false" outlineLevel="0" collapsed="false">
      <c r="A273" s="7" t="s">
        <v>493</v>
      </c>
      <c r="B273" s="4" t="s">
        <v>494</v>
      </c>
      <c r="C273" s="17" t="n">
        <v>45807</v>
      </c>
      <c r="D273" s="18" t="n">
        <v>80600</v>
      </c>
      <c r="E273" s="17" t="n">
        <v>45838</v>
      </c>
      <c r="F273" s="18" t="n">
        <v>67200</v>
      </c>
      <c r="G273" s="12" t="n">
        <v>-0.169169131513648</v>
      </c>
      <c r="H273" s="4" t="n">
        <v>19</v>
      </c>
      <c r="I273" s="4" t="s">
        <v>614</v>
      </c>
    </row>
    <row r="274" customFormat="false" ht="15" hidden="false" customHeight="false" outlineLevel="0" collapsed="false">
      <c r="A274" s="7" t="s">
        <v>374</v>
      </c>
      <c r="B274" s="4" t="s">
        <v>375</v>
      </c>
      <c r="C274" s="17" t="n">
        <v>45807</v>
      </c>
      <c r="D274" s="18" t="n">
        <v>811000</v>
      </c>
      <c r="E274" s="17" t="n">
        <v>45838</v>
      </c>
      <c r="F274" s="18" t="n">
        <v>848000</v>
      </c>
      <c r="G274" s="12" t="n">
        <v>0.0419656226880394</v>
      </c>
      <c r="H274" s="4" t="n">
        <v>19</v>
      </c>
      <c r="I274" s="4" t="s">
        <v>614</v>
      </c>
    </row>
    <row r="275" customFormat="false" ht="15" hidden="false" customHeight="false" outlineLevel="0" collapsed="false">
      <c r="A275" s="7" t="s">
        <v>336</v>
      </c>
      <c r="B275" s="4" t="s">
        <v>337</v>
      </c>
      <c r="C275" s="17" t="n">
        <v>45807</v>
      </c>
      <c r="D275" s="18" t="n">
        <v>43450</v>
      </c>
      <c r="E275" s="17" t="n">
        <v>45838</v>
      </c>
      <c r="F275" s="18" t="n">
        <v>61000</v>
      </c>
      <c r="G275" s="12" t="n">
        <v>0.399002359033372</v>
      </c>
      <c r="H275" s="4" t="n">
        <v>19</v>
      </c>
      <c r="I275" s="4" t="s">
        <v>614</v>
      </c>
    </row>
    <row r="276" customFormat="false" ht="17.15" hidden="false" customHeight="false" outlineLevel="0" collapsed="false">
      <c r="A276" s="7" t="s">
        <v>495</v>
      </c>
      <c r="B276" s="4" t="s">
        <v>496</v>
      </c>
      <c r="C276" s="17" t="n">
        <v>45838</v>
      </c>
      <c r="D276" s="18" t="n">
        <v>20750</v>
      </c>
      <c r="E276" s="17" t="n">
        <v>45868</v>
      </c>
      <c r="F276" s="18" t="n">
        <v>18850</v>
      </c>
      <c r="G276" s="12" t="n">
        <v>-0.0947435120481928</v>
      </c>
      <c r="H276" s="4" t="n">
        <v>22</v>
      </c>
      <c r="I276" s="7" t="s">
        <v>613</v>
      </c>
    </row>
    <row r="277" customFormat="false" ht="15" hidden="false" customHeight="false" outlineLevel="0" collapsed="false">
      <c r="A277" s="7" t="s">
        <v>387</v>
      </c>
      <c r="B277" s="4" t="s">
        <v>388</v>
      </c>
      <c r="C277" s="17" t="n">
        <v>45807</v>
      </c>
      <c r="D277" s="18" t="n">
        <v>58234</v>
      </c>
      <c r="E277" s="17" t="n">
        <v>45869</v>
      </c>
      <c r="F277" s="18" t="n">
        <v>79756</v>
      </c>
      <c r="G277" s="12" t="n">
        <v>0.364787811072569</v>
      </c>
      <c r="H277" s="4" t="n">
        <v>42</v>
      </c>
      <c r="I277" s="4" t="s">
        <v>614</v>
      </c>
    </row>
    <row r="278" customFormat="false" ht="15" hidden="false" customHeight="false" outlineLevel="0" collapsed="false">
      <c r="A278" s="7" t="s">
        <v>630</v>
      </c>
      <c r="B278" s="4" t="s">
        <v>631</v>
      </c>
      <c r="C278" s="17" t="n">
        <v>45838</v>
      </c>
      <c r="D278" s="18" t="n">
        <v>78500</v>
      </c>
      <c r="E278" s="17" t="n">
        <v>45869</v>
      </c>
      <c r="F278" s="18" t="n">
        <v>67500</v>
      </c>
      <c r="G278" s="12" t="n">
        <v>-0.143134792993631</v>
      </c>
      <c r="H278" s="4" t="n">
        <v>23</v>
      </c>
      <c r="I278" s="4" t="s">
        <v>614</v>
      </c>
    </row>
    <row r="279" customFormat="false" ht="15" hidden="false" customHeight="false" outlineLevel="0" collapsed="false">
      <c r="A279" s="7" t="s">
        <v>503</v>
      </c>
      <c r="B279" s="4" t="s">
        <v>504</v>
      </c>
      <c r="C279" s="17" t="n">
        <v>45838</v>
      </c>
      <c r="D279" s="18" t="n">
        <v>76700</v>
      </c>
      <c r="E279" s="17" t="n">
        <v>45869</v>
      </c>
      <c r="F279" s="18" t="n">
        <v>64100</v>
      </c>
      <c r="G279" s="12" t="n">
        <v>-0.167199344850065</v>
      </c>
      <c r="H279" s="4" t="n">
        <v>23</v>
      </c>
      <c r="I279" s="4" t="s">
        <v>614</v>
      </c>
    </row>
    <row r="280" customFormat="false" ht="15" hidden="false" customHeight="false" outlineLevel="0" collapsed="false">
      <c r="A280" s="7" t="s">
        <v>136</v>
      </c>
      <c r="B280" s="4" t="s">
        <v>137</v>
      </c>
      <c r="C280" s="17" t="n">
        <v>45838</v>
      </c>
      <c r="D280" s="18" t="n">
        <v>5000</v>
      </c>
      <c r="E280" s="17" t="n">
        <v>45869</v>
      </c>
      <c r="F280" s="18" t="n">
        <v>3675</v>
      </c>
      <c r="G280" s="12" t="n">
        <v>-0.2675706625</v>
      </c>
      <c r="H280" s="4" t="n">
        <v>23</v>
      </c>
      <c r="I280" s="4" t="s">
        <v>614</v>
      </c>
    </row>
    <row r="281" customFormat="false" ht="17.15" hidden="false" customHeight="false" outlineLevel="0" collapsed="false">
      <c r="A281" s="7" t="s">
        <v>336</v>
      </c>
      <c r="B281" s="4" t="s">
        <v>337</v>
      </c>
      <c r="C281" s="17" t="n">
        <v>45869</v>
      </c>
      <c r="D281" s="18" t="n">
        <v>56500</v>
      </c>
      <c r="E281" s="17" t="n">
        <v>45873</v>
      </c>
      <c r="F281" s="18" t="n">
        <v>50600</v>
      </c>
      <c r="G281" s="12" t="n">
        <v>-0.107557053097345</v>
      </c>
      <c r="H281" s="4" t="n">
        <v>2</v>
      </c>
      <c r="I281" s="7" t="s">
        <v>613</v>
      </c>
    </row>
    <row r="282" customFormat="false" ht="17.15" hidden="false" customHeight="false" outlineLevel="0" collapsed="false">
      <c r="A282" s="7" t="s">
        <v>232</v>
      </c>
      <c r="B282" s="4" t="s">
        <v>233</v>
      </c>
      <c r="C282" s="17" t="n">
        <v>45807</v>
      </c>
      <c r="D282" s="18" t="n">
        <v>48850</v>
      </c>
      <c r="E282" s="17" t="n">
        <v>45881</v>
      </c>
      <c r="F282" s="18" t="n">
        <v>54300</v>
      </c>
      <c r="G282" s="12" t="n">
        <v>0.107678316274309</v>
      </c>
      <c r="H282" s="4" t="n">
        <v>50</v>
      </c>
      <c r="I282" s="7" t="s">
        <v>613</v>
      </c>
    </row>
    <row r="283" customFormat="false" ht="17.15" hidden="false" customHeight="false" outlineLevel="0" collapsed="false">
      <c r="A283" s="7" t="s">
        <v>497</v>
      </c>
      <c r="B283" s="4" t="s">
        <v>498</v>
      </c>
      <c r="C283" s="17" t="n">
        <v>45807</v>
      </c>
      <c r="D283" s="18" t="n">
        <v>90636</v>
      </c>
      <c r="E283" s="17" t="n">
        <v>45881</v>
      </c>
      <c r="F283" s="18" t="n">
        <v>100359</v>
      </c>
      <c r="G283" s="12" t="n">
        <v>0.103402559661724</v>
      </c>
      <c r="H283" s="4" t="n">
        <v>50</v>
      </c>
      <c r="I283" s="7" t="s">
        <v>613</v>
      </c>
    </row>
    <row r="284" customFormat="false" ht="17.15" hidden="false" customHeight="false" outlineLevel="0" collapsed="false">
      <c r="A284" s="7" t="s">
        <v>378</v>
      </c>
      <c r="B284" s="4" t="s">
        <v>379</v>
      </c>
      <c r="C284" s="17" t="n">
        <v>45807</v>
      </c>
      <c r="D284" s="18" t="n">
        <v>146400</v>
      </c>
      <c r="E284" s="17" t="n">
        <v>45882</v>
      </c>
      <c r="F284" s="18" t="n">
        <v>179000</v>
      </c>
      <c r="G284" s="12" t="n">
        <v>0.218401280737705</v>
      </c>
      <c r="H284" s="4" t="n">
        <v>51</v>
      </c>
      <c r="I284" s="7" t="s">
        <v>613</v>
      </c>
    </row>
    <row r="285" customFormat="false" ht="17.15" hidden="false" customHeight="false" outlineLevel="0" collapsed="false">
      <c r="A285" s="7" t="s">
        <v>632</v>
      </c>
      <c r="B285" s="4" t="s">
        <v>633</v>
      </c>
      <c r="C285" s="17" t="n">
        <v>45869</v>
      </c>
      <c r="D285" s="18" t="n">
        <v>115000</v>
      </c>
      <c r="E285" s="17" t="n">
        <v>45882</v>
      </c>
      <c r="F285" s="18" t="n">
        <v>93100</v>
      </c>
      <c r="G285" s="12" t="n">
        <v>-0.193266236956522</v>
      </c>
      <c r="H285" s="4" t="n">
        <v>9</v>
      </c>
      <c r="I285" s="7" t="s">
        <v>613</v>
      </c>
    </row>
    <row r="286" customFormat="false" ht="17.15" hidden="false" customHeight="false" outlineLevel="0" collapsed="false">
      <c r="A286" s="7" t="s">
        <v>376</v>
      </c>
      <c r="B286" s="4" t="s">
        <v>377</v>
      </c>
      <c r="C286" s="17" t="n">
        <v>45869</v>
      </c>
      <c r="D286" s="18" t="n">
        <v>160800</v>
      </c>
      <c r="E286" s="17" t="n">
        <v>45889</v>
      </c>
      <c r="F286" s="18" t="n">
        <v>111400</v>
      </c>
      <c r="G286" s="12" t="n">
        <v>-0.309636949626866</v>
      </c>
      <c r="H286" s="4" t="n">
        <v>13</v>
      </c>
      <c r="I286" s="7" t="s">
        <v>613</v>
      </c>
    </row>
    <row r="287" customFormat="false" ht="17.15" hidden="false" customHeight="false" outlineLevel="0" collapsed="false">
      <c r="A287" s="7" t="s">
        <v>292</v>
      </c>
      <c r="B287" s="4" t="s">
        <v>293</v>
      </c>
      <c r="C287" s="17" t="n">
        <v>45838</v>
      </c>
      <c r="D287" s="18" t="n">
        <v>68400</v>
      </c>
      <c r="E287" s="17" t="n">
        <v>45890</v>
      </c>
      <c r="F287" s="18" t="n">
        <v>58200</v>
      </c>
      <c r="G287" s="12" t="n">
        <v>-0.15209875</v>
      </c>
      <c r="H287" s="4" t="n">
        <v>37</v>
      </c>
      <c r="I287" s="7" t="s">
        <v>613</v>
      </c>
    </row>
    <row r="288" customFormat="false" ht="17.15" hidden="false" customHeight="false" outlineLevel="0" collapsed="false">
      <c r="A288" s="7" t="s">
        <v>292</v>
      </c>
      <c r="B288" s="4" t="s">
        <v>293</v>
      </c>
      <c r="C288" s="17" t="n">
        <v>45898</v>
      </c>
      <c r="D288" s="18" t="n">
        <v>61700</v>
      </c>
      <c r="E288" s="17" t="n">
        <v>45902</v>
      </c>
      <c r="F288" s="18" t="n">
        <v>60500</v>
      </c>
      <c r="G288" s="12" t="n">
        <v>-0.0228784238249595</v>
      </c>
      <c r="H288" s="4" t="n">
        <v>2</v>
      </c>
      <c r="I288" s="7" t="s">
        <v>613</v>
      </c>
    </row>
    <row r="289" customFormat="false" ht="17.15" hidden="false" customHeight="false" outlineLevel="0" collapsed="false">
      <c r="A289" s="7" t="s">
        <v>425</v>
      </c>
      <c r="B289" s="4" t="s">
        <v>426</v>
      </c>
      <c r="C289" s="17" t="n">
        <v>45869</v>
      </c>
      <c r="D289" s="18" t="n">
        <v>293500</v>
      </c>
      <c r="E289" s="17" t="n">
        <v>45926</v>
      </c>
      <c r="F289" s="18" t="n">
        <v>277500</v>
      </c>
      <c r="G289" s="12" t="n">
        <v>-0.0578213160136287</v>
      </c>
      <c r="H289" s="4" t="n">
        <v>40</v>
      </c>
      <c r="I289" s="7" t="s">
        <v>613</v>
      </c>
    </row>
    <row r="290" customFormat="false" ht="15" hidden="false" customHeight="false" outlineLevel="0" collapsed="false">
      <c r="A290" s="7" t="s">
        <v>378</v>
      </c>
      <c r="B290" s="4" t="s">
        <v>379</v>
      </c>
      <c r="C290" s="17" t="n">
        <v>45898</v>
      </c>
      <c r="D290" s="18" t="n">
        <v>192100</v>
      </c>
      <c r="E290" s="17" t="n">
        <v>45930</v>
      </c>
      <c r="F290" s="18" t="n">
        <v>219000</v>
      </c>
      <c r="G290" s="12" t="n">
        <v>0.136043974492452</v>
      </c>
      <c r="H290" s="4" t="n">
        <v>22</v>
      </c>
      <c r="I290" s="4" t="s">
        <v>614</v>
      </c>
    </row>
    <row r="291" customFormat="false" ht="15" hidden="false" customHeight="false" outlineLevel="0" collapsed="false">
      <c r="A291" s="7" t="s">
        <v>493</v>
      </c>
      <c r="B291" s="4" t="s">
        <v>494</v>
      </c>
      <c r="C291" s="17" t="n">
        <v>45898</v>
      </c>
      <c r="D291" s="18" t="n">
        <v>91600</v>
      </c>
      <c r="E291" s="17" t="n">
        <v>45930</v>
      </c>
      <c r="F291" s="18" t="n">
        <v>92400</v>
      </c>
      <c r="G291" s="12" t="n">
        <v>0.00520557860261994</v>
      </c>
      <c r="H291" s="4" t="n">
        <v>22</v>
      </c>
      <c r="I291" s="4" t="s">
        <v>614</v>
      </c>
    </row>
    <row r="292" customFormat="false" ht="17.15" hidden="false" customHeight="false" outlineLevel="0" collapsed="false">
      <c r="A292" s="7" t="s">
        <v>425</v>
      </c>
      <c r="B292" s="4" t="s">
        <v>426</v>
      </c>
      <c r="C292" s="17" t="n">
        <v>45930</v>
      </c>
      <c r="D292" s="18" t="n">
        <v>300000</v>
      </c>
      <c r="E292" s="17" t="n">
        <v>45944</v>
      </c>
      <c r="F292" s="18" t="n">
        <v>284000</v>
      </c>
      <c r="G292" s="12" t="n">
        <v>-0.0566443</v>
      </c>
      <c r="H292" s="4" t="n">
        <v>5</v>
      </c>
      <c r="I292" s="7" t="s">
        <v>613</v>
      </c>
    </row>
    <row r="293" customFormat="false" ht="15" hidden="false" customHeight="false" outlineLevel="0" collapsed="false">
      <c r="A293" s="7" t="s">
        <v>338</v>
      </c>
      <c r="B293" s="4" t="s">
        <v>339</v>
      </c>
      <c r="C293" s="17" t="n">
        <v>45898</v>
      </c>
      <c r="D293" s="18" t="n">
        <v>58100</v>
      </c>
      <c r="E293" s="17" t="n">
        <v>45961</v>
      </c>
      <c r="F293" s="18" t="n">
        <v>50700</v>
      </c>
      <c r="G293" s="12" t="n">
        <v>-0.130418644578313</v>
      </c>
      <c r="H293" s="4" t="n">
        <v>40</v>
      </c>
      <c r="I293" s="4" t="s">
        <v>614</v>
      </c>
    </row>
    <row r="294" customFormat="false" ht="17.15" hidden="false" customHeight="false" outlineLevel="0" collapsed="false">
      <c r="A294" s="7" t="s">
        <v>332</v>
      </c>
      <c r="B294" s="7" t="s">
        <v>333</v>
      </c>
      <c r="C294" s="17" t="n">
        <v>45898</v>
      </c>
      <c r="D294" s="18" t="n">
        <v>92000</v>
      </c>
      <c r="E294" s="17" t="n">
        <v>45961</v>
      </c>
      <c r="F294" s="18" t="n">
        <v>99300</v>
      </c>
      <c r="G294" s="12" t="n">
        <v>0.0755728070652173</v>
      </c>
      <c r="H294" s="4" t="n">
        <v>40</v>
      </c>
      <c r="I294" s="4" t="s">
        <v>614</v>
      </c>
    </row>
    <row r="295" customFormat="false" ht="15" hidden="false" customHeight="false" outlineLevel="0" collapsed="false">
      <c r="A295" s="7" t="s">
        <v>525</v>
      </c>
      <c r="B295" s="4" t="s">
        <v>526</v>
      </c>
      <c r="C295" s="17" t="n">
        <v>45930</v>
      </c>
      <c r="D295" s="18" t="n">
        <v>9280</v>
      </c>
      <c r="E295" s="17" t="n">
        <v>45961</v>
      </c>
      <c r="F295" s="18" t="n">
        <v>10100</v>
      </c>
      <c r="G295" s="12" t="n">
        <v>0.0845555226293104</v>
      </c>
      <c r="H295" s="4" t="n">
        <v>18</v>
      </c>
      <c r="I295" s="4" t="s">
        <v>614</v>
      </c>
    </row>
    <row r="296" customFormat="false" ht="15" hidden="false" customHeight="false" outlineLevel="0" collapsed="false">
      <c r="A296" s="7" t="s">
        <v>282</v>
      </c>
      <c r="B296" s="4" t="s">
        <v>283</v>
      </c>
      <c r="C296" s="17" t="n">
        <v>45930</v>
      </c>
      <c r="D296" s="18" t="n">
        <v>52300</v>
      </c>
      <c r="E296" s="17" t="n">
        <v>45961</v>
      </c>
      <c r="F296" s="18" t="n">
        <v>51137</v>
      </c>
      <c r="G296" s="12" t="n">
        <v>-0.0256568194550668</v>
      </c>
      <c r="H296" s="4" t="n">
        <v>18</v>
      </c>
      <c r="I296" s="4" t="s">
        <v>614</v>
      </c>
    </row>
    <row r="297" customFormat="false" ht="17.15" hidden="false" customHeight="false" outlineLevel="0" collapsed="false">
      <c r="A297" s="7" t="s">
        <v>501</v>
      </c>
      <c r="B297" s="4" t="s">
        <v>502</v>
      </c>
      <c r="C297" s="17" t="n">
        <v>45838</v>
      </c>
      <c r="D297" s="18" t="n">
        <v>154200</v>
      </c>
      <c r="E297" s="17" t="n">
        <v>45972</v>
      </c>
      <c r="F297" s="18" t="n">
        <v>219000</v>
      </c>
      <c r="G297" s="12" t="n">
        <v>0.415266196498054</v>
      </c>
      <c r="H297" s="4" t="n">
        <v>90</v>
      </c>
      <c r="I297" s="7" t="s">
        <v>613</v>
      </c>
    </row>
    <row r="298" customFormat="false" ht="15" hidden="false" customHeight="false" outlineLevel="0" collapsed="false">
      <c r="A298" s="7" t="s">
        <v>292</v>
      </c>
      <c r="B298" s="4" t="s">
        <v>293</v>
      </c>
      <c r="C298" s="17" t="n">
        <v>45930</v>
      </c>
      <c r="D298" s="18" t="n">
        <v>62700</v>
      </c>
      <c r="E298" s="17" t="n">
        <v>45989</v>
      </c>
      <c r="F298" s="18" t="n">
        <v>76400</v>
      </c>
      <c r="G298" s="12" t="n">
        <v>0.214239090909091</v>
      </c>
      <c r="H298" s="4" t="n">
        <v>38</v>
      </c>
      <c r="I298" s="4" t="s">
        <v>614</v>
      </c>
    </row>
    <row r="299" customFormat="false" ht="15" hidden="false" customHeight="false" outlineLevel="0" collapsed="false">
      <c r="A299" s="7" t="s">
        <v>467</v>
      </c>
      <c r="B299" s="4" t="s">
        <v>468</v>
      </c>
      <c r="C299" s="17" t="n">
        <v>45961</v>
      </c>
      <c r="D299" s="18" t="n">
        <v>949000</v>
      </c>
      <c r="E299" s="17" t="n">
        <v>45989</v>
      </c>
      <c r="F299" s="18" t="n">
        <v>876000</v>
      </c>
      <c r="G299" s="12" t="n">
        <v>-0.0801515384615384</v>
      </c>
      <c r="H299" s="4" t="n">
        <v>20</v>
      </c>
      <c r="I299" s="4" t="s">
        <v>614</v>
      </c>
    </row>
    <row r="300" customFormat="false" ht="15" hidden="false" customHeight="false" outlineLevel="0" collapsed="false">
      <c r="A300" s="7" t="s">
        <v>511</v>
      </c>
      <c r="B300" s="4" t="s">
        <v>512</v>
      </c>
      <c r="C300" s="17" t="n">
        <v>45961</v>
      </c>
      <c r="D300" s="18" t="n">
        <v>4100</v>
      </c>
      <c r="E300" s="17" t="n">
        <v>45989</v>
      </c>
      <c r="F300" s="18" t="n">
        <v>2980</v>
      </c>
      <c r="G300" s="12" t="n">
        <v>-0.275712817073171</v>
      </c>
      <c r="H300" s="4" t="n">
        <v>20</v>
      </c>
      <c r="I300" s="4" t="s">
        <v>614</v>
      </c>
    </row>
    <row r="301" customFormat="false" ht="17.15" hidden="false" customHeight="false" outlineLevel="0" collapsed="false">
      <c r="A301" s="7" t="s">
        <v>527</v>
      </c>
      <c r="B301" s="7" t="s">
        <v>528</v>
      </c>
      <c r="C301" s="17" t="n">
        <v>45961</v>
      </c>
      <c r="D301" s="18" t="n">
        <v>260000</v>
      </c>
      <c r="E301" s="17" t="n">
        <v>45989</v>
      </c>
      <c r="F301" s="18" t="n">
        <v>298000</v>
      </c>
      <c r="G301" s="12" t="n">
        <v>0.142145173076923</v>
      </c>
      <c r="H301" s="4" t="n">
        <v>20</v>
      </c>
      <c r="I301" s="4" t="s">
        <v>614</v>
      </c>
    </row>
    <row r="302" customFormat="false" ht="17.15" hidden="false" customHeight="false" outlineLevel="0" collapsed="false">
      <c r="A302" s="7" t="s">
        <v>254</v>
      </c>
      <c r="B302" s="4" t="s">
        <v>255</v>
      </c>
      <c r="C302" s="17" t="n">
        <v>45989</v>
      </c>
      <c r="D302" s="18" t="n">
        <v>79800</v>
      </c>
      <c r="E302" s="17" t="n">
        <v>45996</v>
      </c>
      <c r="F302" s="18" t="n">
        <v>75500</v>
      </c>
      <c r="G302" s="12" t="n">
        <v>-0.0571937500000002</v>
      </c>
      <c r="H302" s="4" t="n">
        <v>5</v>
      </c>
      <c r="I302" s="7" t="s">
        <v>613</v>
      </c>
    </row>
    <row r="303" customFormat="false" ht="17.15" hidden="false" customHeight="false" outlineLevel="0" collapsed="false">
      <c r="A303" s="7" t="s">
        <v>513</v>
      </c>
      <c r="B303" s="4" t="s">
        <v>514</v>
      </c>
      <c r="C303" s="17" t="n">
        <v>45989</v>
      </c>
      <c r="D303" s="18" t="n">
        <v>87300</v>
      </c>
      <c r="E303" s="17" t="n">
        <v>46008</v>
      </c>
      <c r="F303" s="18" t="n">
        <v>66400</v>
      </c>
      <c r="G303" s="12" t="n">
        <v>-0.242064536082474</v>
      </c>
      <c r="H303" s="4" t="n">
        <v>13</v>
      </c>
      <c r="I303" s="7" t="s">
        <v>613</v>
      </c>
    </row>
    <row r="304" customFormat="false" ht="17.15" hidden="false" customHeight="false" outlineLevel="0" collapsed="false">
      <c r="A304" s="7" t="s">
        <v>286</v>
      </c>
      <c r="B304" s="4" t="s">
        <v>287</v>
      </c>
      <c r="C304" s="17" t="n">
        <v>45898</v>
      </c>
      <c r="D304" s="18" t="n">
        <v>1240000</v>
      </c>
      <c r="E304" s="17" t="n">
        <v>46010</v>
      </c>
      <c r="F304" s="18" t="n">
        <v>1848000</v>
      </c>
      <c r="G304" s="12" t="n">
        <v>0.485110177419355</v>
      </c>
      <c r="H304" s="4" t="n">
        <v>75</v>
      </c>
      <c r="I304" s="7" t="s">
        <v>613</v>
      </c>
    </row>
    <row r="305" customFormat="false" ht="17.15" hidden="false" customHeight="false" outlineLevel="0" collapsed="false">
      <c r="A305" s="7" t="s">
        <v>242</v>
      </c>
      <c r="B305" s="4" t="s">
        <v>243</v>
      </c>
      <c r="C305" s="17" t="n">
        <v>45989</v>
      </c>
      <c r="D305" s="18" t="n">
        <v>61300</v>
      </c>
      <c r="E305" s="17" t="n">
        <v>46010</v>
      </c>
      <c r="F305" s="18" t="n">
        <v>58600</v>
      </c>
      <c r="G305" s="12" t="n">
        <v>-0.047389127243067</v>
      </c>
      <c r="H305" s="4" t="n">
        <v>15</v>
      </c>
      <c r="I305" s="7" t="s">
        <v>613</v>
      </c>
    </row>
    <row r="306" customFormat="false" ht="15" hidden="false" customHeight="false" outlineLevel="0" collapsed="false">
      <c r="A306" s="7" t="s">
        <v>147</v>
      </c>
      <c r="B306" s="4" t="s">
        <v>148</v>
      </c>
      <c r="C306" s="17" t="n">
        <v>45961</v>
      </c>
      <c r="D306" s="18" t="n">
        <v>113900</v>
      </c>
      <c r="E306" s="17" t="n">
        <v>46021</v>
      </c>
      <c r="F306" s="18" t="n">
        <v>119200</v>
      </c>
      <c r="G306" s="12" t="n">
        <v>0.0428717998244075</v>
      </c>
      <c r="H306" s="4" t="n">
        <v>41</v>
      </c>
      <c r="I306" s="4" t="s">
        <v>614</v>
      </c>
    </row>
    <row r="307" customFormat="false" ht="17.15" hidden="false" customHeight="false" outlineLevel="0" collapsed="false">
      <c r="A307" s="7" t="s">
        <v>517</v>
      </c>
      <c r="B307" s="4" t="s">
        <v>518</v>
      </c>
      <c r="C307" s="17" t="n">
        <v>45869</v>
      </c>
      <c r="D307" s="18" t="n">
        <v>32432</v>
      </c>
      <c r="E307" s="17" t="n">
        <v>46044</v>
      </c>
      <c r="F307" s="18" t="n">
        <v>81200</v>
      </c>
      <c r="G307" s="12" t="n">
        <v>1.49494335841145</v>
      </c>
      <c r="H307" s="4" t="n">
        <v>116</v>
      </c>
      <c r="I307" s="7" t="s">
        <v>613</v>
      </c>
    </row>
    <row r="308" customFormat="false" ht="17.15" hidden="false" customHeight="false" outlineLevel="0" collapsed="false">
      <c r="A308" s="7" t="s">
        <v>473</v>
      </c>
      <c r="B308" s="4" t="s">
        <v>474</v>
      </c>
      <c r="C308" s="17" t="n">
        <v>45989</v>
      </c>
      <c r="D308" s="18" t="n">
        <v>128700</v>
      </c>
      <c r="E308" s="17" t="n">
        <v>46044</v>
      </c>
      <c r="F308" s="18" t="n">
        <v>118600</v>
      </c>
      <c r="G308" s="12" t="n">
        <v>-0.081700104895105</v>
      </c>
      <c r="H308" s="4" t="n">
        <v>36</v>
      </c>
      <c r="I308" s="7" t="s">
        <v>613</v>
      </c>
    </row>
    <row r="309" customFormat="false" ht="17.15" hidden="false" customHeight="false" outlineLevel="0" collapsed="false">
      <c r="A309" s="7" t="s">
        <v>387</v>
      </c>
      <c r="B309" s="4" t="s">
        <v>388</v>
      </c>
      <c r="C309" s="17" t="n">
        <v>45898</v>
      </c>
      <c r="D309" s="18" t="n">
        <v>88520</v>
      </c>
      <c r="E309" s="17" t="n">
        <v>46045</v>
      </c>
      <c r="F309" s="18" t="n">
        <v>245500</v>
      </c>
      <c r="G309" s="12" t="n">
        <v>1.76368463341618</v>
      </c>
      <c r="H309" s="4" t="n">
        <v>97</v>
      </c>
      <c r="I309" s="7" t="s">
        <v>613</v>
      </c>
    </row>
    <row r="310" customFormat="false" ht="15" hidden="false" customHeight="false" outlineLevel="0" collapsed="false">
      <c r="A310" s="7" t="s">
        <v>493</v>
      </c>
      <c r="B310" s="4" t="s">
        <v>494</v>
      </c>
      <c r="C310" s="17" t="n">
        <v>45989</v>
      </c>
      <c r="D310" s="18" t="n">
        <v>188000</v>
      </c>
      <c r="E310" s="17" t="n">
        <v>46052</v>
      </c>
      <c r="F310" s="18" t="n">
        <v>197700</v>
      </c>
      <c r="G310" s="12" t="n">
        <v>0.0479177885638296</v>
      </c>
      <c r="H310" s="4" t="n">
        <v>42</v>
      </c>
      <c r="I310" s="4" t="s">
        <v>614</v>
      </c>
    </row>
    <row r="311" customFormat="false" ht="15" hidden="false" customHeight="false" outlineLevel="0" collapsed="false">
      <c r="A311" s="7" t="s">
        <v>185</v>
      </c>
      <c r="B311" s="4" t="s">
        <v>186</v>
      </c>
      <c r="C311" s="17" t="n">
        <v>46021</v>
      </c>
      <c r="D311" s="18" t="n">
        <v>90100</v>
      </c>
      <c r="E311" s="17" t="n">
        <v>46080</v>
      </c>
      <c r="F311" s="18" t="n">
        <v>141500</v>
      </c>
      <c r="G311" s="12" t="n">
        <v>0.564984503329634</v>
      </c>
      <c r="H311" s="4" t="n">
        <v>38</v>
      </c>
      <c r="I311" s="4" t="s">
        <v>614</v>
      </c>
    </row>
    <row r="312" customFormat="false" ht="17.15" hidden="false" customHeight="false" outlineLevel="0" collapsed="false">
      <c r="A312" s="7" t="s">
        <v>242</v>
      </c>
      <c r="B312" s="4" t="s">
        <v>243</v>
      </c>
      <c r="C312" s="17" t="n">
        <v>46021</v>
      </c>
      <c r="D312" s="18" t="n">
        <v>67900</v>
      </c>
      <c r="E312" s="17" t="n">
        <v>46080</v>
      </c>
      <c r="F312" s="18" t="n">
        <v>125600</v>
      </c>
      <c r="G312" s="12" t="n">
        <v>0.843309484536083</v>
      </c>
      <c r="H312" s="4" t="n">
        <v>38</v>
      </c>
      <c r="I312" s="4" t="s">
        <v>614</v>
      </c>
    </row>
    <row r="313" customFormat="false" ht="15" hidden="false" customHeight="false" outlineLevel="0" collapsed="false">
      <c r="A313" s="7" t="s">
        <v>258</v>
      </c>
      <c r="B313" s="4" t="s">
        <v>259</v>
      </c>
      <c r="C313" s="17" t="n">
        <v>46052</v>
      </c>
      <c r="D313" s="18" t="n">
        <v>37750</v>
      </c>
      <c r="E313" s="17" t="n">
        <v>46080</v>
      </c>
      <c r="F313" s="18" t="n">
        <v>36200</v>
      </c>
      <c r="G313" s="12" t="n">
        <v>-0.0444134966887417</v>
      </c>
      <c r="H313" s="4" t="n">
        <v>17</v>
      </c>
      <c r="I313" s="4" t="s">
        <v>614</v>
      </c>
    </row>
    <row r="314" customFormat="false" ht="15" hidden="false" customHeight="false" outlineLevel="0" collapsed="false">
      <c r="A314" s="7" t="s">
        <v>387</v>
      </c>
      <c r="B314" s="4" t="s">
        <v>388</v>
      </c>
      <c r="C314" s="17" t="n">
        <v>46052</v>
      </c>
      <c r="D314" s="18" t="n">
        <v>338500</v>
      </c>
      <c r="E314" s="17" t="n">
        <v>46080</v>
      </c>
      <c r="F314" s="18" t="n">
        <v>288500</v>
      </c>
      <c r="G314" s="12" t="n">
        <v>-0.150691370014771</v>
      </c>
      <c r="H314" s="4" t="n">
        <v>17</v>
      </c>
      <c r="I314" s="4" t="s">
        <v>614</v>
      </c>
    </row>
    <row r="315" customFormat="false" ht="17.15" hidden="false" customHeight="false" outlineLevel="0" collapsed="false">
      <c r="A315" s="7" t="s">
        <v>523</v>
      </c>
      <c r="B315" s="4" t="s">
        <v>524</v>
      </c>
      <c r="C315" s="17" t="n">
        <v>46021</v>
      </c>
      <c r="D315" s="18" t="n">
        <v>81300</v>
      </c>
      <c r="E315" s="17" t="n">
        <v>46105</v>
      </c>
      <c r="F315" s="18" t="n">
        <v>115200</v>
      </c>
      <c r="G315" s="12" t="n">
        <v>0.412018302583026</v>
      </c>
      <c r="H315" s="4" t="n">
        <v>54</v>
      </c>
      <c r="I315" s="7" t="s">
        <v>613</v>
      </c>
    </row>
    <row r="316" customFormat="false" ht="17.15" hidden="false" customHeight="false" outlineLevel="0" collapsed="false">
      <c r="A316" s="7" t="s">
        <v>525</v>
      </c>
      <c r="B316" s="4" t="s">
        <v>526</v>
      </c>
      <c r="C316" s="17" t="n">
        <v>46021</v>
      </c>
      <c r="D316" s="18" t="n">
        <v>18790</v>
      </c>
      <c r="E316" s="17" t="n">
        <v>46105</v>
      </c>
      <c r="F316" s="18" t="n">
        <v>29150</v>
      </c>
      <c r="G316" s="12" t="n">
        <v>0.545931233368813</v>
      </c>
      <c r="H316" s="4" t="n">
        <v>54</v>
      </c>
      <c r="I316" s="7" t="s">
        <v>613</v>
      </c>
    </row>
    <row r="317" customFormat="false" ht="17.15" hidden="false" customHeight="false" outlineLevel="0" collapsed="false">
      <c r="A317" s="7" t="s">
        <v>417</v>
      </c>
      <c r="B317" s="4" t="s">
        <v>418</v>
      </c>
      <c r="C317" s="17" t="n">
        <v>46052</v>
      </c>
      <c r="D317" s="18" t="n">
        <v>34400</v>
      </c>
      <c r="E317" s="17" t="n">
        <v>46105</v>
      </c>
      <c r="F317" s="18" t="n">
        <v>27700</v>
      </c>
      <c r="G317" s="12" t="n">
        <v>-0.197583742732558</v>
      </c>
      <c r="H317" s="4" t="n">
        <v>33</v>
      </c>
      <c r="I317" s="7" t="s">
        <v>613</v>
      </c>
    </row>
    <row r="318" customFormat="false" ht="17.15" hidden="false" customHeight="false" outlineLevel="0" collapsed="false">
      <c r="A318" s="7" t="s">
        <v>527</v>
      </c>
      <c r="B318" s="7" t="s">
        <v>528</v>
      </c>
      <c r="C318" s="17" t="n">
        <v>46021</v>
      </c>
      <c r="D318" s="18" t="n">
        <v>368000</v>
      </c>
      <c r="E318" s="17" t="n">
        <v>46112</v>
      </c>
      <c r="F318" s="18" t="n">
        <v>473500</v>
      </c>
      <c r="G318" s="12" t="n">
        <v>0.282184602581522</v>
      </c>
      <c r="H318" s="4" t="n">
        <v>59</v>
      </c>
      <c r="I318" s="7" t="s">
        <v>613</v>
      </c>
    </row>
    <row r="319" customFormat="false" ht="17.15" hidden="false" customHeight="false" outlineLevel="0" collapsed="false">
      <c r="A319" s="7" t="s">
        <v>224</v>
      </c>
      <c r="B319" s="7" t="s">
        <v>225</v>
      </c>
      <c r="C319" s="17" t="n">
        <v>45961</v>
      </c>
      <c r="D319" s="18" t="n">
        <v>559000</v>
      </c>
      <c r="E319" s="17" t="n">
        <v>46112</v>
      </c>
      <c r="F319" s="18" t="n">
        <v>807000</v>
      </c>
      <c r="G319" s="12" t="n">
        <v>0.43860021019678</v>
      </c>
      <c r="H319" s="4" t="n">
        <v>100</v>
      </c>
      <c r="I319" s="4" t="s">
        <v>614</v>
      </c>
    </row>
    <row r="320" customFormat="false" ht="17.15" hidden="false" customHeight="false" outlineLevel="0" collapsed="false">
      <c r="A320" s="7" t="s">
        <v>523</v>
      </c>
      <c r="B320" s="4" t="s">
        <v>524</v>
      </c>
      <c r="C320" s="17" t="n">
        <v>46112</v>
      </c>
      <c r="D320" s="18" t="n">
        <v>104600</v>
      </c>
      <c r="E320" s="17" t="n">
        <v>46114</v>
      </c>
      <c r="F320" s="18" t="n">
        <v>121000</v>
      </c>
      <c r="G320" s="12" t="n">
        <v>0.152741897705545</v>
      </c>
      <c r="H320" s="4" t="n">
        <v>2</v>
      </c>
      <c r="I320" s="7" t="s">
        <v>613</v>
      </c>
    </row>
    <row r="321" customFormat="false" ht="17.15" hidden="false" customHeight="false" outlineLevel="0" collapsed="false">
      <c r="A321" s="7" t="s">
        <v>525</v>
      </c>
      <c r="B321" s="4" t="s">
        <v>526</v>
      </c>
      <c r="C321" s="17" t="n">
        <v>46112</v>
      </c>
      <c r="D321" s="18" t="n">
        <v>23850</v>
      </c>
      <c r="E321" s="17" t="n">
        <v>46114</v>
      </c>
      <c r="F321" s="18" t="n">
        <v>29300</v>
      </c>
      <c r="G321" s="12" t="n">
        <v>0.224214811320755</v>
      </c>
      <c r="H321" s="4" t="n">
        <v>2</v>
      </c>
      <c r="I321" s="7" t="s">
        <v>613</v>
      </c>
    </row>
    <row r="322" customFormat="false" ht="17.15" hidden="false" customHeight="false" outlineLevel="0" collapsed="false">
      <c r="A322" s="7" t="s">
        <v>120</v>
      </c>
      <c r="B322" s="4" t="s">
        <v>121</v>
      </c>
      <c r="C322" s="17" t="n">
        <v>46080</v>
      </c>
      <c r="D322" s="18" t="n">
        <v>825000</v>
      </c>
      <c r="E322" s="17" t="n">
        <v>46120</v>
      </c>
      <c r="F322" s="18" t="n">
        <v>437000</v>
      </c>
      <c r="G322" s="12" t="n">
        <v>-0.472155645454546</v>
      </c>
      <c r="H322" s="4" t="n">
        <v>27</v>
      </c>
      <c r="I322" s="7" t="s">
        <v>613</v>
      </c>
    </row>
    <row r="323" customFormat="false" ht="17.15" hidden="false" customHeight="false" outlineLevel="0" collapsed="false">
      <c r="A323" s="7" t="s">
        <v>115</v>
      </c>
      <c r="B323" s="4" t="s">
        <v>116</v>
      </c>
      <c r="C323" s="17" t="n">
        <v>46052</v>
      </c>
      <c r="D323" s="18" t="n">
        <v>162500</v>
      </c>
      <c r="E323" s="17" t="n">
        <v>46126</v>
      </c>
      <c r="F323" s="18" t="n">
        <v>147900</v>
      </c>
      <c r="G323" s="12" t="n">
        <v>-0.0930294169230768</v>
      </c>
      <c r="H323" s="4" t="n">
        <v>48</v>
      </c>
      <c r="I323" s="7" t="s">
        <v>613</v>
      </c>
    </row>
    <row r="324" customFormat="false" ht="15" hidden="false" customHeight="false" outlineLevel="0" collapsed="false">
      <c r="A324" s="7" t="s">
        <v>348</v>
      </c>
      <c r="B324" s="4" t="s">
        <v>349</v>
      </c>
      <c r="C324" s="17" t="n">
        <v>46080</v>
      </c>
      <c r="D324" s="18" t="n">
        <v>323500</v>
      </c>
      <c r="E324" s="17" t="n">
        <v>46142</v>
      </c>
      <c r="F324" s="18" t="n">
        <v>368000</v>
      </c>
      <c r="G324" s="12" t="n">
        <v>0.133579350850077</v>
      </c>
      <c r="H324" s="4" t="n">
        <v>43</v>
      </c>
      <c r="I324" s="4" t="s">
        <v>614</v>
      </c>
    </row>
    <row r="325" customFormat="false" ht="15" hidden="false" customHeight="false" outlineLevel="0" collapsed="false">
      <c r="A325" s="7" t="s">
        <v>634</v>
      </c>
      <c r="B325" s="4" t="s">
        <v>635</v>
      </c>
      <c r="C325" s="17" t="n">
        <v>46080</v>
      </c>
      <c r="D325" s="18" t="n">
        <v>71689</v>
      </c>
      <c r="E325" s="17" t="n">
        <v>46142</v>
      </c>
      <c r="F325" s="18" t="n">
        <v>64800</v>
      </c>
      <c r="G325" s="12" t="n">
        <v>-0.099257040829137</v>
      </c>
      <c r="H325" s="4" t="n">
        <v>43</v>
      </c>
      <c r="I325" s="4" t="s">
        <v>614</v>
      </c>
    </row>
    <row r="326" customFormat="false" ht="15" hidden="false" customHeight="false" outlineLevel="0" collapsed="false">
      <c r="A326" s="7" t="s">
        <v>628</v>
      </c>
      <c r="B326" s="7" t="s">
        <v>629</v>
      </c>
      <c r="C326" s="17" t="n">
        <v>46112</v>
      </c>
      <c r="D326" s="18" t="n">
        <v>143600</v>
      </c>
      <c r="E326" s="17" t="n">
        <v>46142</v>
      </c>
      <c r="F326" s="18" t="n">
        <v>278000</v>
      </c>
      <c r="G326" s="12" t="n">
        <v>0.929162221448468</v>
      </c>
      <c r="H326" s="4" t="n">
        <v>22</v>
      </c>
      <c r="I326" s="4" t="s">
        <v>614</v>
      </c>
    </row>
    <row r="327" customFormat="false" ht="17.15" hidden="false" customHeight="false" outlineLevel="0" collapsed="false">
      <c r="A327" s="7" t="s">
        <v>523</v>
      </c>
      <c r="B327" s="4" t="s">
        <v>524</v>
      </c>
      <c r="C327" s="17" t="n">
        <v>46142</v>
      </c>
      <c r="D327" s="18" t="n">
        <v>127600</v>
      </c>
      <c r="E327" s="17" t="n">
        <v>46150</v>
      </c>
      <c r="F327" s="18" t="n">
        <v>129100</v>
      </c>
      <c r="G327" s="12" t="n">
        <v>0.00821687108150448</v>
      </c>
      <c r="H327" s="4" t="n">
        <v>4</v>
      </c>
      <c r="I327" s="7" t="s">
        <v>613</v>
      </c>
    </row>
    <row r="328" customFormat="false" ht="17.15" hidden="false" customHeight="false" outlineLevel="0" collapsed="false">
      <c r="A328" s="7" t="s">
        <v>136</v>
      </c>
      <c r="B328" s="4" t="s">
        <v>137</v>
      </c>
      <c r="C328" s="17" t="n">
        <v>46080</v>
      </c>
      <c r="D328" s="18" t="n">
        <v>17110</v>
      </c>
      <c r="E328" s="17" t="n">
        <v>46154</v>
      </c>
      <c r="F328" s="18" t="n">
        <v>19320</v>
      </c>
      <c r="G328" s="12" t="n">
        <v>0.125214979544126</v>
      </c>
      <c r="H328" s="4" t="n">
        <v>49</v>
      </c>
      <c r="I328" s="7" t="s">
        <v>613</v>
      </c>
    </row>
    <row r="329" customFormat="false" ht="17.15" hidden="false" customHeight="false" outlineLevel="0" collapsed="false">
      <c r="A329" s="7" t="s">
        <v>535</v>
      </c>
      <c r="B329" s="7" t="s">
        <v>536</v>
      </c>
      <c r="C329" s="17" t="n">
        <v>46112</v>
      </c>
      <c r="D329" s="18" t="n">
        <v>233000</v>
      </c>
      <c r="E329" s="17" t="n">
        <v>46161</v>
      </c>
      <c r="F329" s="18" t="n">
        <v>209500</v>
      </c>
      <c r="G329" s="12" t="n">
        <v>-0.10400311695279</v>
      </c>
      <c r="H329" s="4" t="n">
        <v>33</v>
      </c>
      <c r="I329" s="7" t="s">
        <v>613</v>
      </c>
    </row>
    <row r="330" customFormat="false" ht="17.15" hidden="false" customHeight="false" outlineLevel="0" collapsed="false">
      <c r="A330" s="7" t="s">
        <v>310</v>
      </c>
      <c r="B330" s="7" t="s">
        <v>311</v>
      </c>
      <c r="C330" s="17" t="n">
        <v>46142</v>
      </c>
      <c r="D330" s="18" t="n">
        <v>368000</v>
      </c>
      <c r="E330" s="17" t="n">
        <v>46171</v>
      </c>
      <c r="F330" s="18" t="n">
        <v>349500</v>
      </c>
      <c r="G330" s="12" t="n">
        <v>-0.0535934137228261</v>
      </c>
      <c r="H330" s="4" t="n">
        <v>18</v>
      </c>
      <c r="I330" s="4" t="s">
        <v>614</v>
      </c>
    </row>
    <row r="331" customFormat="false" ht="15" hidden="false" customHeight="false" outlineLevel="0" collapsed="false">
      <c r="A331" s="7" t="s">
        <v>539</v>
      </c>
      <c r="B331" s="4" t="s">
        <v>540</v>
      </c>
      <c r="C331" s="17" t="n">
        <v>46142</v>
      </c>
      <c r="D331" s="18" t="n">
        <v>168800</v>
      </c>
      <c r="E331" s="17" t="n">
        <v>46171</v>
      </c>
      <c r="F331" s="18" t="n">
        <v>199900</v>
      </c>
      <c r="G331" s="12" t="n">
        <v>0.180099820793839</v>
      </c>
      <c r="H331" s="4" t="n">
        <v>18</v>
      </c>
      <c r="I331" s="4" t="s">
        <v>614</v>
      </c>
    </row>
    <row r="332" customFormat="false" ht="17.15" hidden="false" customHeight="false" outlineLevel="0" collapsed="false">
      <c r="A332" s="7" t="s">
        <v>136</v>
      </c>
      <c r="B332" s="4" t="s">
        <v>137</v>
      </c>
      <c r="C332" s="17" t="n">
        <v>46171</v>
      </c>
      <c r="D332" s="18" t="n">
        <v>15210</v>
      </c>
      <c r="E332" s="17" t="n">
        <v>46175</v>
      </c>
      <c r="F332" s="18" t="n">
        <v>15540</v>
      </c>
      <c r="G332" s="12" t="n">
        <v>0.0181228698224856</v>
      </c>
      <c r="H332" s="4" t="n">
        <v>2</v>
      </c>
      <c r="I332" s="7" t="s">
        <v>613</v>
      </c>
    </row>
    <row r="333" customFormat="false" ht="17.15" hidden="false" customHeight="false" outlineLevel="0" collapsed="false">
      <c r="A333" s="7" t="s">
        <v>318</v>
      </c>
      <c r="B333" s="4" t="s">
        <v>319</v>
      </c>
      <c r="C333" s="17" t="n">
        <v>46112</v>
      </c>
      <c r="D333" s="18" t="n">
        <v>15550</v>
      </c>
      <c r="E333" s="17" t="n">
        <v>46177</v>
      </c>
      <c r="F333" s="18" t="n">
        <v>22450</v>
      </c>
      <c r="G333" s="12" t="n">
        <v>0.438680458199357</v>
      </c>
      <c r="H333" s="4" t="n">
        <v>43</v>
      </c>
      <c r="I333" s="7" t="s">
        <v>613</v>
      </c>
    </row>
    <row r="334" customFormat="false" ht="17.15" hidden="false" customHeight="false" outlineLevel="0" collapsed="false">
      <c r="A334" s="7" t="s">
        <v>525</v>
      </c>
      <c r="B334" s="4" t="s">
        <v>526</v>
      </c>
      <c r="C334" s="17" t="n">
        <v>46142</v>
      </c>
      <c r="D334" s="18" t="n">
        <v>31350</v>
      </c>
      <c r="E334" s="17" t="n">
        <v>46195</v>
      </c>
      <c r="F334" s="18" t="n">
        <v>31350</v>
      </c>
      <c r="G334" s="12" t="n">
        <v>-0.00349750000000004</v>
      </c>
      <c r="H334" s="4" t="n">
        <v>33</v>
      </c>
      <c r="I334" s="7" t="s">
        <v>613</v>
      </c>
    </row>
    <row r="335" customFormat="false" ht="17.15" hidden="false" customHeight="false" outlineLevel="0" collapsed="false">
      <c r="A335" s="7" t="s">
        <v>306</v>
      </c>
      <c r="B335" s="4" t="s">
        <v>307</v>
      </c>
      <c r="C335" s="17" t="n">
        <v>46171</v>
      </c>
      <c r="D335" s="18" t="n">
        <v>931000</v>
      </c>
      <c r="E335" s="17" t="n">
        <v>46197</v>
      </c>
      <c r="F335" s="18" t="n">
        <v>556000</v>
      </c>
      <c r="G335" s="12" t="n">
        <v>-0.404881428571429</v>
      </c>
      <c r="H335" s="4" t="n">
        <v>17</v>
      </c>
      <c r="I335" s="7" t="s">
        <v>613</v>
      </c>
    </row>
    <row r="336" customFormat="false" ht="17.15" hidden="false" customHeight="false" outlineLevel="0" collapsed="false">
      <c r="A336" s="7" t="s">
        <v>318</v>
      </c>
      <c r="B336" s="4" t="s">
        <v>319</v>
      </c>
      <c r="C336" s="17" t="n">
        <v>46203</v>
      </c>
      <c r="D336" s="18" t="n">
        <v>18840</v>
      </c>
      <c r="E336" s="17" t="n">
        <v>46205</v>
      </c>
      <c r="F336" s="18" t="n">
        <v>19190</v>
      </c>
      <c r="G336" s="12" t="n">
        <v>0.0150150199044588</v>
      </c>
      <c r="H336" s="4" t="n">
        <v>2</v>
      </c>
      <c r="I336" s="7" t="s">
        <v>613</v>
      </c>
    </row>
    <row r="337" customFormat="false" ht="17.15" hidden="false" customHeight="false" outlineLevel="0" collapsed="false">
      <c r="A337" s="7" t="s">
        <v>250</v>
      </c>
      <c r="B337" s="7" t="s">
        <v>251</v>
      </c>
      <c r="C337" s="17" t="n">
        <v>46171</v>
      </c>
      <c r="D337" s="18" t="n">
        <v>1458000</v>
      </c>
      <c r="E337" s="17" t="n">
        <v>46211</v>
      </c>
      <c r="F337" s="18" t="n">
        <v>776000</v>
      </c>
      <c r="G337" s="12" t="n">
        <v>-0.469625555555556</v>
      </c>
      <c r="H337" s="4" t="n">
        <v>27</v>
      </c>
      <c r="I337" s="7" t="s">
        <v>613</v>
      </c>
    </row>
    <row r="338" customFormat="false" ht="17.15" hidden="false" customHeight="false" outlineLevel="0" collapsed="false">
      <c r="A338" s="7" t="s">
        <v>330</v>
      </c>
      <c r="B338" s="4" t="s">
        <v>331</v>
      </c>
      <c r="C338" s="17" t="n">
        <v>46142</v>
      </c>
      <c r="D338" s="18" t="n">
        <v>126000</v>
      </c>
      <c r="E338" s="17" t="n">
        <v>46212</v>
      </c>
      <c r="F338" s="18" t="n">
        <v>162100</v>
      </c>
      <c r="G338" s="12" t="n">
        <v>0.282008375</v>
      </c>
      <c r="H338" s="4" t="n">
        <v>46</v>
      </c>
      <c r="I338" s="7" t="s">
        <v>613</v>
      </c>
    </row>
    <row r="339" customFormat="false" ht="17.15" hidden="false" customHeight="false" outlineLevel="0" collapsed="false">
      <c r="A339" s="7" t="s">
        <v>419</v>
      </c>
      <c r="B339" s="4" t="s">
        <v>420</v>
      </c>
      <c r="C339" s="17" t="n">
        <v>46171</v>
      </c>
      <c r="D339" s="18" t="n">
        <v>97800</v>
      </c>
      <c r="E339" s="17" t="n">
        <v>46212</v>
      </c>
      <c r="F339" s="18" t="n">
        <v>77100</v>
      </c>
      <c r="G339" s="12" t="n">
        <v>-0.214413673312883</v>
      </c>
      <c r="H339" s="4" t="n">
        <v>28</v>
      </c>
      <c r="I339" s="7" t="s">
        <v>613</v>
      </c>
    </row>
    <row r="340" customFormat="false" ht="17.15" hidden="false" customHeight="false" outlineLevel="0" collapsed="false">
      <c r="A340" s="7" t="s">
        <v>413</v>
      </c>
      <c r="B340" s="4" t="s">
        <v>414</v>
      </c>
      <c r="C340" s="17" t="n">
        <v>46203</v>
      </c>
      <c r="D340" s="18" t="n">
        <v>160000</v>
      </c>
      <c r="E340" s="17" t="n">
        <v>46212</v>
      </c>
      <c r="F340" s="18" t="n">
        <v>120000</v>
      </c>
      <c r="G340" s="12" t="n">
        <v>-0.252623125</v>
      </c>
      <c r="H340" s="4" t="n">
        <v>7</v>
      </c>
      <c r="I340" s="7" t="s">
        <v>613</v>
      </c>
    </row>
    <row r="341" customFormat="false" ht="17.15" hidden="false" customHeight="false" outlineLevel="0" collapsed="false">
      <c r="A341" s="7" t="s">
        <v>527</v>
      </c>
      <c r="B341" s="7" t="s">
        <v>528</v>
      </c>
      <c r="C341" s="17" t="n">
        <v>46142</v>
      </c>
      <c r="D341" s="18" t="n">
        <v>841000</v>
      </c>
      <c r="E341" s="17" t="n">
        <v>46217</v>
      </c>
      <c r="F341" s="18" t="n">
        <v>1161000</v>
      </c>
      <c r="G341" s="12" t="n">
        <v>0.375671108799049</v>
      </c>
      <c r="H341" s="4" t="n">
        <v>49</v>
      </c>
      <c r="I341" s="7" t="s">
        <v>613</v>
      </c>
    </row>
    <row r="342" customFormat="false" ht="17.15" hidden="false" customHeight="false" outlineLevel="0" collapsed="false">
      <c r="A342" s="7" t="s">
        <v>208</v>
      </c>
      <c r="B342" s="4" t="s">
        <v>209</v>
      </c>
      <c r="C342" s="17" t="n">
        <v>46142</v>
      </c>
      <c r="D342" s="18" t="n">
        <v>832000</v>
      </c>
      <c r="E342" s="17" t="n">
        <v>46217</v>
      </c>
      <c r="F342" s="18" t="n">
        <v>1270000</v>
      </c>
      <c r="G342" s="12" t="n">
        <v>0.521103575721154</v>
      </c>
      <c r="H342" s="4" t="n">
        <v>49</v>
      </c>
      <c r="I342" s="7" t="s">
        <v>613</v>
      </c>
    </row>
    <row r="343" customFormat="false" ht="17.15" hidden="false" customHeight="false" outlineLevel="0" collapsed="false">
      <c r="A343" s="7" t="s">
        <v>224</v>
      </c>
      <c r="B343" s="7" t="s">
        <v>225</v>
      </c>
      <c r="C343" s="17" t="n">
        <v>46171</v>
      </c>
      <c r="D343" s="18" t="n">
        <v>2333000</v>
      </c>
      <c r="E343" s="17" t="n">
        <v>46217</v>
      </c>
      <c r="F343" s="18" t="n">
        <v>1825000</v>
      </c>
      <c r="G343" s="12" t="n">
        <v>-0.22048132768967</v>
      </c>
      <c r="H343" s="4" t="n">
        <v>31</v>
      </c>
      <c r="I343" s="7" t="s">
        <v>613</v>
      </c>
    </row>
    <row r="344" customFormat="false" ht="17.15" hidden="false" customHeight="false" outlineLevel="0" collapsed="false">
      <c r="A344" s="7" t="s">
        <v>539</v>
      </c>
      <c r="B344" s="4" t="s">
        <v>540</v>
      </c>
      <c r="C344" s="17" t="n">
        <v>46203</v>
      </c>
      <c r="D344" s="18" t="n">
        <v>244500</v>
      </c>
      <c r="E344" s="17" t="n">
        <v>46230</v>
      </c>
      <c r="F344" s="18" t="n">
        <v>215500</v>
      </c>
      <c r="G344" s="12" t="n">
        <v>-0.121692070552147</v>
      </c>
      <c r="H344" s="4" t="n">
        <v>18</v>
      </c>
      <c r="I344" s="7" t="s">
        <v>613</v>
      </c>
    </row>
    <row r="345" customFormat="false" ht="17.15" hidden="false" customHeight="false" outlineLevel="0" collapsed="false">
      <c r="A345" s="7" t="s">
        <v>240</v>
      </c>
      <c r="B345" s="4" t="s">
        <v>241</v>
      </c>
      <c r="C345" s="17" t="n">
        <v>46203</v>
      </c>
      <c r="D345" s="18" t="n">
        <v>208000</v>
      </c>
      <c r="E345" s="17" t="n">
        <v>46230</v>
      </c>
      <c r="F345" s="18" t="n">
        <v>137400</v>
      </c>
      <c r="G345" s="12" t="n">
        <v>-0.341733444711538</v>
      </c>
      <c r="H345" s="4" t="n">
        <v>18</v>
      </c>
      <c r="I345" s="7" t="s">
        <v>613</v>
      </c>
    </row>
    <row r="346" customFormat="false" ht="17.15" hidden="false" customHeight="false" outlineLevel="0" collapsed="false">
      <c r="A346" s="7" t="s">
        <v>539</v>
      </c>
      <c r="B346" s="4" t="s">
        <v>540</v>
      </c>
      <c r="C346" s="17" t="n">
        <v>46234</v>
      </c>
      <c r="D346" s="18" t="n">
        <v>186600</v>
      </c>
      <c r="E346" s="17" t="n">
        <v>46238</v>
      </c>
      <c r="F346" s="18" t="n">
        <v>198800</v>
      </c>
      <c r="G346" s="12" t="n">
        <v>0.0616543247588424</v>
      </c>
      <c r="H346" s="4" t="n">
        <v>2</v>
      </c>
      <c r="I346" s="7" t="s">
        <v>613</v>
      </c>
    </row>
    <row r="347" customFormat="false" ht="17.15" hidden="false" customHeight="false" outlineLevel="0" collapsed="false">
      <c r="A347" s="7" t="s">
        <v>330</v>
      </c>
      <c r="B347" s="4" t="s">
        <v>331</v>
      </c>
      <c r="C347" s="17" t="n">
        <v>46234</v>
      </c>
      <c r="D347" s="18" t="n">
        <v>124500</v>
      </c>
      <c r="E347" s="17" t="n">
        <v>46238</v>
      </c>
      <c r="F347" s="18" t="n">
        <v>131700</v>
      </c>
      <c r="G347" s="12" t="n">
        <v>0.054131560240964</v>
      </c>
      <c r="H347" s="4" t="n">
        <v>2</v>
      </c>
      <c r="I347" s="7" t="s">
        <v>613</v>
      </c>
    </row>
    <row r="348" customFormat="false" ht="17.15" hidden="false" customHeight="false" outlineLevel="0" collapsed="false">
      <c r="A348" s="7" t="s">
        <v>224</v>
      </c>
      <c r="B348" s="7" t="s">
        <v>225</v>
      </c>
      <c r="C348" s="17" t="n">
        <v>46234</v>
      </c>
      <c r="D348" s="18" t="n">
        <v>1718000</v>
      </c>
      <c r="E348" s="17" t="n">
        <v>46238</v>
      </c>
      <c r="F348" s="18" t="n">
        <v>1620000</v>
      </c>
      <c r="G348" s="12" t="n">
        <v>-0.0603410651920837</v>
      </c>
      <c r="H348" s="4" t="n">
        <v>2</v>
      </c>
      <c r="I348" s="7" t="s">
        <v>613</v>
      </c>
    </row>
    <row r="349" customFormat="false" ht="17.15" hidden="false" customHeight="false" outlineLevel="0" collapsed="false">
      <c r="A349" s="7" t="s">
        <v>628</v>
      </c>
      <c r="B349" s="7" t="s">
        <v>629</v>
      </c>
      <c r="C349" s="17" t="n">
        <v>46234</v>
      </c>
      <c r="D349" s="18" t="n">
        <v>184800</v>
      </c>
      <c r="E349" s="17" t="n">
        <v>46238</v>
      </c>
      <c r="F349" s="18" t="n">
        <v>196200</v>
      </c>
      <c r="G349" s="12" t="n">
        <v>0.0579750568181818</v>
      </c>
      <c r="H349" s="4" t="n">
        <v>2</v>
      </c>
      <c r="I349" s="7" t="s">
        <v>613</v>
      </c>
    </row>
    <row r="350" customFormat="false" ht="17.15" hidden="false" customHeight="false" outlineLevel="0" collapsed="false">
      <c r="A350" s="7" t="s">
        <v>250</v>
      </c>
      <c r="B350" s="7" t="s">
        <v>251</v>
      </c>
      <c r="C350" s="17" t="n">
        <v>46234</v>
      </c>
      <c r="D350" s="18" t="n">
        <v>514000</v>
      </c>
      <c r="E350" s="17" t="n">
        <v>46238</v>
      </c>
      <c r="F350" s="18" t="n">
        <v>526000</v>
      </c>
      <c r="G350" s="12" t="n">
        <v>0.0197671498054475</v>
      </c>
      <c r="H350" s="4" t="n">
        <v>2</v>
      </c>
      <c r="I350" s="7" t="s">
        <v>613</v>
      </c>
    </row>
    <row r="351" customFormat="false" ht="17.15" hidden="false" customHeight="false" outlineLevel="0" collapsed="false">
      <c r="A351" s="7" t="s">
        <v>527</v>
      </c>
      <c r="B351" s="7" t="s">
        <v>528</v>
      </c>
      <c r="C351" s="17" t="n">
        <v>46234</v>
      </c>
      <c r="D351" s="18" t="n">
        <v>1038000</v>
      </c>
      <c r="E351" s="17" t="n">
        <v>46238</v>
      </c>
      <c r="F351" s="18" t="n">
        <v>1096000</v>
      </c>
      <c r="G351" s="12" t="n">
        <v>0.0521837572254336</v>
      </c>
      <c r="H351" s="4" t="n">
        <v>2</v>
      </c>
      <c r="I351" s="7" t="s">
        <v>613</v>
      </c>
    </row>
    <row r="352" customFormat="false" ht="17.15" hidden="false" customHeight="false" outlineLevel="0" collapsed="false">
      <c r="A352" s="7" t="s">
        <v>318</v>
      </c>
      <c r="B352" s="4" t="s">
        <v>319</v>
      </c>
      <c r="C352" s="17" t="n">
        <v>46234</v>
      </c>
      <c r="D352" s="18" t="n">
        <v>12780</v>
      </c>
      <c r="E352" s="17" t="n">
        <v>46238</v>
      </c>
      <c r="F352" s="18" t="n">
        <v>13200</v>
      </c>
      <c r="G352" s="12" t="n">
        <v>0.0292514084507043</v>
      </c>
      <c r="H352" s="4" t="n">
        <v>2</v>
      </c>
      <c r="I352" s="7" t="s">
        <v>613</v>
      </c>
    </row>
    <row r="353" customFormat="false" ht="17.15" hidden="false" customHeight="false" outlineLevel="0" collapsed="false">
      <c r="A353" s="7" t="s">
        <v>240</v>
      </c>
      <c r="B353" s="4" t="s">
        <v>241</v>
      </c>
      <c r="C353" s="17" t="n">
        <v>46234</v>
      </c>
      <c r="D353" s="18" t="n">
        <v>130000</v>
      </c>
      <c r="E353" s="17" t="n">
        <v>46238</v>
      </c>
      <c r="F353" s="18" t="n">
        <v>133600</v>
      </c>
      <c r="G353" s="12" t="n">
        <v>0.0240979538461539</v>
      </c>
      <c r="H353" s="4" t="n">
        <v>2</v>
      </c>
      <c r="I353" s="7" t="s">
        <v>613</v>
      </c>
    </row>
    <row r="354" customFormat="false" ht="17.15" hidden="false" customHeight="false" outlineLevel="0" collapsed="false">
      <c r="A354" s="7" t="s">
        <v>549</v>
      </c>
      <c r="B354" s="7" t="s">
        <v>550</v>
      </c>
      <c r="C354" s="17" t="n">
        <v>46234</v>
      </c>
      <c r="D354" s="18" t="n">
        <v>557000</v>
      </c>
      <c r="E354" s="17" t="n">
        <v>46238</v>
      </c>
      <c r="F354" s="18" t="n">
        <v>519000</v>
      </c>
      <c r="G354" s="12" t="n">
        <v>-0.0714815125673249</v>
      </c>
      <c r="H354" s="4" t="n">
        <v>2</v>
      </c>
      <c r="I354" s="7" t="s">
        <v>613</v>
      </c>
    </row>
    <row r="355" customFormat="false" ht="17.15" hidden="false" customHeight="false" outlineLevel="0" collapsed="false">
      <c r="A355" s="7" t="s">
        <v>208</v>
      </c>
      <c r="B355" s="4" t="s">
        <v>209</v>
      </c>
      <c r="C355" s="17" t="n">
        <v>46234</v>
      </c>
      <c r="D355" s="18" t="n">
        <v>1142000</v>
      </c>
      <c r="E355" s="17" t="n">
        <v>46238</v>
      </c>
      <c r="F355" s="18" t="n">
        <v>1278000</v>
      </c>
      <c r="G355" s="12" t="n">
        <v>0.115175302101576</v>
      </c>
      <c r="H355" s="4" t="n">
        <v>2</v>
      </c>
      <c r="I355" s="7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8"/>
    <col collapsed="false" customWidth="true" hidden="false" outlineLevel="0" max="6" min="4" style="0" width="9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8"/>
  </cols>
  <sheetData>
    <row r="1" customFormat="false" ht="17.15" hidden="false" customHeight="false" outlineLevel="0" collapsed="false">
      <c r="A1" s="11" t="s">
        <v>636</v>
      </c>
    </row>
    <row r="3" customFormat="false" ht="32.8" hidden="false" customHeight="false" outlineLevel="0" collapsed="false">
      <c r="A3" s="3" t="s">
        <v>589</v>
      </c>
      <c r="B3" s="20" t="s">
        <v>637</v>
      </c>
      <c r="C3" s="20" t="s">
        <v>638</v>
      </c>
      <c r="D3" s="20" t="s">
        <v>639</v>
      </c>
      <c r="E3" s="3" t="s">
        <v>640</v>
      </c>
      <c r="F3" s="3" t="s">
        <v>641</v>
      </c>
      <c r="G3" s="20" t="s">
        <v>642</v>
      </c>
      <c r="H3" s="20" t="s">
        <v>643</v>
      </c>
      <c r="I3" s="20" t="s">
        <v>644</v>
      </c>
      <c r="J3" s="20" t="s">
        <v>645</v>
      </c>
      <c r="K3" s="20" t="s">
        <v>646</v>
      </c>
      <c r="L3" s="3" t="s">
        <v>647</v>
      </c>
    </row>
    <row r="4" customFormat="false" ht="17.15" hidden="false" customHeight="false" outlineLevel="0" collapsed="false">
      <c r="A4" s="7" t="s">
        <v>648</v>
      </c>
      <c r="B4" s="4" t="n">
        <v>1193</v>
      </c>
      <c r="C4" s="21" t="n">
        <v>0.34953897736798</v>
      </c>
      <c r="D4" s="22" t="n">
        <v>0.025898165215339</v>
      </c>
      <c r="E4" s="22" t="n">
        <v>0.00335028193916729</v>
      </c>
      <c r="F4" s="22" t="n">
        <v>0.0225478832761717</v>
      </c>
      <c r="G4" s="9" t="n">
        <v>0</v>
      </c>
      <c r="H4" s="4" t="n">
        <v>1710</v>
      </c>
      <c r="I4" s="21" t="n">
        <v>0.315789473684211</v>
      </c>
      <c r="J4" s="22" t="n">
        <v>0.0281463858545607</v>
      </c>
      <c r="K4" s="9" t="n">
        <v>4.12922335468361</v>
      </c>
      <c r="L4" s="21" t="n">
        <v>0.408542886668963</v>
      </c>
    </row>
    <row r="5" customFormat="false" ht="17.15" hidden="false" customHeight="false" outlineLevel="0" collapsed="false">
      <c r="A5" s="7" t="s">
        <v>649</v>
      </c>
      <c r="B5" s="4" t="n">
        <v>879</v>
      </c>
      <c r="C5" s="21" t="n">
        <v>0.339021615472127</v>
      </c>
      <c r="D5" s="22" t="n">
        <v>0.0249583392816592</v>
      </c>
      <c r="E5" s="22" t="n">
        <v>0.00345933293145635</v>
      </c>
      <c r="F5" s="22" t="n">
        <v>0.0214990063502029</v>
      </c>
      <c r="G5" s="9" t="n">
        <v>0</v>
      </c>
      <c r="H5" s="4" t="n">
        <v>1394</v>
      </c>
      <c r="I5" s="21" t="n">
        <v>0.337159253945481</v>
      </c>
      <c r="J5" s="22" t="n">
        <v>0.0372327683541795</v>
      </c>
      <c r="K5" s="9" t="n">
        <v>4.71032152976075</v>
      </c>
      <c r="L5" s="21" t="n">
        <v>0.403431588209415</v>
      </c>
    </row>
    <row r="6" customFormat="false" ht="17.15" hidden="false" customHeight="false" outlineLevel="0" collapsed="false">
      <c r="A6" s="7" t="s">
        <v>650</v>
      </c>
      <c r="B6" s="4" t="n">
        <v>1049</v>
      </c>
      <c r="C6" s="21" t="n">
        <v>0.344137273593899</v>
      </c>
      <c r="D6" s="22" t="n">
        <v>0.028931699538631</v>
      </c>
      <c r="E6" s="22" t="n">
        <v>0.0044673084452697</v>
      </c>
      <c r="F6" s="22" t="n">
        <v>0.0244643910933613</v>
      </c>
      <c r="G6" s="9" t="n">
        <v>0</v>
      </c>
      <c r="H6" s="4" t="n">
        <v>1612</v>
      </c>
      <c r="I6" s="21" t="n">
        <v>0.305210918114144</v>
      </c>
      <c r="J6" s="22" t="n">
        <v>0.0270503020549253</v>
      </c>
      <c r="K6" s="9" t="n">
        <v>3.75887193876872</v>
      </c>
      <c r="L6" s="21" t="n">
        <v>0.435550544907929</v>
      </c>
    </row>
    <row r="7" customFormat="false" ht="17.15" hidden="false" customHeight="false" outlineLevel="0" collapsed="false">
      <c r="A7" s="7" t="s">
        <v>651</v>
      </c>
      <c r="B7" s="4" t="n">
        <v>774</v>
      </c>
      <c r="C7" s="21" t="n">
        <v>0.329457364341085</v>
      </c>
      <c r="D7" s="22" t="n">
        <v>0.0245650067171303</v>
      </c>
      <c r="E7" s="22" t="n">
        <v>0.00425019966436093</v>
      </c>
      <c r="F7" s="22" t="n">
        <v>0.0203148070527693</v>
      </c>
      <c r="G7" s="9" t="n">
        <v>0</v>
      </c>
      <c r="H7" s="4" t="n">
        <v>1319</v>
      </c>
      <c r="I7" s="21" t="n">
        <v>0.321455648218347</v>
      </c>
      <c r="J7" s="22" t="n">
        <v>0.0342526591709524</v>
      </c>
      <c r="K7" s="9" t="n">
        <v>4.12933505714515</v>
      </c>
      <c r="L7" s="21" t="n">
        <v>0.440516005733397</v>
      </c>
    </row>
    <row r="8" customFormat="false" ht="17.15" hidden="false" customHeight="false" outlineLevel="0" collapsed="false">
      <c r="A8" s="7" t="s">
        <v>652</v>
      </c>
      <c r="B8" s="4" t="n">
        <v>3069</v>
      </c>
      <c r="C8" s="21" t="n">
        <v>0.316063864450961</v>
      </c>
      <c r="D8" s="22" t="n">
        <v>0.00295333375774506</v>
      </c>
      <c r="E8" s="22" t="n">
        <v>0.000450441264791642</v>
      </c>
      <c r="F8" s="22" t="n">
        <v>0.00250289249295342</v>
      </c>
      <c r="G8" s="9" t="n">
        <v>0</v>
      </c>
      <c r="H8" s="4" t="n">
        <v>4089</v>
      </c>
      <c r="I8" s="21" t="n">
        <v>0.333333333333333</v>
      </c>
      <c r="J8" s="22" t="n">
        <v>0.00717096964929516</v>
      </c>
      <c r="K8" s="9" t="n">
        <v>2.80912563022455</v>
      </c>
      <c r="L8" s="21" t="n">
        <v>0.211930706901369</v>
      </c>
    </row>
    <row r="9" customFormat="false" ht="17.15" hidden="false" customHeight="false" outlineLevel="0" collapsed="false">
      <c r="A9" s="7" t="s">
        <v>653</v>
      </c>
      <c r="B9" s="4" t="n">
        <v>2017</v>
      </c>
      <c r="C9" s="21" t="n">
        <v>0.326722855726326</v>
      </c>
      <c r="D9" s="22" t="n">
        <v>0.00368542456631809</v>
      </c>
      <c r="E9" s="22" t="n">
        <v>0.000324961754317347</v>
      </c>
      <c r="F9" s="22" t="n">
        <v>0.00336046281200074</v>
      </c>
      <c r="G9" s="9" t="n">
        <v>0</v>
      </c>
      <c r="H9" s="4" t="n">
        <v>2855</v>
      </c>
      <c r="I9" s="21" t="n">
        <v>0.361471103327496</v>
      </c>
      <c r="J9" s="22" t="n">
        <v>0.0147229762067472</v>
      </c>
      <c r="K9" s="9" t="n">
        <v>4.53459010763453</v>
      </c>
      <c r="L9" s="21" t="n">
        <v>0.218596059113301</v>
      </c>
    </row>
    <row r="10" customFormat="false" ht="17.15" hidden="false" customHeight="false" outlineLevel="0" collapsed="false">
      <c r="A10" s="7" t="s">
        <v>654</v>
      </c>
      <c r="B10" s="4" t="n">
        <v>2041</v>
      </c>
      <c r="C10" s="21" t="n">
        <v>0.260656540911318</v>
      </c>
      <c r="D10" s="22" t="n">
        <v>0.0103077181472331</v>
      </c>
      <c r="E10" s="22" t="n">
        <v>0.00881414701565278</v>
      </c>
      <c r="F10" s="22" t="n">
        <v>0.00149357113158031</v>
      </c>
      <c r="G10" s="9" t="n">
        <v>0.4</v>
      </c>
      <c r="H10" s="4" t="n">
        <v>2257</v>
      </c>
      <c r="I10" s="21" t="n">
        <v>0.249889233495791</v>
      </c>
      <c r="J10" s="22" t="n">
        <v>-0.000650833761822081</v>
      </c>
      <c r="K10" s="9" t="n">
        <v>-0.180836031752296</v>
      </c>
      <c r="L10" s="21" t="n">
        <v>0.518845974872034</v>
      </c>
    </row>
    <row r="11" customFormat="false" ht="17.15" hidden="false" customHeight="false" outlineLevel="0" collapsed="false">
      <c r="A11" s="7" t="s">
        <v>655</v>
      </c>
      <c r="B11" s="4" t="n">
        <v>1264</v>
      </c>
      <c r="C11" s="21" t="n">
        <v>0.291930379746835</v>
      </c>
      <c r="D11" s="22" t="n">
        <v>0.0251381860696918</v>
      </c>
      <c r="E11" s="22" t="n">
        <v>0.00810452795212995</v>
      </c>
      <c r="F11" s="22" t="n">
        <v>0.0170336581175619</v>
      </c>
      <c r="G11" s="9" t="n">
        <v>0</v>
      </c>
      <c r="H11" s="4" t="n">
        <v>1390</v>
      </c>
      <c r="I11" s="21" t="n">
        <v>0.269064748201439</v>
      </c>
      <c r="J11" s="22" t="n">
        <v>0.00924556086611222</v>
      </c>
      <c r="K11" s="9" t="n">
        <v>1.72993403371473</v>
      </c>
      <c r="L11" s="21" t="n">
        <v>0.521100226073851</v>
      </c>
    </row>
    <row r="12" customFormat="false" ht="17.15" hidden="false" customHeight="false" outlineLevel="0" collapsed="false">
      <c r="A12" s="7" t="s">
        <v>656</v>
      </c>
      <c r="B12" s="4" t="n">
        <v>972</v>
      </c>
      <c r="C12" s="21" t="n">
        <v>0.277777777777778</v>
      </c>
      <c r="D12" s="22" t="n">
        <v>0.0258699046957831</v>
      </c>
      <c r="E12" s="22" t="n">
        <v>0.00408015890864563</v>
      </c>
      <c r="F12" s="22" t="n">
        <v>0.0217897457871374</v>
      </c>
      <c r="G12" s="9" t="n">
        <v>0</v>
      </c>
      <c r="H12" s="4" t="n">
        <v>1060</v>
      </c>
      <c r="I12" s="21" t="n">
        <v>0.255660377358491</v>
      </c>
      <c r="J12" s="22" t="n">
        <v>0.00731399206274315</v>
      </c>
      <c r="K12" s="9" t="n">
        <v>1.09026549197679</v>
      </c>
      <c r="L12" s="21" t="n">
        <v>0.536417322834646</v>
      </c>
    </row>
    <row r="13" customFormat="false" ht="17.15" hidden="false" customHeight="false" outlineLevel="0" collapsed="false">
      <c r="A13" s="7" t="s">
        <v>657</v>
      </c>
      <c r="B13" s="4" t="n">
        <v>714</v>
      </c>
      <c r="C13" s="21" t="n">
        <v>0.330532212885154</v>
      </c>
      <c r="D13" s="22" t="n">
        <v>0.0436595130727824</v>
      </c>
      <c r="E13" s="22" t="n">
        <v>0.00165431148794707</v>
      </c>
      <c r="F13" s="22" t="n">
        <v>0.0420052015848353</v>
      </c>
      <c r="G13" s="9" t="n">
        <v>0</v>
      </c>
      <c r="H13" s="4" t="n">
        <v>749</v>
      </c>
      <c r="I13" s="21" t="n">
        <v>0.279038718291055</v>
      </c>
      <c r="J13" s="22" t="n">
        <v>0.0193979347073391</v>
      </c>
      <c r="K13" s="9" t="n">
        <v>2.07454854781122</v>
      </c>
      <c r="L13" s="21" t="n">
        <v>0.519480519480519</v>
      </c>
    </row>
    <row r="14" customFormat="false" ht="17.15" hidden="false" customHeight="false" outlineLevel="0" collapsed="false">
      <c r="A14" s="7" t="s">
        <v>658</v>
      </c>
      <c r="B14" s="4" t="n">
        <v>2982</v>
      </c>
      <c r="C14" s="21" t="n">
        <v>0.27364185110664</v>
      </c>
      <c r="D14" s="22" t="n">
        <v>0.013824194620751</v>
      </c>
      <c r="E14" s="22" t="n">
        <v>0.0173063599226385</v>
      </c>
      <c r="F14" s="22" t="n">
        <v>-0.00348216530188749</v>
      </c>
      <c r="G14" s="9" t="n">
        <v>0.8</v>
      </c>
      <c r="H14" s="4" t="n">
        <v>3891</v>
      </c>
      <c r="I14" s="21" t="n">
        <v>0.269082498072475</v>
      </c>
      <c r="J14" s="22" t="n">
        <v>0.0141334512168149</v>
      </c>
      <c r="K14" s="9" t="n">
        <v>3.85100696834304</v>
      </c>
      <c r="L14" s="21" t="n">
        <v>0.501091226538629</v>
      </c>
    </row>
    <row r="15" customFormat="false" ht="17.15" hidden="false" customHeight="false" outlineLevel="0" collapsed="false">
      <c r="A15" s="7" t="s">
        <v>659</v>
      </c>
      <c r="B15" s="4" t="n">
        <v>1848</v>
      </c>
      <c r="C15" s="21" t="n">
        <v>0.293290043290043</v>
      </c>
      <c r="D15" s="22" t="n">
        <v>0.0241013739981468</v>
      </c>
      <c r="E15" s="22" t="n">
        <v>0.0156389010096411</v>
      </c>
      <c r="F15" s="22" t="n">
        <v>0.00846247298850565</v>
      </c>
      <c r="G15" s="9" t="n">
        <v>0.025</v>
      </c>
      <c r="H15" s="4" t="n">
        <v>2471</v>
      </c>
      <c r="I15" s="21" t="n">
        <v>0.291380008093889</v>
      </c>
      <c r="J15" s="22" t="n">
        <v>0.0284011641167568</v>
      </c>
      <c r="K15" s="9" t="n">
        <v>5.22888351349605</v>
      </c>
      <c r="L15" s="21" t="n">
        <v>0.502894188469553</v>
      </c>
    </row>
    <row r="16" customFormat="false" ht="17.15" hidden="false" customHeight="false" outlineLevel="0" collapsed="false">
      <c r="A16" s="7" t="s">
        <v>660</v>
      </c>
      <c r="B16" s="4" t="n">
        <v>3895</v>
      </c>
      <c r="C16" s="21" t="n">
        <v>0.424646983311938</v>
      </c>
      <c r="D16" s="22" t="n">
        <v>0.0164941386677118</v>
      </c>
      <c r="E16" s="22" t="n">
        <v>0.0135896248039117</v>
      </c>
      <c r="F16" s="22" t="n">
        <v>0.00290451386380005</v>
      </c>
      <c r="G16" s="9" t="n">
        <v>0.075</v>
      </c>
      <c r="H16" s="4" t="n">
        <v>6551</v>
      </c>
      <c r="I16" s="21" t="n">
        <v>0.381010532743093</v>
      </c>
      <c r="J16" s="22" t="n">
        <v>0.00823962751690551</v>
      </c>
      <c r="K16" s="9" t="n">
        <v>4.11392338615763</v>
      </c>
      <c r="L16" s="21" t="n">
        <v>0.430595443231859</v>
      </c>
    </row>
    <row r="17" customFormat="false" ht="17.15" hidden="false" customHeight="false" outlineLevel="0" collapsed="false">
      <c r="A17" s="7" t="s">
        <v>661</v>
      </c>
      <c r="B17" s="4" t="n">
        <v>1729</v>
      </c>
      <c r="C17" s="21" t="n">
        <v>0.394447657605552</v>
      </c>
      <c r="D17" s="22" t="n">
        <v>0.0059641784640601</v>
      </c>
      <c r="E17" s="22" t="n">
        <v>0.0130648051887999</v>
      </c>
      <c r="F17" s="22" t="n">
        <v>-0.0071006267247398</v>
      </c>
      <c r="G17" s="9" t="n">
        <v>1</v>
      </c>
      <c r="H17" s="4" t="n">
        <v>4091</v>
      </c>
      <c r="I17" s="21" t="n">
        <v>0.372769494011244</v>
      </c>
      <c r="J17" s="22" t="n">
        <v>0.0111972030938242</v>
      </c>
      <c r="K17" s="9" t="n">
        <v>4.08083103806946</v>
      </c>
      <c r="L17" s="21" t="n">
        <v>0.461340206185567</v>
      </c>
    </row>
    <row r="18" customFormat="false" ht="17.15" hidden="false" customHeight="false" outlineLevel="0" collapsed="false">
      <c r="A18" s="7" t="s">
        <v>662</v>
      </c>
      <c r="B18" s="4" t="n">
        <v>3906</v>
      </c>
      <c r="C18" s="21" t="n">
        <v>0.419610855094726</v>
      </c>
      <c r="D18" s="22" t="n">
        <v>0.0163052661620375</v>
      </c>
      <c r="E18" s="22" t="n">
        <v>0.0134955130531604</v>
      </c>
      <c r="F18" s="22" t="n">
        <v>0.00280975310887713</v>
      </c>
      <c r="G18" s="9" t="n">
        <v>0.025</v>
      </c>
      <c r="H18" s="4" t="n">
        <v>6366</v>
      </c>
      <c r="I18" s="21" t="n">
        <v>0.390040841972981</v>
      </c>
      <c r="J18" s="22" t="n">
        <v>0.00967136904721105</v>
      </c>
      <c r="K18" s="9" t="n">
        <v>4.77183064310169</v>
      </c>
      <c r="L18" s="21" t="n">
        <v>0.430685358255452</v>
      </c>
    </row>
    <row r="19" customFormat="false" ht="17.15" hidden="false" customHeight="false" outlineLevel="0" collapsed="false">
      <c r="A19" s="7" t="s">
        <v>663</v>
      </c>
      <c r="B19" s="4" t="n">
        <v>1853</v>
      </c>
      <c r="C19" s="21" t="n">
        <v>0.396114409066379</v>
      </c>
      <c r="D19" s="22" t="n">
        <v>0.00895528188079043</v>
      </c>
      <c r="E19" s="22" t="n">
        <v>0.0128509694333715</v>
      </c>
      <c r="F19" s="22" t="n">
        <v>-0.00389568755258109</v>
      </c>
      <c r="G19" s="9" t="n">
        <v>0.9</v>
      </c>
      <c r="H19" s="4" t="n">
        <v>3977</v>
      </c>
      <c r="I19" s="21" t="n">
        <v>0.384209202916771</v>
      </c>
      <c r="J19" s="22" t="n">
        <v>0.0137294693597082</v>
      </c>
      <c r="K19" s="9" t="n">
        <v>4.95305335104663</v>
      </c>
      <c r="L19" s="21" t="n">
        <v>0.454888507718696</v>
      </c>
    </row>
    <row r="20" customFormat="false" ht="17.15" hidden="false" customHeight="false" outlineLevel="0" collapsed="false">
      <c r="A20" s="7" t="s">
        <v>664</v>
      </c>
      <c r="B20" s="4" t="n">
        <v>3319</v>
      </c>
      <c r="C20" s="21" t="n">
        <v>0.418198252485689</v>
      </c>
      <c r="D20" s="22" t="n">
        <v>0.0148917845462038</v>
      </c>
      <c r="E20" s="22" t="n">
        <v>0.0120459733474836</v>
      </c>
      <c r="F20" s="22" t="n">
        <v>0.00284581119872016</v>
      </c>
      <c r="G20" s="9" t="n">
        <v>0</v>
      </c>
      <c r="H20" s="4" t="n">
        <v>5038</v>
      </c>
      <c r="I20" s="21" t="n">
        <v>0.39777689559349</v>
      </c>
      <c r="J20" s="22" t="n">
        <v>0.0137172550311636</v>
      </c>
      <c r="K20" s="9" t="n">
        <v>5.85170884257838</v>
      </c>
      <c r="L20" s="21" t="n">
        <v>0.413186550197439</v>
      </c>
    </row>
    <row r="21" customFormat="false" ht="17.15" hidden="false" customHeight="false" outlineLevel="0" collapsed="false">
      <c r="A21" s="7" t="s">
        <v>665</v>
      </c>
      <c r="B21" s="4" t="n">
        <v>1702</v>
      </c>
      <c r="C21" s="21" t="n">
        <v>0.420094007050529</v>
      </c>
      <c r="D21" s="22" t="n">
        <v>0.0130892796742213</v>
      </c>
      <c r="E21" s="22" t="n">
        <v>0.0102411501231775</v>
      </c>
      <c r="F21" s="22" t="n">
        <v>0.00284812955104385</v>
      </c>
      <c r="G21" s="9" t="n">
        <v>0.125</v>
      </c>
      <c r="H21" s="4" t="n">
        <v>3189</v>
      </c>
      <c r="I21" s="21" t="n">
        <v>0.412354970210097</v>
      </c>
      <c r="J21" s="22" t="n">
        <v>0.0226466994363219</v>
      </c>
      <c r="K21" s="9" t="n">
        <v>7.02192776835311</v>
      </c>
      <c r="L21" s="21" t="n">
        <v>0.416274790431405</v>
      </c>
    </row>
    <row r="22" customFormat="false" ht="17.15" hidden="false" customHeight="false" outlineLevel="0" collapsed="false">
      <c r="A22" s="7" t="s">
        <v>666</v>
      </c>
      <c r="B22" s="4" t="n">
        <v>2044</v>
      </c>
      <c r="C22" s="21" t="n">
        <v>0.24119373776908</v>
      </c>
      <c r="D22" s="22" t="n">
        <v>0.0311805645567237</v>
      </c>
      <c r="E22" s="22" t="n">
        <v>0.017846285299237</v>
      </c>
      <c r="F22" s="22" t="n">
        <v>0.0133342792574867</v>
      </c>
      <c r="G22" s="9" t="n">
        <v>0</v>
      </c>
      <c r="H22" s="4" t="n">
        <v>3373</v>
      </c>
      <c r="I22" s="21" t="n">
        <v>0.263563593240439</v>
      </c>
      <c r="J22" s="22" t="n">
        <v>0.0197082925028358</v>
      </c>
      <c r="K22" s="9" t="n">
        <v>4.86472042103785</v>
      </c>
      <c r="L22" s="21" t="n">
        <v>0.130145837179251</v>
      </c>
    </row>
    <row r="23" customFormat="false" ht="17.15" hidden="false" customHeight="false" outlineLevel="0" collapsed="false">
      <c r="A23" s="7" t="s">
        <v>667</v>
      </c>
      <c r="B23" s="4" t="n">
        <v>1247</v>
      </c>
      <c r="C23" s="21" t="n">
        <v>0.225340817963112</v>
      </c>
      <c r="D23" s="22" t="n">
        <v>0.0147466531231951</v>
      </c>
      <c r="E23" s="22" t="n">
        <v>0.0171399874965157</v>
      </c>
      <c r="F23" s="22" t="n">
        <v>-0.00239333437332061</v>
      </c>
      <c r="G23" s="9" t="n">
        <v>0.65</v>
      </c>
      <c r="H23" s="4" t="n">
        <v>2430</v>
      </c>
      <c r="I23" s="21" t="n">
        <v>0.277777777777778</v>
      </c>
      <c r="J23" s="22" t="n">
        <v>0.0290841166446596</v>
      </c>
      <c r="K23" s="9" t="n">
        <v>5.43854833130504</v>
      </c>
      <c r="L23" s="21" t="n">
        <v>0.143323361435953</v>
      </c>
    </row>
    <row r="24" customFormat="false" ht="17.15" hidden="false" customHeight="false" outlineLevel="0" collapsed="false">
      <c r="A24" s="7" t="s">
        <v>668</v>
      </c>
      <c r="B24" s="4" t="n">
        <v>2446</v>
      </c>
      <c r="C24" s="21" t="n">
        <v>0.246524938675388</v>
      </c>
      <c r="D24" s="22" t="n">
        <v>0.0274460789490488</v>
      </c>
      <c r="E24" s="22" t="n">
        <v>0.0151627720431017</v>
      </c>
      <c r="F24" s="22" t="n">
        <v>0.0122833069059471</v>
      </c>
      <c r="G24" s="9" t="n">
        <v>0</v>
      </c>
      <c r="H24" s="4" t="n">
        <v>3922</v>
      </c>
      <c r="I24" s="21" t="n">
        <v>0.273839877613463</v>
      </c>
      <c r="J24" s="22" t="n">
        <v>0.0186441080151587</v>
      </c>
      <c r="K24" s="9" t="n">
        <v>5.41359035402177</v>
      </c>
      <c r="L24" s="21" t="n">
        <v>0.110081658291457</v>
      </c>
    </row>
    <row r="25" customFormat="false" ht="17.15" hidden="false" customHeight="false" outlineLevel="0" collapsed="false">
      <c r="A25" s="7" t="s">
        <v>669</v>
      </c>
      <c r="B25" s="4" t="n">
        <v>1502</v>
      </c>
      <c r="C25" s="21" t="n">
        <v>0.231691078561918</v>
      </c>
      <c r="D25" s="22" t="n">
        <v>0.0154394929553072</v>
      </c>
      <c r="E25" s="22" t="n">
        <v>0.0138252259160356</v>
      </c>
      <c r="F25" s="22" t="n">
        <v>0.00161426703927167</v>
      </c>
      <c r="G25" s="9" t="n">
        <v>0.4</v>
      </c>
      <c r="H25" s="4" t="n">
        <v>2824</v>
      </c>
      <c r="I25" s="21" t="n">
        <v>0.293201133144476</v>
      </c>
      <c r="J25" s="22" t="n">
        <v>0.029844244660643</v>
      </c>
      <c r="K25" s="9" t="n">
        <v>6.47534076598343</v>
      </c>
      <c r="L25" s="21" t="n">
        <v>0.124595469255663</v>
      </c>
    </row>
    <row r="26" customFormat="false" ht="17.15" hidden="false" customHeight="false" outlineLevel="0" collapsed="false">
      <c r="A26" s="7" t="s">
        <v>670</v>
      </c>
      <c r="B26" s="4" t="n">
        <v>2981</v>
      </c>
      <c r="C26" s="21" t="n">
        <v>0.270043609527004</v>
      </c>
      <c r="D26" s="22" t="n">
        <v>0.0194911262882355</v>
      </c>
      <c r="E26" s="22" t="n">
        <v>0.0108798310277889</v>
      </c>
      <c r="F26" s="22" t="n">
        <v>0.00861129526044661</v>
      </c>
      <c r="G26" s="9" t="n">
        <v>0</v>
      </c>
      <c r="H26" s="4" t="n">
        <v>4582</v>
      </c>
      <c r="I26" s="21" t="n">
        <v>0.285028371890004</v>
      </c>
      <c r="J26" s="22" t="n">
        <v>0.0167910592331701</v>
      </c>
      <c r="K26" s="9" t="n">
        <v>5.99734924319756</v>
      </c>
      <c r="L26" s="21" t="n">
        <v>0.0925558640751025</v>
      </c>
    </row>
    <row r="27" customFormat="false" ht="17.15" hidden="false" customHeight="false" outlineLevel="0" collapsed="false">
      <c r="A27" s="7" t="s">
        <v>671</v>
      </c>
      <c r="B27" s="4" t="n">
        <v>1885</v>
      </c>
      <c r="C27" s="21" t="n">
        <v>0.274270557029178</v>
      </c>
      <c r="D27" s="22" t="n">
        <v>0.0128722699815928</v>
      </c>
      <c r="E27" s="22" t="n">
        <v>0.0101951778523562</v>
      </c>
      <c r="F27" s="22" t="n">
        <v>0.00267709212923657</v>
      </c>
      <c r="G27" s="9" t="n">
        <v>0.175</v>
      </c>
      <c r="H27" s="4" t="n">
        <v>3336</v>
      </c>
      <c r="I27" s="21" t="n">
        <v>0.309052757793765</v>
      </c>
      <c r="J27" s="22" t="n">
        <v>0.0259432645832619</v>
      </c>
      <c r="K27" s="9" t="n">
        <v>7.07921564955064</v>
      </c>
      <c r="L27" s="21" t="n">
        <v>0.100172380769967</v>
      </c>
    </row>
    <row r="28" customFormat="false" ht="17.15" hidden="false" customHeight="false" outlineLevel="0" collapsed="false">
      <c r="A28" s="7" t="s">
        <v>672</v>
      </c>
      <c r="B28" s="4" t="n">
        <v>3471</v>
      </c>
      <c r="C28" s="21" t="n">
        <v>0.546816479400749</v>
      </c>
      <c r="D28" s="22" t="n">
        <v>0.000362880171734748</v>
      </c>
      <c r="E28" s="22" t="n">
        <v>0.00111017366866931</v>
      </c>
      <c r="F28" s="22" t="n">
        <v>-0.000747293496934562</v>
      </c>
      <c r="G28" s="9" t="n">
        <v>0.6</v>
      </c>
      <c r="H28" s="4" t="n">
        <v>5185</v>
      </c>
      <c r="I28" s="21" t="n">
        <v>0.539054966248795</v>
      </c>
      <c r="J28" s="22" t="n">
        <v>0.00523779283672799</v>
      </c>
      <c r="K28" s="9" t="n">
        <v>3.96625641250391</v>
      </c>
      <c r="L28" s="21" t="n">
        <v>0.342074861367837</v>
      </c>
    </row>
    <row r="29" customFormat="false" ht="17.15" hidden="false" customHeight="false" outlineLevel="0" collapsed="false">
      <c r="A29" s="7" t="s">
        <v>673</v>
      </c>
      <c r="B29" s="4" t="n">
        <v>2141</v>
      </c>
      <c r="C29" s="21" t="n">
        <v>0.565623540401682</v>
      </c>
      <c r="D29" s="22" t="n">
        <v>0.00335051512090573</v>
      </c>
      <c r="E29" s="22" t="n">
        <v>0.00042213526886672</v>
      </c>
      <c r="F29" s="22" t="n">
        <v>0.00292837985203901</v>
      </c>
      <c r="G29" s="9" t="n">
        <v>0.125</v>
      </c>
      <c r="H29" s="4" t="n">
        <v>3722</v>
      </c>
      <c r="I29" s="21" t="n">
        <v>0.545674368619022</v>
      </c>
      <c r="J29" s="22" t="n">
        <v>0.00902323831195506</v>
      </c>
      <c r="K29" s="9" t="n">
        <v>5.52722594459238</v>
      </c>
      <c r="L29" s="21" t="n">
        <v>0.339416680880096</v>
      </c>
    </row>
    <row r="30" customFormat="false" ht="17.15" hidden="false" customHeight="false" outlineLevel="0" collapsed="false">
      <c r="A30" s="7" t="s">
        <v>674</v>
      </c>
      <c r="B30" s="4" t="n">
        <v>3809</v>
      </c>
      <c r="C30" s="21" t="n">
        <v>0.575741664478866</v>
      </c>
      <c r="D30" s="22" t="n">
        <v>-5.13203911123405E-005</v>
      </c>
      <c r="E30" s="22" t="n">
        <v>0.000340331599087478</v>
      </c>
      <c r="F30" s="22" t="n">
        <v>-0.000391651990199818</v>
      </c>
      <c r="G30" s="9" t="n">
        <v>0.5</v>
      </c>
      <c r="H30" s="4" t="n">
        <v>5658</v>
      </c>
      <c r="I30" s="21" t="n">
        <v>0.56769176387416</v>
      </c>
      <c r="J30" s="22" t="n">
        <v>0.00174054839255955</v>
      </c>
      <c r="K30" s="9" t="n">
        <v>1.60979834244377</v>
      </c>
      <c r="L30" s="21" t="n">
        <v>0.316890250343298</v>
      </c>
    </row>
    <row r="31" customFormat="false" ht="17.15" hidden="false" customHeight="false" outlineLevel="0" collapsed="false">
      <c r="A31" s="7" t="s">
        <v>675</v>
      </c>
      <c r="B31" s="4" t="n">
        <v>2403</v>
      </c>
      <c r="C31" s="21" t="n">
        <v>0.577611319184353</v>
      </c>
      <c r="D31" s="22" t="n">
        <v>0.000170924038907047</v>
      </c>
      <c r="E31" s="22" t="n">
        <v>-0.000235500781025323</v>
      </c>
      <c r="F31" s="22" t="n">
        <v>0.000406424819932371</v>
      </c>
      <c r="G31" s="9" t="n">
        <v>0.35</v>
      </c>
      <c r="H31" s="4" t="n">
        <v>4113</v>
      </c>
      <c r="I31" s="21" t="n">
        <v>0.583758813518113</v>
      </c>
      <c r="J31" s="22" t="n">
        <v>0.00517370001085929</v>
      </c>
      <c r="K31" s="9" t="n">
        <v>3.96982458580881</v>
      </c>
      <c r="L31" s="21" t="n">
        <v>0.311694290976059</v>
      </c>
    </row>
    <row r="32" customFormat="false" ht="17.15" hidden="false" customHeight="false" outlineLevel="0" collapsed="false">
      <c r="A32" s="7" t="s">
        <v>676</v>
      </c>
      <c r="B32" s="4" t="n">
        <v>4917</v>
      </c>
      <c r="C32" s="21" t="n">
        <v>0.328859060402685</v>
      </c>
      <c r="D32" s="22" t="n">
        <v>0.00924545754928714</v>
      </c>
      <c r="E32" s="22" t="n">
        <v>0.00354273713707008</v>
      </c>
      <c r="F32" s="22" t="n">
        <v>0.00570272041221706</v>
      </c>
      <c r="G32" s="9" t="n">
        <v>0</v>
      </c>
      <c r="H32" s="4" t="n">
        <v>6350</v>
      </c>
      <c r="I32" s="21" t="n">
        <v>0.347244094488189</v>
      </c>
      <c r="J32" s="22" t="n">
        <v>0.0152688221408834</v>
      </c>
      <c r="K32" s="9" t="n">
        <v>7.56563815190117</v>
      </c>
      <c r="L32" s="21" t="n">
        <v>0.104109345877341</v>
      </c>
    </row>
    <row r="33" customFormat="false" ht="17.15" hidden="false" customHeight="false" outlineLevel="0" collapsed="false">
      <c r="A33" s="7" t="s">
        <v>677</v>
      </c>
      <c r="B33" s="4" t="n">
        <v>3416</v>
      </c>
      <c r="C33" s="21" t="n">
        <v>0.330210772833724</v>
      </c>
      <c r="D33" s="22" t="n">
        <v>0.0109534058314113</v>
      </c>
      <c r="E33" s="22" t="n">
        <v>0.0031108695123928</v>
      </c>
      <c r="F33" s="22" t="n">
        <v>0.00784253631901846</v>
      </c>
      <c r="G33" s="9" t="n">
        <v>0</v>
      </c>
      <c r="H33" s="4" t="n">
        <v>4607</v>
      </c>
      <c r="I33" s="21" t="n">
        <v>0.370957238984155</v>
      </c>
      <c r="J33" s="22" t="n">
        <v>0.0239446457327468</v>
      </c>
      <c r="K33" s="9" t="n">
        <v>9.25021759526921</v>
      </c>
      <c r="L33" s="21" t="n">
        <v>0.103452573850181</v>
      </c>
    </row>
    <row r="34" customFormat="false" ht="17.15" hidden="false" customHeight="false" outlineLevel="0" collapsed="false">
      <c r="A34" s="7" t="s">
        <v>678</v>
      </c>
      <c r="B34" s="4" t="n">
        <v>997</v>
      </c>
      <c r="C34" s="21" t="n">
        <v>0.295887662988967</v>
      </c>
      <c r="D34" s="22" t="n">
        <v>0.00480376568117012</v>
      </c>
      <c r="E34" s="22" t="n">
        <v>0.00193759478018614</v>
      </c>
      <c r="F34" s="22" t="n">
        <v>0.00286617090098398</v>
      </c>
      <c r="G34" s="9" t="n">
        <v>0.225</v>
      </c>
      <c r="H34" s="4" t="n">
        <v>1340</v>
      </c>
      <c r="I34" s="21" t="n">
        <v>0.307462686567164</v>
      </c>
      <c r="J34" s="22" t="n">
        <v>0.00615935989474984</v>
      </c>
      <c r="K34" s="9" t="n">
        <v>1.85319789308853</v>
      </c>
      <c r="L34" s="21" t="n">
        <v>0.0192554557124519</v>
      </c>
    </row>
    <row r="35" customFormat="false" ht="17.15" hidden="false" customHeight="false" outlineLevel="0" collapsed="false">
      <c r="A35" s="7" t="s">
        <v>679</v>
      </c>
      <c r="B35" s="4" t="n">
        <v>498</v>
      </c>
      <c r="C35" s="21" t="n">
        <v>0.299196787148594</v>
      </c>
      <c r="D35" s="22" t="n">
        <v>0.0095911646246754</v>
      </c>
      <c r="E35" s="22" t="n">
        <v>-7.53085210854997E-005</v>
      </c>
      <c r="F35" s="22" t="n">
        <v>0.0096664731457609</v>
      </c>
      <c r="G35" s="9" t="n">
        <v>0.125</v>
      </c>
      <c r="H35" s="4" t="n">
        <v>668</v>
      </c>
      <c r="I35" s="21" t="n">
        <v>0.300898203592814</v>
      </c>
      <c r="J35" s="22" t="n">
        <v>0.0136492039345093</v>
      </c>
      <c r="K35" s="9" t="n">
        <v>2.26484157301055</v>
      </c>
      <c r="L35" s="21" t="n">
        <v>0.0214408233276158</v>
      </c>
    </row>
    <row r="36" customFormat="false" ht="17.15" hidden="false" customHeight="false" outlineLevel="0" collapsed="false">
      <c r="A36" s="7" t="s">
        <v>680</v>
      </c>
      <c r="B36" s="4" t="n">
        <v>1840</v>
      </c>
      <c r="C36" s="21" t="n">
        <v>0.516847826086957</v>
      </c>
      <c r="D36" s="22" t="n">
        <v>0.00167465390851162</v>
      </c>
      <c r="E36" s="22" t="n">
        <v>0.00419354064302415</v>
      </c>
      <c r="F36" s="22" t="n">
        <v>-0.00251888673451253</v>
      </c>
      <c r="G36" s="9" t="n">
        <v>0.9</v>
      </c>
      <c r="H36" s="4" t="n">
        <v>2761</v>
      </c>
      <c r="I36" s="21" t="n">
        <v>0.527707352408548</v>
      </c>
      <c r="J36" s="22" t="n">
        <v>0.0101677530301091</v>
      </c>
      <c r="K36" s="9" t="n">
        <v>4.41486194758852</v>
      </c>
      <c r="L36" s="21" t="n">
        <v>0.432297326668116</v>
      </c>
    </row>
    <row r="37" customFormat="false" ht="17.15" hidden="false" customHeight="false" outlineLevel="0" collapsed="false">
      <c r="A37" s="7" t="s">
        <v>681</v>
      </c>
      <c r="B37" s="4" t="n">
        <v>1074</v>
      </c>
      <c r="C37" s="21" t="n">
        <v>0.5512104283054</v>
      </c>
      <c r="D37" s="22" t="n">
        <v>0.00485896441251602</v>
      </c>
      <c r="E37" s="22" t="n">
        <v>0.00387007423422348</v>
      </c>
      <c r="F37" s="22" t="n">
        <v>0.000988890178292534</v>
      </c>
      <c r="G37" s="9" t="n">
        <v>0.4</v>
      </c>
      <c r="H37" s="4" t="n">
        <v>2001</v>
      </c>
      <c r="I37" s="21" t="n">
        <v>0.558220889555222</v>
      </c>
      <c r="J37" s="22" t="n">
        <v>0.018151359463342</v>
      </c>
      <c r="K37" s="9" t="n">
        <v>6.47443945152476</v>
      </c>
      <c r="L37" s="21" t="n">
        <v>0.401951219512195</v>
      </c>
    </row>
    <row r="38" customFormat="false" ht="17.15" hidden="false" customHeight="false" outlineLevel="0" collapsed="false">
      <c r="A38" s="7" t="s">
        <v>682</v>
      </c>
      <c r="B38" s="4" t="n">
        <v>610</v>
      </c>
      <c r="C38" s="21" t="n">
        <v>0.472131147540984</v>
      </c>
      <c r="D38" s="22" t="n">
        <v>-0.00556344751027788</v>
      </c>
      <c r="E38" s="22" t="n">
        <v>0.00431966827264079</v>
      </c>
      <c r="F38" s="22" t="n">
        <v>-0.00988311578291866</v>
      </c>
      <c r="G38" s="9" t="n">
        <v>0.975</v>
      </c>
      <c r="H38" s="4" t="n">
        <v>837</v>
      </c>
      <c r="I38" s="21" t="n">
        <v>0.553166069295102</v>
      </c>
      <c r="J38" s="22" t="n">
        <v>0.0172428225737722</v>
      </c>
      <c r="K38" s="9" t="n">
        <v>4.22809831863158</v>
      </c>
      <c r="L38" s="21" t="n">
        <v>0.417415342087077</v>
      </c>
    </row>
    <row r="39" customFormat="false" ht="17.15" hidden="false" customHeight="false" outlineLevel="0" collapsed="false">
      <c r="A39" s="7" t="s">
        <v>683</v>
      </c>
      <c r="B39" s="4" t="n">
        <v>320</v>
      </c>
      <c r="C39" s="21" t="n">
        <v>0.49375</v>
      </c>
      <c r="D39" s="22" t="n">
        <v>-0.00557431699999026</v>
      </c>
      <c r="E39" s="22" t="n">
        <v>0.00255213291953667</v>
      </c>
      <c r="F39" s="22" t="n">
        <v>-0.00812644991952693</v>
      </c>
      <c r="G39" s="9" t="n">
        <v>0.825</v>
      </c>
      <c r="H39" s="4" t="n">
        <v>573</v>
      </c>
      <c r="I39" s="21" t="n">
        <v>0.598603839441536</v>
      </c>
      <c r="J39" s="22" t="n">
        <v>0.0287730793590539</v>
      </c>
      <c r="K39" s="9" t="n">
        <v>5.65828195417966</v>
      </c>
      <c r="L39" s="21" t="n">
        <v>0.376259798432251</v>
      </c>
    </row>
    <row r="40" customFormat="false" ht="17.15" hidden="false" customHeight="false" outlineLevel="0" collapsed="false">
      <c r="A40" s="7" t="s">
        <v>684</v>
      </c>
      <c r="B40" s="4" t="n">
        <v>3345</v>
      </c>
      <c r="C40" s="21" t="n">
        <v>0.258295964125561</v>
      </c>
      <c r="D40" s="22" t="n">
        <v>0.00527461968741578</v>
      </c>
      <c r="E40" s="22" t="n">
        <v>0.00409615932258506</v>
      </c>
      <c r="F40" s="22" t="n">
        <v>0.00117846036483072</v>
      </c>
      <c r="G40" s="9" t="n">
        <v>0.175</v>
      </c>
      <c r="H40" s="4" t="n">
        <v>4535</v>
      </c>
      <c r="I40" s="21" t="n">
        <v>0.271885336273429</v>
      </c>
      <c r="J40" s="22" t="n">
        <v>0.00925230075243721</v>
      </c>
      <c r="K40" s="9" t="n">
        <v>4.27047412714347</v>
      </c>
      <c r="L40" s="21" t="n">
        <v>0.109390862944162</v>
      </c>
    </row>
    <row r="41" customFormat="false" ht="17.15" hidden="false" customHeight="false" outlineLevel="0" collapsed="false">
      <c r="A41" s="7" t="s">
        <v>685</v>
      </c>
      <c r="B41" s="4" t="n">
        <v>2321</v>
      </c>
      <c r="C41" s="21" t="n">
        <v>0.27143472641103</v>
      </c>
      <c r="D41" s="22" t="n">
        <v>0.0106308249466562</v>
      </c>
      <c r="E41" s="22" t="n">
        <v>0.00322899355822599</v>
      </c>
      <c r="F41" s="22" t="n">
        <v>0.00740183138843024</v>
      </c>
      <c r="G41" s="9" t="n">
        <v>0</v>
      </c>
      <c r="H41" s="4" t="n">
        <v>3331</v>
      </c>
      <c r="I41" s="21" t="n">
        <v>0.292404683278295</v>
      </c>
      <c r="J41" s="22" t="n">
        <v>0.0166857672888775</v>
      </c>
      <c r="K41" s="9" t="n">
        <v>6.16689614207078</v>
      </c>
      <c r="L41" s="21" t="n">
        <v>0.118188251946214</v>
      </c>
    </row>
    <row r="42" customFormat="false" ht="17.15" hidden="false" customHeight="false" outlineLevel="0" collapsed="false">
      <c r="A42" s="7" t="s">
        <v>686</v>
      </c>
      <c r="B42" s="4" t="n">
        <v>3473</v>
      </c>
      <c r="C42" s="21" t="n">
        <v>0.322775698243593</v>
      </c>
      <c r="D42" s="22" t="n">
        <v>0.0147349676548901</v>
      </c>
      <c r="E42" s="22" t="n">
        <v>0.00482176117248914</v>
      </c>
      <c r="F42" s="22" t="n">
        <v>0.00991320648240096</v>
      </c>
      <c r="G42" s="9" t="n">
        <v>0</v>
      </c>
      <c r="H42" s="4" t="n">
        <v>4581</v>
      </c>
      <c r="I42" s="21" t="n">
        <v>0.337262606417813</v>
      </c>
      <c r="J42" s="22" t="n">
        <v>0.0237149640116696</v>
      </c>
      <c r="K42" s="9" t="n">
        <v>7.01908715505462</v>
      </c>
      <c r="L42" s="21" t="n">
        <v>0.158306431586789</v>
      </c>
    </row>
    <row r="43" customFormat="false" ht="17.15" hidden="false" customHeight="false" outlineLevel="0" collapsed="false">
      <c r="A43" s="7" t="s">
        <v>687</v>
      </c>
      <c r="B43" s="4" t="n">
        <v>2430</v>
      </c>
      <c r="C43" s="21" t="n">
        <v>0.337860082304527</v>
      </c>
      <c r="D43" s="22" t="n">
        <v>0.0177363683181678</v>
      </c>
      <c r="E43" s="22" t="n">
        <v>0.00389693774257068</v>
      </c>
      <c r="F43" s="22" t="n">
        <v>0.0138394305755971</v>
      </c>
      <c r="G43" s="9" t="n">
        <v>0</v>
      </c>
      <c r="H43" s="4" t="n">
        <v>3314</v>
      </c>
      <c r="I43" s="21" t="n">
        <v>0.355159927579964</v>
      </c>
      <c r="J43" s="22" t="n">
        <v>0.0370329532697622</v>
      </c>
      <c r="K43" s="9" t="n">
        <v>8.3104982812415</v>
      </c>
      <c r="L43" s="21" t="n">
        <v>0.151636490250696</v>
      </c>
    </row>
    <row r="44" customFormat="false" ht="17.15" hidden="false" customHeight="false" outlineLevel="0" collapsed="false">
      <c r="A44" s="7" t="s">
        <v>688</v>
      </c>
      <c r="B44" s="4" t="n">
        <v>2661</v>
      </c>
      <c r="C44" s="21" t="n">
        <v>0.25967681322811</v>
      </c>
      <c r="D44" s="22" t="n">
        <v>0.0154334599621728</v>
      </c>
      <c r="E44" s="22" t="n">
        <v>0.010251372886713</v>
      </c>
      <c r="F44" s="22" t="n">
        <v>0.00518208707545987</v>
      </c>
      <c r="G44" s="9" t="n">
        <v>0.05</v>
      </c>
      <c r="H44" s="4" t="n">
        <v>3816</v>
      </c>
      <c r="I44" s="21" t="n">
        <v>0.281446540880503</v>
      </c>
      <c r="J44" s="22" t="n">
        <v>0.0182633285152974</v>
      </c>
      <c r="K44" s="9" t="n">
        <v>5.77441067935125</v>
      </c>
      <c r="L44" s="21" t="n">
        <v>0.0358190520302609</v>
      </c>
    </row>
    <row r="45" customFormat="false" ht="17.15" hidden="false" customHeight="false" outlineLevel="0" collapsed="false">
      <c r="A45" s="7" t="s">
        <v>689</v>
      </c>
      <c r="B45" s="4" t="n">
        <v>1771</v>
      </c>
      <c r="C45" s="21" t="n">
        <v>0.254658385093168</v>
      </c>
      <c r="D45" s="22" t="n">
        <v>0.0146105801319382</v>
      </c>
      <c r="E45" s="22" t="n">
        <v>0.00859179746572095</v>
      </c>
      <c r="F45" s="22" t="n">
        <v>0.00601878266621726</v>
      </c>
      <c r="G45" s="9" t="n">
        <v>0.075</v>
      </c>
      <c r="H45" s="4" t="n">
        <v>2711</v>
      </c>
      <c r="I45" s="21" t="n">
        <v>0.291405385466618</v>
      </c>
      <c r="J45" s="22" t="n">
        <v>0.026806754408312</v>
      </c>
      <c r="K45" s="9" t="n">
        <v>6.58002742096333</v>
      </c>
      <c r="L45" s="21" t="n">
        <v>0.0435073627844712</v>
      </c>
    </row>
    <row r="46" customFormat="false" ht="17.15" hidden="false" customHeight="false" outlineLevel="0" collapsed="false">
      <c r="A46" s="7" t="s">
        <v>690</v>
      </c>
      <c r="B46" s="4" t="n">
        <v>4661</v>
      </c>
      <c r="C46" s="21" t="n">
        <v>0.319030251019095</v>
      </c>
      <c r="D46" s="22" t="n">
        <v>0.00106171778240208</v>
      </c>
      <c r="E46" s="22" t="n">
        <v>-0.000908146887529841</v>
      </c>
      <c r="F46" s="22" t="n">
        <v>0.00196986466993192</v>
      </c>
      <c r="G46" s="9" t="n">
        <v>0.025</v>
      </c>
      <c r="H46" s="4" t="n">
        <v>6137</v>
      </c>
      <c r="I46" s="21" t="n">
        <v>0.343001466514584</v>
      </c>
      <c r="J46" s="22" t="n">
        <v>0.00258423790276395</v>
      </c>
      <c r="K46" s="9" t="n">
        <v>2.41024008158319</v>
      </c>
      <c r="L46" s="21" t="n">
        <v>0.0497314317466197</v>
      </c>
    </row>
    <row r="47" customFormat="false" ht="17.15" hidden="false" customHeight="false" outlineLevel="0" collapsed="false">
      <c r="A47" s="7" t="s">
        <v>691</v>
      </c>
      <c r="B47" s="4" t="n">
        <v>3272</v>
      </c>
      <c r="C47" s="21" t="n">
        <v>0.323349633251834</v>
      </c>
      <c r="D47" s="22" t="n">
        <v>0.00162383337427291</v>
      </c>
      <c r="E47" s="22" t="n">
        <v>-0.000974969897466158</v>
      </c>
      <c r="F47" s="22" t="n">
        <v>0.00259880327173906</v>
      </c>
      <c r="G47" s="9" t="n">
        <v>0</v>
      </c>
      <c r="H47" s="4" t="n">
        <v>4490</v>
      </c>
      <c r="I47" s="21" t="n">
        <v>0.357683741648107</v>
      </c>
      <c r="J47" s="22" t="n">
        <v>0.00612899247954176</v>
      </c>
      <c r="K47" s="9" t="n">
        <v>4.50232110840403</v>
      </c>
      <c r="L47" s="21" t="n">
        <v>0.0517907755733059</v>
      </c>
    </row>
    <row r="48" customFormat="false" ht="17.15" hidden="false" customHeight="false" outlineLevel="0" collapsed="false">
      <c r="A48" s="7" t="s">
        <v>692</v>
      </c>
      <c r="B48" s="4" t="n">
        <v>1977</v>
      </c>
      <c r="C48" s="21" t="n">
        <v>0.407182599898837</v>
      </c>
      <c r="D48" s="22" t="n">
        <v>-0.000986345363289598</v>
      </c>
      <c r="E48" s="22" t="n">
        <v>0.00362288431374789</v>
      </c>
      <c r="F48" s="22" t="n">
        <v>-0.00460922967703749</v>
      </c>
      <c r="G48" s="9" t="n">
        <v>1</v>
      </c>
      <c r="H48" s="4" t="n">
        <v>2539</v>
      </c>
      <c r="I48" s="21" t="n">
        <v>0.431666010240252</v>
      </c>
      <c r="J48" s="22" t="n">
        <v>0.00641070159292399</v>
      </c>
      <c r="K48" s="9" t="n">
        <v>3.22214722732281</v>
      </c>
      <c r="L48" s="21" t="n">
        <v>0.160097431355182</v>
      </c>
    </row>
    <row r="49" customFormat="false" ht="17.15" hidden="false" customHeight="false" outlineLevel="0" collapsed="false">
      <c r="A49" s="7" t="s">
        <v>693</v>
      </c>
      <c r="B49" s="4" t="n">
        <v>1060</v>
      </c>
      <c r="C49" s="21" t="n">
        <v>0.437735849056604</v>
      </c>
      <c r="D49" s="22" t="n">
        <v>0.00219969291517775</v>
      </c>
      <c r="E49" s="22" t="n">
        <v>0.00258326249436993</v>
      </c>
      <c r="F49" s="22" t="n">
        <v>-0.00038356957919218</v>
      </c>
      <c r="G49" s="9" t="n">
        <v>0.625</v>
      </c>
      <c r="H49" s="4" t="n">
        <v>1707</v>
      </c>
      <c r="I49" s="21" t="n">
        <v>0.440538957234915</v>
      </c>
      <c r="J49" s="22" t="n">
        <v>0.00881808404453383</v>
      </c>
      <c r="K49" s="9" t="n">
        <v>3.52273843358443</v>
      </c>
      <c r="L49" s="21" t="n">
        <v>0.140946873870618</v>
      </c>
    </row>
    <row r="50" customFormat="false" ht="17.15" hidden="false" customHeight="false" outlineLevel="0" collapsed="false">
      <c r="A50" s="7" t="s">
        <v>694</v>
      </c>
      <c r="B50" s="4" t="n">
        <v>1528</v>
      </c>
      <c r="C50" s="21" t="n">
        <v>0.535994764397906</v>
      </c>
      <c r="D50" s="22" t="n">
        <v>0.00465138121495673</v>
      </c>
      <c r="E50" s="22" t="n">
        <v>0.000146172266314712</v>
      </c>
      <c r="F50" s="22" t="n">
        <v>0.00450520894864202</v>
      </c>
      <c r="G50" s="9" t="n">
        <v>0.075</v>
      </c>
      <c r="H50" s="4" t="n">
        <v>2111</v>
      </c>
      <c r="I50" s="21" t="n">
        <v>0.546186641402179</v>
      </c>
      <c r="J50" s="22" t="n">
        <v>0.0095681171781142</v>
      </c>
      <c r="K50" s="9" t="n">
        <v>4.1797945528188</v>
      </c>
      <c r="L50" s="21" t="n">
        <v>0.363286617202528</v>
      </c>
    </row>
    <row r="51" customFormat="false" ht="17.15" hidden="false" customHeight="false" outlineLevel="0" collapsed="false">
      <c r="A51" s="7" t="s">
        <v>695</v>
      </c>
      <c r="B51" s="4" t="n">
        <v>852</v>
      </c>
      <c r="C51" s="21" t="n">
        <v>0.55868544600939</v>
      </c>
      <c r="D51" s="22" t="n">
        <v>0.00377689701062809</v>
      </c>
      <c r="E51" s="22" t="n">
        <v>-0.00249541969904122</v>
      </c>
      <c r="F51" s="22" t="n">
        <v>0.0062723167096693</v>
      </c>
      <c r="G51" s="9" t="n">
        <v>0.075</v>
      </c>
      <c r="H51" s="4" t="n">
        <v>1451</v>
      </c>
      <c r="I51" s="21" t="n">
        <v>0.571330117160579</v>
      </c>
      <c r="J51" s="22" t="n">
        <v>0.015648310883976</v>
      </c>
      <c r="K51" s="9" t="n">
        <v>5.52133174693091</v>
      </c>
      <c r="L51" s="21" t="n">
        <v>0.351280937907078</v>
      </c>
    </row>
    <row r="52" customFormat="false" ht="17.15" hidden="false" customHeight="false" outlineLevel="0" collapsed="false">
      <c r="A52" s="7" t="s">
        <v>696</v>
      </c>
      <c r="B52" s="4" t="n">
        <v>3116</v>
      </c>
      <c r="C52" s="21" t="n">
        <v>0.61007702182285</v>
      </c>
      <c r="D52" s="22" t="n">
        <v>-0.00106094337019273</v>
      </c>
      <c r="E52" s="22" t="n">
        <v>-0.000686351145192593</v>
      </c>
      <c r="F52" s="22" t="n">
        <v>-0.000374592225000138</v>
      </c>
      <c r="G52" s="9" t="n">
        <v>0.625</v>
      </c>
      <c r="H52" s="4" t="n">
        <v>4974</v>
      </c>
      <c r="I52" s="21" t="n">
        <v>0.561117812625653</v>
      </c>
      <c r="J52" s="22" t="n">
        <v>-0.00223684835751335</v>
      </c>
      <c r="K52" s="9" t="n">
        <v>-2.28515211385292</v>
      </c>
      <c r="L52" s="21" t="n">
        <v>0.257972805933251</v>
      </c>
    </row>
    <row r="53" customFormat="false" ht="17.15" hidden="false" customHeight="false" outlineLevel="0" collapsed="false">
      <c r="A53" s="7" t="s">
        <v>697</v>
      </c>
      <c r="B53" s="4" t="n">
        <v>1128</v>
      </c>
      <c r="C53" s="21" t="n">
        <v>0.608156028368794</v>
      </c>
      <c r="D53" s="22" t="n">
        <v>-0.00368576626467518</v>
      </c>
      <c r="E53" s="22" t="n">
        <v>-0.000272915085514822</v>
      </c>
      <c r="F53" s="22" t="n">
        <v>-0.00341285117916036</v>
      </c>
      <c r="G53" s="9" t="n">
        <v>0.95</v>
      </c>
      <c r="H53" s="4" t="n">
        <v>2619</v>
      </c>
      <c r="I53" s="21" t="n">
        <v>0.563573883161512</v>
      </c>
      <c r="J53" s="22" t="n">
        <v>-0.00215569231407874</v>
      </c>
      <c r="K53" s="9" t="n">
        <v>-1.54424279638382</v>
      </c>
      <c r="L53" s="21" t="n">
        <v>0.277021617293835</v>
      </c>
    </row>
    <row r="54" customFormat="false" ht="17.15" hidden="false" customHeight="false" outlineLevel="0" collapsed="false">
      <c r="A54" s="7" t="s">
        <v>698</v>
      </c>
      <c r="B54" s="4" t="n">
        <v>4337</v>
      </c>
      <c r="C54" s="21" t="n">
        <v>0.221120590269772</v>
      </c>
      <c r="D54" s="22" t="n">
        <v>0.00632135907594278</v>
      </c>
      <c r="E54" s="22" t="n">
        <v>0.00910260630191509</v>
      </c>
      <c r="F54" s="22" t="n">
        <v>-0.00278124722597231</v>
      </c>
      <c r="G54" s="9" t="n">
        <v>0.975</v>
      </c>
      <c r="H54" s="4" t="n">
        <v>6253</v>
      </c>
      <c r="I54" s="21" t="n">
        <v>0.227570766032305</v>
      </c>
      <c r="J54" s="22" t="n">
        <v>0.00545709647130425</v>
      </c>
      <c r="K54" s="9" t="n">
        <v>3.69958761131751</v>
      </c>
      <c r="L54" s="21" t="n">
        <v>0.805382436260623</v>
      </c>
    </row>
    <row r="55" customFormat="false" ht="17.15" hidden="false" customHeight="false" outlineLevel="0" collapsed="false">
      <c r="A55" s="7" t="s">
        <v>699</v>
      </c>
      <c r="B55" s="4" t="n">
        <v>2841</v>
      </c>
      <c r="C55" s="21" t="n">
        <v>0.232664554734249</v>
      </c>
      <c r="D55" s="22" t="n">
        <v>0.00678912027421314</v>
      </c>
      <c r="E55" s="22" t="n">
        <v>0.00811078675806644</v>
      </c>
      <c r="F55" s="22" t="n">
        <v>-0.0013216664838533</v>
      </c>
      <c r="G55" s="9" t="n">
        <v>0.8</v>
      </c>
      <c r="H55" s="4" t="n">
        <v>4472</v>
      </c>
      <c r="I55" s="21" t="n">
        <v>0.248434704830054</v>
      </c>
      <c r="J55" s="22" t="n">
        <v>0.0104165205826995</v>
      </c>
      <c r="K55" s="9" t="n">
        <v>5.67801643660868</v>
      </c>
      <c r="L55" s="21" t="n">
        <v>0.793244906331191</v>
      </c>
    </row>
    <row r="56" customFormat="false" ht="17.15" hidden="false" customHeight="false" outlineLevel="0" collapsed="false">
      <c r="A56" s="7" t="s">
        <v>700</v>
      </c>
      <c r="B56" s="4" t="n">
        <v>2908</v>
      </c>
      <c r="C56" s="21" t="n">
        <v>0.230742778541953</v>
      </c>
      <c r="D56" s="22" t="n">
        <v>0.026393181068315</v>
      </c>
      <c r="E56" s="22" t="n">
        <v>0.0304892787968584</v>
      </c>
      <c r="F56" s="22" t="n">
        <v>-0.0040960977285434</v>
      </c>
      <c r="G56" s="9" t="n">
        <v>0.875</v>
      </c>
      <c r="H56" s="4" t="n">
        <v>4171</v>
      </c>
      <c r="I56" s="21" t="n">
        <v>0.234715895468713</v>
      </c>
      <c r="J56" s="22" t="n">
        <v>0.0252756411494627</v>
      </c>
      <c r="K56" s="9" t="n">
        <v>7.31165494934032</v>
      </c>
      <c r="L56" s="21" t="n">
        <v>0.758299194801526</v>
      </c>
    </row>
    <row r="57" customFormat="false" ht="17.15" hidden="false" customHeight="false" outlineLevel="0" collapsed="false">
      <c r="A57" s="7" t="s">
        <v>701</v>
      </c>
      <c r="B57" s="4" t="n">
        <v>1941</v>
      </c>
      <c r="C57" s="21" t="n">
        <v>0.247810407006698</v>
      </c>
      <c r="D57" s="22" t="n">
        <v>0.0302012594074011</v>
      </c>
      <c r="E57" s="22" t="n">
        <v>0.02682426399071</v>
      </c>
      <c r="F57" s="22" t="n">
        <v>0.00337699541669111</v>
      </c>
      <c r="G57" s="9" t="n">
        <v>0.325</v>
      </c>
      <c r="H57" s="4" t="n">
        <v>3042</v>
      </c>
      <c r="I57" s="21" t="n">
        <v>0.254109138724523</v>
      </c>
      <c r="J57" s="22" t="n">
        <v>0.0369158716447992</v>
      </c>
      <c r="K57" s="9" t="n">
        <v>8.66736779017047</v>
      </c>
      <c r="L57" s="21" t="n">
        <v>0.746337547662051</v>
      </c>
    </row>
    <row r="58" customFormat="false" ht="17.15" hidden="false" customHeight="false" outlineLevel="0" collapsed="false">
      <c r="A58" s="7" t="s">
        <v>702</v>
      </c>
      <c r="B58" s="4" t="n">
        <v>365</v>
      </c>
      <c r="C58" s="21" t="n">
        <v>0.334246575342466</v>
      </c>
      <c r="D58" s="22" t="n">
        <v>0.00622454790437181</v>
      </c>
      <c r="E58" s="22" t="n">
        <v>0.000847981409625765</v>
      </c>
      <c r="F58" s="22" t="n">
        <v>0.00537656649474605</v>
      </c>
      <c r="G58" s="9" t="n">
        <v>0.25</v>
      </c>
      <c r="H58" s="4" t="n">
        <v>363</v>
      </c>
      <c r="I58" s="21" t="n">
        <v>0.330578512396694</v>
      </c>
      <c r="J58" s="22" t="n">
        <v>0.00563752366162303</v>
      </c>
      <c r="K58" s="9" t="n">
        <v>0.885388486957019</v>
      </c>
      <c r="L58" s="21" t="n">
        <v>0.206043956043956</v>
      </c>
    </row>
    <row r="59" customFormat="false" ht="17.15" hidden="false" customHeight="false" outlineLevel="0" collapsed="false">
      <c r="A59" s="7" t="s">
        <v>703</v>
      </c>
      <c r="B59" s="4" t="n">
        <v>296</v>
      </c>
      <c r="C59" s="21" t="n">
        <v>0.331081081081081</v>
      </c>
      <c r="D59" s="22" t="n">
        <v>0.00646101667328358</v>
      </c>
      <c r="E59" s="22" t="n">
        <v>-0.000572692779389299</v>
      </c>
      <c r="F59" s="22" t="n">
        <v>0.00703370945267288</v>
      </c>
      <c r="G59" s="9" t="n">
        <v>0.175</v>
      </c>
      <c r="H59" s="4" t="n">
        <v>291</v>
      </c>
      <c r="I59" s="21" t="n">
        <v>0.353951890034364</v>
      </c>
      <c r="J59" s="22" t="n">
        <v>0.0107857183689285</v>
      </c>
      <c r="K59" s="9" t="n">
        <v>1.50912413474704</v>
      </c>
      <c r="L59" s="21" t="n">
        <v>0.201022146507666</v>
      </c>
    </row>
    <row r="60" customFormat="false" ht="17.15" hidden="false" customHeight="false" outlineLevel="0" collapsed="false">
      <c r="A60" s="7" t="s">
        <v>704</v>
      </c>
      <c r="B60" s="4" t="n">
        <v>1305</v>
      </c>
      <c r="C60" s="21" t="n">
        <v>0.314176245210728</v>
      </c>
      <c r="D60" s="22" t="n">
        <v>0.00798698318074593</v>
      </c>
      <c r="E60" s="22" t="n">
        <v>0.000866900072071613</v>
      </c>
      <c r="F60" s="22" t="n">
        <v>0.00712008310867432</v>
      </c>
      <c r="G60" s="9" t="n">
        <v>0</v>
      </c>
      <c r="H60" s="4" t="n">
        <v>1582</v>
      </c>
      <c r="I60" s="21" t="n">
        <v>0.334386852085967</v>
      </c>
      <c r="J60" s="22" t="n">
        <v>0.00723850941825946</v>
      </c>
      <c r="K60" s="9" t="n">
        <v>2.12686296027436</v>
      </c>
      <c r="L60" s="21" t="n">
        <v>0.194319362660201</v>
      </c>
    </row>
    <row r="61" customFormat="false" ht="17.15" hidden="false" customHeight="false" outlineLevel="0" collapsed="false">
      <c r="A61" s="7" t="s">
        <v>705</v>
      </c>
      <c r="B61" s="4" t="n">
        <v>1012</v>
      </c>
      <c r="C61" s="21" t="n">
        <v>0.309288537549407</v>
      </c>
      <c r="D61" s="22" t="n">
        <v>0.00722899951388489</v>
      </c>
      <c r="E61" s="22" t="n">
        <v>0.00051637010423581</v>
      </c>
      <c r="F61" s="22" t="n">
        <v>0.00671262940964908</v>
      </c>
      <c r="G61" s="9" t="n">
        <v>0</v>
      </c>
      <c r="H61" s="4" t="n">
        <v>1222</v>
      </c>
      <c r="I61" s="21" t="n">
        <v>0.356792144026187</v>
      </c>
      <c r="J61" s="22" t="n">
        <v>0.0124905844949721</v>
      </c>
      <c r="K61" s="9" t="n">
        <v>3.09216329855944</v>
      </c>
      <c r="L61" s="21" t="n">
        <v>0.195165622202328</v>
      </c>
    </row>
    <row r="62" customFormat="false" ht="17.15" hidden="false" customHeight="false" outlineLevel="0" collapsed="false">
      <c r="A62" s="7" t="s">
        <v>706</v>
      </c>
      <c r="B62" s="4" t="n">
        <v>246</v>
      </c>
      <c r="C62" s="21" t="n">
        <v>0.361788617886179</v>
      </c>
      <c r="D62" s="22" t="n">
        <v>0.0109633606816485</v>
      </c>
      <c r="E62" s="22" t="n">
        <v>0.00346717945367064</v>
      </c>
      <c r="F62" s="22" t="n">
        <v>0.00749618122797781</v>
      </c>
      <c r="G62" s="9" t="n">
        <v>0.3</v>
      </c>
      <c r="H62" s="4" t="n">
        <v>247</v>
      </c>
      <c r="I62" s="21" t="n">
        <v>0.336032388663968</v>
      </c>
      <c r="J62" s="22" t="n">
        <v>-0.000747597509069525</v>
      </c>
      <c r="K62" s="9" t="n">
        <v>-0.107548193919975</v>
      </c>
      <c r="L62" s="21" t="n">
        <v>0.1947261663286</v>
      </c>
    </row>
    <row r="63" customFormat="false" ht="17.15" hidden="false" customHeight="false" outlineLevel="0" collapsed="false">
      <c r="A63" s="7" t="s">
        <v>707</v>
      </c>
      <c r="B63" s="4" t="n">
        <v>193</v>
      </c>
      <c r="C63" s="21" t="n">
        <v>0.357512953367876</v>
      </c>
      <c r="D63" s="22" t="n">
        <v>0.0121635451650013</v>
      </c>
      <c r="E63" s="22" t="n">
        <v>-0.000789770413986284</v>
      </c>
      <c r="F63" s="22" t="n">
        <v>0.0129533155789876</v>
      </c>
      <c r="G63" s="9" t="n">
        <v>0.15</v>
      </c>
      <c r="H63" s="4" t="n">
        <v>200</v>
      </c>
      <c r="I63" s="21" t="n">
        <v>0.365</v>
      </c>
      <c r="J63" s="22" t="n">
        <v>0.00607412285103804</v>
      </c>
      <c r="K63" s="9" t="n">
        <v>0.727502576916421</v>
      </c>
      <c r="L63" s="21" t="n">
        <v>0.193384223918575</v>
      </c>
    </row>
    <row r="64" customFormat="false" ht="17.15" hidden="false" customHeight="false" outlineLevel="0" collapsed="false">
      <c r="A64" s="7" t="s">
        <v>708</v>
      </c>
      <c r="B64" s="4" t="n">
        <v>356</v>
      </c>
      <c r="C64" s="21" t="n">
        <v>0.348314606741573</v>
      </c>
      <c r="D64" s="22" t="n">
        <v>0.0331215106760564</v>
      </c>
      <c r="E64" s="22" t="n">
        <v>0.00685590581551075</v>
      </c>
      <c r="F64" s="22" t="n">
        <v>0.0262656048605456</v>
      </c>
      <c r="G64" s="9" t="n">
        <v>0.05</v>
      </c>
      <c r="H64" s="4" t="n">
        <v>347</v>
      </c>
      <c r="I64" s="21" t="n">
        <v>0.293948126801153</v>
      </c>
      <c r="J64" s="22" t="n">
        <v>0.0361709386440343</v>
      </c>
      <c r="K64" s="9" t="n">
        <v>2.20057237951281</v>
      </c>
      <c r="L64" s="21" t="n">
        <v>0.305832147937411</v>
      </c>
    </row>
    <row r="65" customFormat="false" ht="17.15" hidden="false" customHeight="false" outlineLevel="0" collapsed="false">
      <c r="A65" s="7" t="s">
        <v>709</v>
      </c>
      <c r="B65" s="4" t="n">
        <v>288</v>
      </c>
      <c r="C65" s="21" t="n">
        <v>0.329861111111111</v>
      </c>
      <c r="D65" s="22" t="n">
        <v>0.0268157834781957</v>
      </c>
      <c r="E65" s="22" t="n">
        <v>0.00540092255725307</v>
      </c>
      <c r="F65" s="22" t="n">
        <v>0.0214148609209426</v>
      </c>
      <c r="G65" s="9" t="n">
        <v>0.075</v>
      </c>
      <c r="H65" s="4" t="n">
        <v>280</v>
      </c>
      <c r="I65" s="21" t="n">
        <v>0.307142857142857</v>
      </c>
      <c r="J65" s="22" t="n">
        <v>0.0506142528611379</v>
      </c>
      <c r="K65" s="9" t="n">
        <v>2.51656834402984</v>
      </c>
      <c r="L65" s="21" t="n">
        <v>0.297535211267606</v>
      </c>
    </row>
    <row r="66" customFormat="false" ht="17.15" hidden="false" customHeight="false" outlineLevel="0" collapsed="false">
      <c r="A66" s="7" t="s">
        <v>710</v>
      </c>
      <c r="B66" s="4" t="n">
        <v>412</v>
      </c>
      <c r="C66" s="21" t="n">
        <v>0.451456310679612</v>
      </c>
      <c r="D66" s="22" t="n">
        <v>0.0236270796026761</v>
      </c>
      <c r="E66" s="22" t="n">
        <v>0.000110843425683549</v>
      </c>
      <c r="F66" s="22" t="n">
        <v>0.0235162361769926</v>
      </c>
      <c r="G66" s="9" t="n">
        <v>0</v>
      </c>
      <c r="H66" s="4" t="n">
        <v>430</v>
      </c>
      <c r="I66" s="21" t="n">
        <v>0.367441860465116</v>
      </c>
      <c r="J66" s="22" t="n">
        <v>0.0056102281517275</v>
      </c>
      <c r="K66" s="9" t="n">
        <v>0.965802036918755</v>
      </c>
      <c r="L66" s="21" t="n">
        <v>0.268408551068884</v>
      </c>
    </row>
    <row r="67" customFormat="false" ht="17.15" hidden="false" customHeight="false" outlineLevel="0" collapsed="false">
      <c r="A67" s="7" t="s">
        <v>711</v>
      </c>
      <c r="B67" s="4" t="n">
        <v>207</v>
      </c>
      <c r="C67" s="21" t="n">
        <v>0.51207729468599</v>
      </c>
      <c r="D67" s="22" t="n">
        <v>0.0318422869569134</v>
      </c>
      <c r="E67" s="22" t="n">
        <v>0.000469109198587747</v>
      </c>
      <c r="F67" s="22" t="n">
        <v>0.0313731777583256</v>
      </c>
      <c r="G67" s="9" t="n">
        <v>0</v>
      </c>
      <c r="H67" s="4" t="n">
        <v>310</v>
      </c>
      <c r="I67" s="21" t="n">
        <v>0.354838709677419</v>
      </c>
      <c r="J67" s="22" t="n">
        <v>0.000599578098647712</v>
      </c>
      <c r="K67" s="9" t="n">
        <v>0.0895576309827033</v>
      </c>
      <c r="L67" s="21" t="n">
        <v>0.30174081237911</v>
      </c>
    </row>
    <row r="68" customFormat="false" ht="17.15" hidden="false" customHeight="false" outlineLevel="0" collapsed="false">
      <c r="A68" s="7" t="s">
        <v>712</v>
      </c>
      <c r="B68" s="4" t="n">
        <v>589</v>
      </c>
      <c r="C68" s="21" t="n">
        <v>0.499151103565365</v>
      </c>
      <c r="D68" s="22" t="n">
        <v>0.0264965673549838</v>
      </c>
      <c r="E68" s="22" t="n">
        <v>0.00436892048556311</v>
      </c>
      <c r="F68" s="22" t="n">
        <v>0.0221276468694206</v>
      </c>
      <c r="G68" s="9" t="n">
        <v>0</v>
      </c>
      <c r="H68" s="4" t="n">
        <v>764</v>
      </c>
      <c r="I68" s="21" t="n">
        <v>0.510471204188482</v>
      </c>
      <c r="J68" s="22" t="n">
        <v>0.0192665934318793</v>
      </c>
      <c r="K68" s="9" t="n">
        <v>4.1727933898057</v>
      </c>
      <c r="L68" s="21" t="n">
        <v>0.488543976348854</v>
      </c>
    </row>
    <row r="69" customFormat="false" ht="17.15" hidden="false" customHeight="false" outlineLevel="0" collapsed="false">
      <c r="A69" s="7" t="s">
        <v>713</v>
      </c>
      <c r="B69" s="4" t="n">
        <v>296</v>
      </c>
      <c r="C69" s="21" t="n">
        <v>0.493243243243243</v>
      </c>
      <c r="D69" s="22" t="n">
        <v>0.00800266889652203</v>
      </c>
      <c r="E69" s="22" t="n">
        <v>0.00230678757301245</v>
      </c>
      <c r="F69" s="22" t="n">
        <v>0.00569588132350958</v>
      </c>
      <c r="G69" s="9" t="n">
        <v>0.375</v>
      </c>
      <c r="H69" s="4" t="n">
        <v>502</v>
      </c>
      <c r="I69" s="21" t="n">
        <v>0.531872509960159</v>
      </c>
      <c r="J69" s="22" t="n">
        <v>0.02402930359641</v>
      </c>
      <c r="K69" s="9" t="n">
        <v>4.15574893466313</v>
      </c>
      <c r="L69" s="21" t="n">
        <v>0.476190476190476</v>
      </c>
    </row>
    <row r="70" customFormat="false" ht="17.15" hidden="false" customHeight="false" outlineLevel="0" collapsed="false">
      <c r="A70" s="7" t="s">
        <v>714</v>
      </c>
      <c r="B70" s="4" t="n">
        <v>358</v>
      </c>
      <c r="C70" s="21" t="n">
        <v>0.594972067039106</v>
      </c>
      <c r="D70" s="22" t="n">
        <v>0.0130076587235087</v>
      </c>
      <c r="E70" s="22" t="n">
        <v>-0.000690628323286791</v>
      </c>
      <c r="F70" s="22" t="n">
        <v>0.0136982870467955</v>
      </c>
      <c r="G70" s="9" t="n">
        <v>0</v>
      </c>
      <c r="H70" s="4" t="n">
        <v>338</v>
      </c>
      <c r="I70" s="21" t="n">
        <v>0.541420118343195</v>
      </c>
      <c r="J70" s="22" t="n">
        <v>0.00744960236170269</v>
      </c>
      <c r="K70" s="9" t="n">
        <v>1.17155629704349</v>
      </c>
      <c r="L70" s="21" t="n">
        <v>0.413793103448276</v>
      </c>
    </row>
    <row r="71" customFormat="false" ht="17.15" hidden="false" customHeight="false" outlineLevel="0" collapsed="false">
      <c r="A71" s="7" t="s">
        <v>715</v>
      </c>
      <c r="B71" s="4" t="n">
        <v>203</v>
      </c>
      <c r="C71" s="21" t="n">
        <v>0.635467980295567</v>
      </c>
      <c r="D71" s="22" t="n">
        <v>0.0177929652589185</v>
      </c>
      <c r="E71" s="22" t="n">
        <v>-0.0042623725817375</v>
      </c>
      <c r="F71" s="22" t="n">
        <v>0.022055337840656</v>
      </c>
      <c r="G71" s="9" t="n">
        <v>0.025</v>
      </c>
      <c r="H71" s="4" t="n">
        <v>239</v>
      </c>
      <c r="I71" s="21" t="n">
        <v>0.556485355648536</v>
      </c>
      <c r="J71" s="22" t="n">
        <v>0.00743533387856682</v>
      </c>
      <c r="K71" s="9" t="n">
        <v>0.981288115169777</v>
      </c>
      <c r="L71" s="21" t="n">
        <v>0.386877828054299</v>
      </c>
    </row>
    <row r="72" customFormat="false" ht="17.15" hidden="false" customHeight="false" outlineLevel="0" collapsed="false">
      <c r="A72" s="7" t="s">
        <v>716</v>
      </c>
      <c r="B72" s="4" t="n">
        <v>4508</v>
      </c>
      <c r="C72" s="21" t="n">
        <v>0.294143744454304</v>
      </c>
      <c r="D72" s="22" t="n">
        <v>0.0221231109367906</v>
      </c>
      <c r="E72" s="22" t="n">
        <v>0.0195009441127599</v>
      </c>
      <c r="F72" s="22" t="n">
        <v>0.0026221668240307</v>
      </c>
      <c r="G72" s="9" t="n">
        <v>0.05</v>
      </c>
      <c r="H72" s="4" t="n">
        <v>6321</v>
      </c>
      <c r="I72" s="21" t="n">
        <v>0.288403733586458</v>
      </c>
      <c r="J72" s="22" t="n">
        <v>0.0154816452358309</v>
      </c>
      <c r="K72" s="9" t="n">
        <v>5.17743343398559</v>
      </c>
      <c r="L72" s="21" t="n">
        <v>0.45849108874319</v>
      </c>
    </row>
    <row r="73" customFormat="false" ht="17.15" hidden="false" customHeight="false" outlineLevel="0" collapsed="false">
      <c r="A73" s="7" t="s">
        <v>717</v>
      </c>
      <c r="B73" s="4" t="n">
        <v>2591</v>
      </c>
      <c r="C73" s="21" t="n">
        <v>0.28984947896565</v>
      </c>
      <c r="D73" s="22" t="n">
        <v>0.023944291155024</v>
      </c>
      <c r="E73" s="22" t="n">
        <v>0.0183277766150598</v>
      </c>
      <c r="F73" s="22" t="n">
        <v>0.00561651453996414</v>
      </c>
      <c r="G73" s="9" t="n">
        <v>0.025</v>
      </c>
      <c r="H73" s="4" t="n">
        <v>4022</v>
      </c>
      <c r="I73" s="21" t="n">
        <v>0.296618597712581</v>
      </c>
      <c r="J73" s="22" t="n">
        <v>0.0244679115549921</v>
      </c>
      <c r="K73" s="9" t="n">
        <v>5.77371570476283</v>
      </c>
      <c r="L73" s="21" t="n">
        <v>0.481929532738545</v>
      </c>
    </row>
    <row r="74" customFormat="false" ht="17.15" hidden="false" customHeight="false" outlineLevel="0" collapsed="false">
      <c r="A74" s="7" t="s">
        <v>718</v>
      </c>
      <c r="B74" s="4" t="n">
        <v>2297</v>
      </c>
      <c r="C74" s="21" t="n">
        <v>0.257727470613844</v>
      </c>
      <c r="D74" s="22" t="n">
        <v>0.0314528954471525</v>
      </c>
      <c r="E74" s="22" t="n">
        <v>0.0315763517227459</v>
      </c>
      <c r="F74" s="22" t="n">
        <v>-0.000123456275593417</v>
      </c>
      <c r="G74" s="9" t="n">
        <v>0.55</v>
      </c>
      <c r="H74" s="4" t="n">
        <v>3345</v>
      </c>
      <c r="I74" s="21" t="n">
        <v>0.24304932735426</v>
      </c>
      <c r="J74" s="22" t="n">
        <v>0.0210424806807817</v>
      </c>
      <c r="K74" s="9" t="n">
        <v>4.0325592916345</v>
      </c>
      <c r="L74" s="21" t="n">
        <v>0.621588089330025</v>
      </c>
    </row>
    <row r="75" customFormat="false" ht="17.15" hidden="false" customHeight="false" outlineLevel="0" collapsed="false">
      <c r="A75" s="7" t="s">
        <v>719</v>
      </c>
      <c r="B75" s="4" t="n">
        <v>1513</v>
      </c>
      <c r="C75" s="21" t="n">
        <v>0.277594183740912</v>
      </c>
      <c r="D75" s="22" t="n">
        <v>0.0392387453721018</v>
      </c>
      <c r="E75" s="22" t="n">
        <v>0.0309397849695759</v>
      </c>
      <c r="F75" s="22" t="n">
        <v>0.00829896040252596</v>
      </c>
      <c r="G75" s="9" t="n">
        <v>0.075</v>
      </c>
      <c r="H75" s="4" t="n">
        <v>2328</v>
      </c>
      <c r="I75" s="21" t="n">
        <v>0.264175257731959</v>
      </c>
      <c r="J75" s="22" t="n">
        <v>0.0362999743726776</v>
      </c>
      <c r="K75" s="9" t="n">
        <v>5.3306713998512</v>
      </c>
      <c r="L75" s="21" t="n">
        <v>0.617807862535798</v>
      </c>
    </row>
    <row r="76" customFormat="false" ht="17.15" hidden="false" customHeight="false" outlineLevel="0" collapsed="false">
      <c r="A76" s="7" t="s">
        <v>720</v>
      </c>
      <c r="B76" s="4" t="n">
        <v>2742</v>
      </c>
      <c r="C76" s="21" t="n">
        <v>0.291393143690737</v>
      </c>
      <c r="D76" s="22" t="n">
        <v>0.0286042130121133</v>
      </c>
      <c r="E76" s="22" t="n">
        <v>0.0182748006792258</v>
      </c>
      <c r="F76" s="22" t="n">
        <v>0.0103294123328875</v>
      </c>
      <c r="G76" s="9" t="n">
        <v>0</v>
      </c>
      <c r="H76" s="4" t="n">
        <v>3893</v>
      </c>
      <c r="I76" s="21" t="n">
        <v>0.284356537374775</v>
      </c>
      <c r="J76" s="22" t="n">
        <v>0.0225183092262975</v>
      </c>
      <c r="K76" s="9" t="n">
        <v>5.19007735074648</v>
      </c>
      <c r="L76" s="21" t="n">
        <v>0.492840994724944</v>
      </c>
    </row>
    <row r="77" customFormat="false" ht="17.15" hidden="false" customHeight="false" outlineLevel="0" collapsed="false">
      <c r="A77" s="7" t="s">
        <v>721</v>
      </c>
      <c r="B77" s="4" t="n">
        <v>1821</v>
      </c>
      <c r="C77" s="21" t="n">
        <v>0.306425041186161</v>
      </c>
      <c r="D77" s="22" t="n">
        <v>0.033266253126577</v>
      </c>
      <c r="E77" s="22" t="n">
        <v>0.0164200723087589</v>
      </c>
      <c r="F77" s="22" t="n">
        <v>0.0168461808178182</v>
      </c>
      <c r="G77" s="9" t="n">
        <v>0</v>
      </c>
      <c r="H77" s="4" t="n">
        <v>2770</v>
      </c>
      <c r="I77" s="21" t="n">
        <v>0.304332129963899</v>
      </c>
      <c r="J77" s="22" t="n">
        <v>0.033902001960013</v>
      </c>
      <c r="K77" s="9" t="n">
        <v>6.03080928861209</v>
      </c>
      <c r="L77" s="21" t="n">
        <v>0.495316924417338</v>
      </c>
    </row>
    <row r="78" customFormat="false" ht="17.15" hidden="false" customHeight="false" outlineLevel="0" collapsed="false">
      <c r="A78" s="7" t="s">
        <v>722</v>
      </c>
      <c r="B78" s="4" t="n">
        <v>1983</v>
      </c>
      <c r="C78" s="21" t="n">
        <v>0.260716086737267</v>
      </c>
      <c r="D78" s="22" t="n">
        <v>0.0367344888519444</v>
      </c>
      <c r="E78" s="22" t="n">
        <v>0.0295132984109704</v>
      </c>
      <c r="F78" s="22" t="n">
        <v>0.00722119044097397</v>
      </c>
      <c r="G78" s="9" t="n">
        <v>0.075</v>
      </c>
      <c r="H78" s="4" t="n">
        <v>2884</v>
      </c>
      <c r="I78" s="21" t="n">
        <v>0.247572815533981</v>
      </c>
      <c r="J78" s="22" t="n">
        <v>0.0269926218291867</v>
      </c>
      <c r="K78" s="9" t="n">
        <v>4.5453554132015</v>
      </c>
      <c r="L78" s="21" t="n">
        <v>0.618861721799877</v>
      </c>
    </row>
    <row r="79" customFormat="false" ht="17.15" hidden="false" customHeight="false" outlineLevel="0" collapsed="false">
      <c r="A79" s="7" t="s">
        <v>723</v>
      </c>
      <c r="B79" s="4" t="n">
        <v>1356</v>
      </c>
      <c r="C79" s="21" t="n">
        <v>0.278761061946903</v>
      </c>
      <c r="D79" s="22" t="n">
        <v>0.0442455317800116</v>
      </c>
      <c r="E79" s="22" t="n">
        <v>0.0290617531934462</v>
      </c>
      <c r="F79" s="22" t="n">
        <v>0.0151837785865654</v>
      </c>
      <c r="G79" s="9" t="n">
        <v>0</v>
      </c>
      <c r="H79" s="4" t="n">
        <v>2114</v>
      </c>
      <c r="I79" s="21" t="n">
        <v>0.268684957426679</v>
      </c>
      <c r="J79" s="22" t="n">
        <v>0.0405893307186484</v>
      </c>
      <c r="K79" s="9" t="n">
        <v>5.47465947070526</v>
      </c>
      <c r="L79" s="21" t="n">
        <v>0.615273775216138</v>
      </c>
    </row>
    <row r="80" customFormat="false" ht="17.15" hidden="false" customHeight="false" outlineLevel="0" collapsed="false">
      <c r="A80" s="7" t="s">
        <v>724</v>
      </c>
      <c r="B80" s="4" t="n">
        <v>10560</v>
      </c>
      <c r="C80" s="21" t="n">
        <v>0.42092803030303</v>
      </c>
      <c r="D80" s="22" t="n">
        <v>0.00613523893277711</v>
      </c>
      <c r="E80" s="22" t="n">
        <v>0.00318120764559261</v>
      </c>
      <c r="F80" s="22" t="n">
        <v>0.00295403128718449</v>
      </c>
      <c r="G80" s="9" t="n">
        <v>0</v>
      </c>
      <c r="H80" s="4" t="n">
        <v>15486</v>
      </c>
      <c r="I80" s="21" t="n">
        <v>0.421412889061087</v>
      </c>
      <c r="J80" s="22" t="n">
        <v>0.00239624737445534</v>
      </c>
      <c r="K80" s="9" t="n">
        <v>3.42296829006635</v>
      </c>
      <c r="L80" s="21" t="n">
        <v>0.156185210780926</v>
      </c>
    </row>
    <row r="81" customFormat="false" ht="17.15" hidden="false" customHeight="false" outlineLevel="0" collapsed="false">
      <c r="A81" s="7" t="s">
        <v>725</v>
      </c>
      <c r="B81" s="4" t="n">
        <v>4825</v>
      </c>
      <c r="C81" s="21" t="n">
        <v>0.41720207253886</v>
      </c>
      <c r="D81" s="22" t="n">
        <v>-0.000189450807892773</v>
      </c>
      <c r="E81" s="22" t="n">
        <v>0.00267330983933265</v>
      </c>
      <c r="F81" s="22" t="n">
        <v>-0.00286276064722543</v>
      </c>
      <c r="G81" s="9" t="n">
        <v>1</v>
      </c>
      <c r="H81" s="4" t="n">
        <v>9457</v>
      </c>
      <c r="I81" s="21" t="n">
        <v>0.434598709950301</v>
      </c>
      <c r="J81" s="22" t="n">
        <v>0.00382186677975906</v>
      </c>
      <c r="K81" s="9" t="n">
        <v>3.99839437479417</v>
      </c>
      <c r="L81" s="21" t="n">
        <v>0.146828175325585</v>
      </c>
    </row>
    <row r="82" customFormat="false" ht="17.15" hidden="false" customHeight="false" outlineLevel="0" collapsed="false">
      <c r="A82" s="7" t="s">
        <v>726</v>
      </c>
      <c r="B82" s="4" t="n">
        <v>3977</v>
      </c>
      <c r="C82" s="21" t="n">
        <v>0.432486799094795</v>
      </c>
      <c r="D82" s="22" t="n">
        <v>0.00213835772599573</v>
      </c>
      <c r="E82" s="22" t="n">
        <v>0.00236869323258659</v>
      </c>
      <c r="F82" s="22" t="n">
        <v>-0.000230335506590856</v>
      </c>
      <c r="G82" s="9" t="n">
        <v>0.55</v>
      </c>
      <c r="H82" s="4" t="n">
        <v>5272</v>
      </c>
      <c r="I82" s="21" t="n">
        <v>0.431335356600911</v>
      </c>
      <c r="J82" s="22" t="n">
        <v>0.00164427853620541</v>
      </c>
      <c r="K82" s="9" t="n">
        <v>1.21384489535756</v>
      </c>
      <c r="L82" s="21" t="n">
        <v>0.150394637258082</v>
      </c>
    </row>
    <row r="83" customFormat="false" ht="17.15" hidden="false" customHeight="false" outlineLevel="0" collapsed="false">
      <c r="A83" s="7" t="s">
        <v>727</v>
      </c>
      <c r="B83" s="4" t="n">
        <v>2344</v>
      </c>
      <c r="C83" s="21" t="n">
        <v>0.453498293515358</v>
      </c>
      <c r="D83" s="22" t="n">
        <v>0.0050994016686987</v>
      </c>
      <c r="E83" s="22" t="n">
        <v>0.00184334417130665</v>
      </c>
      <c r="F83" s="22" t="n">
        <v>0.00325605749739204</v>
      </c>
      <c r="G83" s="9" t="n">
        <v>0.025</v>
      </c>
      <c r="H83" s="4" t="n">
        <v>3918</v>
      </c>
      <c r="I83" s="21" t="n">
        <v>0.447166921898928</v>
      </c>
      <c r="J83" s="22" t="n">
        <v>0.00335350192354746</v>
      </c>
      <c r="K83" s="9" t="n">
        <v>2.03970365530183</v>
      </c>
      <c r="L83" s="21" t="n">
        <v>0.138613861386139</v>
      </c>
    </row>
    <row r="84" customFormat="false" ht="17.15" hidden="false" customHeight="false" outlineLevel="0" collapsed="false">
      <c r="A84" s="7" t="s">
        <v>728</v>
      </c>
      <c r="B84" s="4" t="n">
        <v>4681</v>
      </c>
      <c r="C84" s="21" t="n">
        <v>0.418927579577013</v>
      </c>
      <c r="D84" s="22" t="n">
        <v>0.00280188795823776</v>
      </c>
      <c r="E84" s="22" t="n">
        <v>0.00324038121845236</v>
      </c>
      <c r="F84" s="22" t="n">
        <v>-0.000438493260214602</v>
      </c>
      <c r="G84" s="9" t="n">
        <v>0.725</v>
      </c>
      <c r="H84" s="4" t="n">
        <v>6546</v>
      </c>
      <c r="I84" s="21" t="n">
        <v>0.424381301558204</v>
      </c>
      <c r="J84" s="22" t="n">
        <v>0.00205007135725678</v>
      </c>
      <c r="K84" s="9" t="n">
        <v>1.85530400154683</v>
      </c>
      <c r="L84" s="21" t="n">
        <v>0.131914135566046</v>
      </c>
    </row>
    <row r="85" customFormat="false" ht="17.15" hidden="false" customHeight="false" outlineLevel="0" collapsed="false">
      <c r="A85" s="7" t="s">
        <v>729</v>
      </c>
      <c r="B85" s="4" t="n">
        <v>2839</v>
      </c>
      <c r="C85" s="21" t="n">
        <v>0.441352588939768</v>
      </c>
      <c r="D85" s="22" t="n">
        <v>0.00299406506336443</v>
      </c>
      <c r="E85" s="22" t="n">
        <v>0.00280200466696271</v>
      </c>
      <c r="F85" s="22" t="n">
        <v>0.000192060396401727</v>
      </c>
      <c r="G85" s="9" t="n">
        <v>0.425</v>
      </c>
      <c r="H85" s="4" t="n">
        <v>4620</v>
      </c>
      <c r="I85" s="21" t="n">
        <v>0.446969696969697</v>
      </c>
      <c r="J85" s="22" t="n">
        <v>0.00517971539788747</v>
      </c>
      <c r="K85" s="9" t="n">
        <v>3.76467022315666</v>
      </c>
      <c r="L85" s="21" t="n">
        <v>0.117307950127363</v>
      </c>
    </row>
    <row r="86" customFormat="false" ht="17.15" hidden="false" customHeight="false" outlineLevel="0" collapsed="false">
      <c r="A86" s="7" t="s">
        <v>730</v>
      </c>
      <c r="B86" s="4" t="n">
        <v>7923</v>
      </c>
      <c r="C86" s="21" t="n">
        <v>0.409819512810804</v>
      </c>
      <c r="D86" s="22" t="n">
        <v>0.000828957935063294</v>
      </c>
      <c r="E86" s="22" t="n">
        <v>0.00332651143373346</v>
      </c>
      <c r="F86" s="22" t="n">
        <v>-0.00249755349867017</v>
      </c>
      <c r="G86" s="9" t="n">
        <v>1</v>
      </c>
      <c r="H86" s="4" t="n">
        <v>11933</v>
      </c>
      <c r="I86" s="21" t="n">
        <v>0.409704181681053</v>
      </c>
      <c r="J86" s="22" t="n">
        <v>0.00043570010174103</v>
      </c>
      <c r="K86" s="9" t="n">
        <v>0.562040783835189</v>
      </c>
      <c r="L86" s="21" t="n">
        <v>0.135475423045931</v>
      </c>
    </row>
    <row r="87" customFormat="false" ht="17.15" hidden="false" customHeight="false" outlineLevel="0" collapsed="false">
      <c r="A87" s="7" t="s">
        <v>731</v>
      </c>
      <c r="B87" s="4" t="n">
        <v>3723</v>
      </c>
      <c r="C87" s="21" t="n">
        <v>0.419554123019071</v>
      </c>
      <c r="D87" s="22" t="n">
        <v>0.000648518483176406</v>
      </c>
      <c r="E87" s="22" t="n">
        <v>0.00284595029760802</v>
      </c>
      <c r="F87" s="22" t="n">
        <v>-0.00219743181443161</v>
      </c>
      <c r="G87" s="9" t="n">
        <v>0.975</v>
      </c>
      <c r="H87" s="4" t="n">
        <v>7289</v>
      </c>
      <c r="I87" s="21" t="n">
        <v>0.423240499382631</v>
      </c>
      <c r="J87" s="22" t="n">
        <v>0.00141818399529478</v>
      </c>
      <c r="K87" s="9" t="n">
        <v>1.34448191193843</v>
      </c>
      <c r="L87" s="21" t="n">
        <v>0.123774064656738</v>
      </c>
    </row>
    <row r="88" customFormat="false" ht="17.15" hidden="false" customHeight="false" outlineLevel="0" collapsed="false">
      <c r="A88" s="7" t="s">
        <v>732</v>
      </c>
      <c r="B88" s="4" t="n">
        <v>1269</v>
      </c>
      <c r="C88" s="21" t="n">
        <v>0.436564223798266</v>
      </c>
      <c r="D88" s="22" t="n">
        <v>0.000738520885157438</v>
      </c>
      <c r="E88" s="22" t="n">
        <v>0.00242387618815813</v>
      </c>
      <c r="F88" s="22" t="n">
        <v>-0.00168535530300069</v>
      </c>
      <c r="G88" s="9" t="n">
        <v>0.75</v>
      </c>
      <c r="H88" s="4" t="n">
        <v>1578</v>
      </c>
      <c r="I88" s="21" t="n">
        <v>0.448035487959442</v>
      </c>
      <c r="J88" s="22" t="n">
        <v>0.00106011937491596</v>
      </c>
      <c r="K88" s="9" t="n">
        <v>0.395344165962637</v>
      </c>
      <c r="L88" s="21" t="n">
        <v>0.192483315770987</v>
      </c>
    </row>
    <row r="89" customFormat="false" ht="17.15" hidden="false" customHeight="false" outlineLevel="0" collapsed="false">
      <c r="A89" s="7" t="s">
        <v>733</v>
      </c>
      <c r="B89" s="4" t="n">
        <v>645</v>
      </c>
      <c r="C89" s="21" t="n">
        <v>0.44031007751938</v>
      </c>
      <c r="D89" s="22" t="n">
        <v>0.00185356974257402</v>
      </c>
      <c r="E89" s="22" t="n">
        <v>0.00155555985804047</v>
      </c>
      <c r="F89" s="22" t="n">
        <v>0.000298009884533553</v>
      </c>
      <c r="G89" s="9" t="n">
        <v>0.45</v>
      </c>
      <c r="H89" s="4" t="n">
        <v>1149</v>
      </c>
      <c r="I89" s="21" t="n">
        <v>0.452567449956484</v>
      </c>
      <c r="J89" s="22" t="n">
        <v>0.000152902667962847</v>
      </c>
      <c r="K89" s="9" t="n">
        <v>0.0462102835620542</v>
      </c>
      <c r="L89" s="21" t="n">
        <v>0.186733556298774</v>
      </c>
    </row>
    <row r="90" customFormat="false" ht="17.15" hidden="false" customHeight="false" outlineLevel="0" collapsed="false">
      <c r="A90" s="7" t="s">
        <v>734</v>
      </c>
      <c r="B90" s="4" t="n">
        <v>4948</v>
      </c>
      <c r="C90" s="21" t="n">
        <v>0.422392886014551</v>
      </c>
      <c r="D90" s="22" t="n">
        <v>0.0100890483198883</v>
      </c>
      <c r="E90" s="22" t="n">
        <v>0.00303579286527641</v>
      </c>
      <c r="F90" s="22" t="n">
        <v>0.00705325545461186</v>
      </c>
      <c r="G90" s="9" t="n">
        <v>0</v>
      </c>
      <c r="H90" s="4" t="n">
        <v>6802</v>
      </c>
      <c r="I90" s="21" t="n">
        <v>0.43854748603352</v>
      </c>
      <c r="J90" s="22" t="n">
        <v>0.00327323205244142</v>
      </c>
      <c r="K90" s="9" t="n">
        <v>3.11591915402315</v>
      </c>
      <c r="L90" s="21" t="n">
        <v>0.176936170212766</v>
      </c>
    </row>
    <row r="91" customFormat="false" ht="17.15" hidden="false" customHeight="false" outlineLevel="0" collapsed="false">
      <c r="A91" s="7" t="s">
        <v>735</v>
      </c>
      <c r="B91" s="4" t="n">
        <v>1795</v>
      </c>
      <c r="C91" s="21" t="n">
        <v>0.362674094707521</v>
      </c>
      <c r="D91" s="22" t="n">
        <v>-0.00872761550869354</v>
      </c>
      <c r="E91" s="22" t="n">
        <v>0.00255468780935669</v>
      </c>
      <c r="F91" s="22" t="n">
        <v>-0.0112823033180502</v>
      </c>
      <c r="G91" s="9" t="n">
        <v>1</v>
      </c>
      <c r="H91" s="4" t="n">
        <v>3951</v>
      </c>
      <c r="I91" s="21" t="n">
        <v>0.443432042520881</v>
      </c>
      <c r="J91" s="22" t="n">
        <v>0.00345523210856051</v>
      </c>
      <c r="K91" s="9" t="n">
        <v>2.36511103735232</v>
      </c>
      <c r="L91" s="21" t="n">
        <v>0.18430212321615</v>
      </c>
    </row>
  </sheetData>
  <autoFilter ref="A3:L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2026-10-09T04:05:34Z</dcterms:created>
  <dc:creator>openpyxl</dc:creator>
  <dc:description/>
  <dc:language>en-US</dc:language>
  <cp:lastModifiedBy/>
  <dcterms:modified xsi:type="dcterms:W3CDTF">2026-10-09T04:05:34Z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